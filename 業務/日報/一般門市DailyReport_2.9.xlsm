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teve/Documents/VBA_Project/業務/日報/"/>
    </mc:Choice>
  </mc:AlternateContent>
  <xr:revisionPtr revIDLastSave="0" documentId="13_ncr:1_{DBE1C4CC-54F5-CC4F-B2E9-0C8D21DC919E}" xr6:coauthVersionLast="45" xr6:coauthVersionMax="45" xr10:uidLastSave="{00000000-0000-0000-0000-000000000000}"/>
  <bookViews>
    <workbookView xWindow="2180" yWindow="1980" windowWidth="25520" windowHeight="15540" tabRatio="500" xr2:uid="{00000000-000D-0000-FFFF-FFFF00000000}"/>
  </bookViews>
  <sheets>
    <sheet name="日報" sheetId="2" r:id="rId1"/>
    <sheet name="每日營業" sheetId="1" r:id="rId2"/>
    <sheet name="每月累積" sheetId="6" r:id="rId3"/>
    <sheet name="同期比較" sheetId="7" r:id="rId4"/>
    <sheet name="SAcare" sheetId="8" r:id="rId5"/>
    <sheet name="SACare價目表" sheetId="9" r:id="rId6"/>
  </sheets>
  <definedNames>
    <definedName name="_xlnm._FilterDatabase" localSheetId="3" hidden="1">同期比較!$A$10:$L$10</definedName>
    <definedName name="_xlnm._FilterDatabase" localSheetId="1" hidden="1">每日營業!$A$10:$ALK$10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40" i="8" l="1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G33" i="2"/>
  <c r="H32" i="2"/>
  <c r="C21" i="2" l="1"/>
  <c r="C24" i="2"/>
  <c r="C27" i="2"/>
  <c r="C26" i="2"/>
  <c r="C29" i="2"/>
  <c r="C10" i="2"/>
  <c r="D10" i="2"/>
  <c r="C9" i="2"/>
  <c r="H36" i="2"/>
  <c r="D41" i="2"/>
  <c r="G41" i="2"/>
  <c r="H41" i="2" s="1"/>
  <c r="C41" i="2"/>
  <c r="H40" i="2"/>
  <c r="H39" i="2"/>
  <c r="H2" i="2"/>
  <c r="B4" i="2" s="1"/>
  <c r="C37" i="2"/>
  <c r="G10" i="2"/>
  <c r="G38" i="2" s="1"/>
  <c r="E18" i="2"/>
  <c r="F18" i="2" s="1"/>
  <c r="E10" i="2"/>
  <c r="E38" i="2" s="1"/>
  <c r="D37" i="2"/>
  <c r="G37" i="2"/>
  <c r="H34" i="2"/>
  <c r="F34" i="2"/>
  <c r="H30" i="2"/>
  <c r="F30" i="2"/>
  <c r="D29" i="2"/>
  <c r="G29" i="2"/>
  <c r="E29" i="2"/>
  <c r="H28" i="2"/>
  <c r="F28" i="2"/>
  <c r="D27" i="2"/>
  <c r="G27" i="2"/>
  <c r="E27" i="2"/>
  <c r="D26" i="2"/>
  <c r="G26" i="2"/>
  <c r="E26" i="2"/>
  <c r="H25" i="2"/>
  <c r="F25" i="2"/>
  <c r="D24" i="2"/>
  <c r="G24" i="2"/>
  <c r="E24" i="2"/>
  <c r="H23" i="2"/>
  <c r="F23" i="2"/>
  <c r="H22" i="2"/>
  <c r="F22" i="2"/>
  <c r="D21" i="2"/>
  <c r="G21" i="2"/>
  <c r="E21" i="2"/>
  <c r="H20" i="2"/>
  <c r="F20" i="2"/>
  <c r="H19" i="2"/>
  <c r="F19" i="2"/>
  <c r="H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D9" i="2"/>
  <c r="H9" i="2" s="1"/>
  <c r="G9" i="2"/>
  <c r="H7" i="2"/>
  <c r="F7" i="2"/>
  <c r="H5" i="2"/>
  <c r="D31" i="2" l="1"/>
  <c r="D33" i="2"/>
  <c r="H33" i="2" s="1"/>
  <c r="C31" i="2"/>
  <c r="C33" i="2"/>
  <c r="C38" i="2"/>
  <c r="D38" i="2"/>
  <c r="H38" i="2" s="1"/>
  <c r="H24" i="2"/>
  <c r="H27" i="2"/>
  <c r="G31" i="2"/>
  <c r="H31" i="2" s="1"/>
  <c r="H37" i="2"/>
  <c r="H21" i="2"/>
  <c r="H26" i="2"/>
  <c r="H29" i="2"/>
  <c r="F26" i="2"/>
  <c r="F10" i="2"/>
  <c r="F24" i="2"/>
  <c r="F21" i="2"/>
  <c r="F29" i="2"/>
  <c r="F27" i="2"/>
  <c r="F9" i="2"/>
  <c r="H10" i="2"/>
  <c r="E31" i="2"/>
  <c r="F31" i="2" s="1"/>
  <c r="F38" i="2" l="1"/>
</calcChain>
</file>

<file path=xl/sharedStrings.xml><?xml version="1.0" encoding="utf-8"?>
<sst xmlns="http://schemas.openxmlformats.org/spreadsheetml/2006/main" count="3328" uniqueCount="615">
  <si>
    <t>門市別：</t>
    <phoneticPr fontId="2" type="noConversion"/>
  </si>
  <si>
    <t>本日銷售人數</t>
    <phoneticPr fontId="2" type="noConversion"/>
  </si>
  <si>
    <t>本日休假人數</t>
    <phoneticPr fontId="2" type="noConversion"/>
  </si>
  <si>
    <t>本月日數</t>
    <phoneticPr fontId="2" type="noConversion"/>
  </si>
  <si>
    <t>日</t>
    <phoneticPr fontId="2" type="noConversion"/>
  </si>
  <si>
    <t>應達成率</t>
    <phoneticPr fontId="2" type="noConversion"/>
  </si>
  <si>
    <t>　</t>
  </si>
  <si>
    <t>今日</t>
    <phoneticPr fontId="4" type="noConversion"/>
  </si>
  <si>
    <t>本月累積</t>
    <phoneticPr fontId="2" type="noConversion"/>
  </si>
  <si>
    <t>本月目標</t>
    <phoneticPr fontId="2" type="noConversion"/>
  </si>
  <si>
    <t>達成率</t>
    <phoneticPr fontId="2" type="noConversion"/>
  </si>
  <si>
    <t>上月同期</t>
  </si>
  <si>
    <t>與上月同期比</t>
    <phoneticPr fontId="2" type="noConversion"/>
  </si>
  <si>
    <t>總營業額</t>
    <phoneticPr fontId="2" type="noConversion"/>
  </si>
  <si>
    <t>扣除iPhone營業額</t>
    <phoneticPr fontId="2" type="noConversion"/>
  </si>
  <si>
    <t>零售營業額</t>
    <phoneticPr fontId="2" type="noConversion"/>
  </si>
  <si>
    <t>專案營業額</t>
    <phoneticPr fontId="2" type="noConversion"/>
  </si>
  <si>
    <t>Apple主機營業額</t>
    <phoneticPr fontId="4" type="noConversion"/>
  </si>
  <si>
    <t>Apple配件營業額</t>
    <phoneticPr fontId="2" type="noConversion"/>
  </si>
  <si>
    <t>CPU 台數</t>
    <phoneticPr fontId="4" type="noConversion"/>
  </si>
  <si>
    <t>iPad 台數</t>
    <phoneticPr fontId="2" type="noConversion"/>
  </si>
  <si>
    <t>iPad Pro 台數</t>
    <phoneticPr fontId="2" type="noConversion"/>
  </si>
  <si>
    <t>iPhone 台數</t>
    <phoneticPr fontId="2" type="noConversion"/>
  </si>
  <si>
    <t>iPhone 營業額</t>
    <phoneticPr fontId="2" type="noConversion"/>
  </si>
  <si>
    <r>
      <rPr>
        <sz val="10"/>
        <color indexed="8"/>
        <rFont val="Monaco"/>
        <family val="2"/>
      </rPr>
      <t></t>
    </r>
    <r>
      <rPr>
        <sz val="10"/>
        <color indexed="8"/>
        <rFont val="新細明體"/>
        <family val="1"/>
        <charset val="136"/>
        <scheme val="minor"/>
      </rPr>
      <t>Watch 台數</t>
    </r>
    <phoneticPr fontId="2" type="noConversion"/>
  </si>
  <si>
    <t>SA Care for Watch</t>
  </si>
  <si>
    <t>SA Care for Watch 搭售率</t>
  </si>
  <si>
    <t>iPod 台數</t>
    <phoneticPr fontId="4" type="noConversion"/>
  </si>
  <si>
    <t>ACPP-MAC</t>
    <phoneticPr fontId="2" type="noConversion"/>
  </si>
  <si>
    <t>ACPP-MAC 搭售率</t>
    <phoneticPr fontId="2" type="noConversion"/>
  </si>
  <si>
    <t>SA Care for CPU</t>
    <phoneticPr fontId="2" type="noConversion"/>
  </si>
  <si>
    <t>SA Care for CPU 搭售率</t>
    <phoneticPr fontId="2" type="noConversion"/>
  </si>
  <si>
    <t>ACPP+SA Care 搭售率</t>
    <phoneticPr fontId="2" type="noConversion"/>
  </si>
  <si>
    <t>SA Care for iOS</t>
    <phoneticPr fontId="2" type="noConversion"/>
  </si>
  <si>
    <t>SA Care for iOS搭售率</t>
    <phoneticPr fontId="2" type="noConversion"/>
  </si>
  <si>
    <t>3PP配件營業額</t>
    <phoneticPr fontId="2" type="noConversion"/>
  </si>
  <si>
    <t>3PP搭售率</t>
    <phoneticPr fontId="2" type="noConversion"/>
  </si>
  <si>
    <t>時價商品</t>
    <phoneticPr fontId="2" type="noConversion"/>
  </si>
  <si>
    <t>其他營業額</t>
    <phoneticPr fontId="2" type="noConversion"/>
  </si>
  <si>
    <t>人均產值</t>
    <phoneticPr fontId="2" type="noConversion"/>
  </si>
  <si>
    <t>備註：</t>
    <phoneticPr fontId="2" type="noConversion"/>
  </si>
  <si>
    <t>1.請勿更動工作表名稱與欄位位置</t>
    <phoneticPr fontId="2" type="noConversion"/>
  </si>
  <si>
    <t>2.執行計算前請先清除舊資料確保正確</t>
    <phoneticPr fontId="2" type="noConversion"/>
  </si>
  <si>
    <t>舊換新台數:</t>
    <phoneticPr fontId="2" type="noConversion"/>
  </si>
  <si>
    <t>團客人數:</t>
    <phoneticPr fontId="2" type="noConversion"/>
  </si>
  <si>
    <t>One to many/ many to many 次數:</t>
    <phoneticPr fontId="2" type="noConversion"/>
  </si>
  <si>
    <t>本日營運概況</t>
    <phoneticPr fontId="2" type="noConversion"/>
  </si>
  <si>
    <t>新竹光復</t>
    <phoneticPr fontId="2" type="noConversion"/>
  </si>
  <si>
    <t xml:space="preserve"> </t>
    <phoneticPr fontId="2" type="noConversion"/>
  </si>
  <si>
    <t>SA CARE-CPU</t>
  </si>
  <si>
    <t>SA CARE-iOS</t>
  </si>
  <si>
    <t>6508</t>
  </si>
  <si>
    <t>6509</t>
  </si>
  <si>
    <t>來客數</t>
    <phoneticPr fontId="2" type="noConversion"/>
  </si>
  <si>
    <t>成交筆數</t>
    <phoneticPr fontId="2" type="noConversion"/>
  </si>
  <si>
    <t>提袋率</t>
    <phoneticPr fontId="2" type="noConversion"/>
  </si>
  <si>
    <t>從下欄開始貼上</t>
    <phoneticPr fontId="2" type="noConversion"/>
  </si>
  <si>
    <t>STUDIO A Care for iPad ($2,690)</t>
  </si>
  <si>
    <t>STUDIO A Care for iPhone ($3,690)</t>
  </si>
  <si>
    <t>STUDIO A Care+ for iPhone 整新機 ($3,690)</t>
  </si>
  <si>
    <t>STUDIO A Care+ for iPad 整新機 ($2,690)</t>
  </si>
  <si>
    <t>STUDIO A Care for iPad Pro ($3,690)</t>
  </si>
  <si>
    <t>STUDIO A Care+ for iPhone 續保機 ($3,690)</t>
  </si>
  <si>
    <t>STUDIO A Care for Mac B (30001~50000 $3,690)</t>
  </si>
  <si>
    <t>STUDIO A Care for Mac C (50001~80000 $4,690)</t>
  </si>
  <si>
    <t>STUDIO A Care for Mac D (80001以上 $6,690)</t>
  </si>
  <si>
    <t>STUDIO A Care for Watch ($1,990)</t>
  </si>
  <si>
    <t>STUDIO A Care for iPhone X ($4,690)</t>
  </si>
  <si>
    <t>STUDIO A Care+ for iPhone X 整新機 ($4,690)</t>
  </si>
  <si>
    <t>存代</t>
    <phoneticPr fontId="2" type="noConversion"/>
  </si>
  <si>
    <t>存貨名稱</t>
    <phoneticPr fontId="2" type="noConversion"/>
  </si>
  <si>
    <t>價格</t>
    <phoneticPr fontId="2" type="noConversion"/>
  </si>
  <si>
    <t>STUDIO A Care+ for iPadPro 整新機 ($3,690)</t>
  </si>
  <si>
    <t>STUDIO A Care+ for iPad 續保機 ($2,690)</t>
  </si>
  <si>
    <t>STUDIO A Care+ for iPadPro 續保機 ($3,690)</t>
  </si>
  <si>
    <t>包膜金額</t>
    <phoneticPr fontId="2" type="noConversion"/>
  </si>
  <si>
    <t>e筆App數量</t>
    <phoneticPr fontId="2" type="noConversion"/>
  </si>
  <si>
    <t>e筆App數</t>
    <phoneticPr fontId="2" type="noConversion"/>
  </si>
  <si>
    <t>毛利額</t>
    <phoneticPr fontId="2" type="noConversion"/>
  </si>
  <si>
    <t>STUDIO A Care+ for iPhone X/XS/XS MAX 續保機 ($3,752)</t>
  </si>
  <si>
    <t>STUDIO A Care for iPhone X/XS/XS MAX 檢測新機 ($4,690)</t>
  </si>
  <si>
    <t>STUDIO A Care for iPad/iPad Mini 檢測新機 ($2,690)</t>
  </si>
  <si>
    <t>STUDIO A Care for iPad Pro 檢測新機 ($3,690)</t>
  </si>
  <si>
    <t>99900367</t>
    <phoneticPr fontId="21" type="noConversion"/>
  </si>
  <si>
    <t>99900368</t>
    <phoneticPr fontId="21" type="noConversion"/>
  </si>
  <si>
    <t>99900415</t>
    <phoneticPr fontId="21" type="noConversion"/>
  </si>
  <si>
    <t>99900416</t>
    <phoneticPr fontId="21" type="noConversion"/>
  </si>
  <si>
    <t>99900421</t>
    <phoneticPr fontId="21" type="noConversion"/>
  </si>
  <si>
    <t>99900876</t>
    <phoneticPr fontId="21" type="noConversion"/>
  </si>
  <si>
    <t>99900877</t>
    <phoneticPr fontId="21" type="noConversion"/>
  </si>
  <si>
    <t>99900878</t>
    <phoneticPr fontId="21" type="noConversion"/>
  </si>
  <si>
    <t>99900879</t>
    <phoneticPr fontId="21" type="noConversion"/>
  </si>
  <si>
    <t>99900881</t>
    <phoneticPr fontId="21" type="noConversion"/>
  </si>
  <si>
    <t>99900882</t>
    <phoneticPr fontId="21" type="noConversion"/>
  </si>
  <si>
    <t>99900883</t>
    <phoneticPr fontId="21" type="noConversion"/>
  </si>
  <si>
    <t>99900960</t>
    <phoneticPr fontId="21" type="noConversion"/>
  </si>
  <si>
    <t>99901000</t>
    <phoneticPr fontId="21" type="noConversion"/>
  </si>
  <si>
    <t>99901003</t>
    <phoneticPr fontId="21" type="noConversion"/>
  </si>
  <si>
    <t>999S00367</t>
    <phoneticPr fontId="21" type="noConversion"/>
  </si>
  <si>
    <t>999S00368</t>
    <phoneticPr fontId="21" type="noConversion"/>
  </si>
  <si>
    <t>999S00415</t>
    <phoneticPr fontId="21" type="noConversion"/>
  </si>
  <si>
    <t>999S00416</t>
    <phoneticPr fontId="21" type="noConversion"/>
  </si>
  <si>
    <t>999S00421</t>
    <phoneticPr fontId="21" type="noConversion"/>
  </si>
  <si>
    <t>999S00876</t>
    <phoneticPr fontId="21" type="noConversion"/>
  </si>
  <si>
    <t>999S00877</t>
    <phoneticPr fontId="21" type="noConversion"/>
  </si>
  <si>
    <t>999S00878</t>
    <phoneticPr fontId="21" type="noConversion"/>
  </si>
  <si>
    <t>999S00879</t>
    <phoneticPr fontId="21" type="noConversion"/>
  </si>
  <si>
    <t>999S00881</t>
    <phoneticPr fontId="21" type="noConversion"/>
  </si>
  <si>
    <t>999S00882</t>
    <phoneticPr fontId="21" type="noConversion"/>
  </si>
  <si>
    <t>999S00883</t>
    <phoneticPr fontId="21" type="noConversion"/>
  </si>
  <si>
    <t>999S00960</t>
    <phoneticPr fontId="21" type="noConversion"/>
  </si>
  <si>
    <t>999S01000</t>
    <phoneticPr fontId="21" type="noConversion"/>
  </si>
  <si>
    <t>999S01003</t>
    <phoneticPr fontId="21" type="noConversion"/>
  </si>
  <si>
    <t>99901066</t>
    <phoneticPr fontId="21" type="noConversion"/>
  </si>
  <si>
    <t>999S01066</t>
    <phoneticPr fontId="21" type="noConversion"/>
  </si>
  <si>
    <t>99901068</t>
    <phoneticPr fontId="21" type="noConversion"/>
  </si>
  <si>
    <t>STUDIO A Care for iPhone 檢測新機 ($3,690)</t>
  </si>
  <si>
    <t>99901083</t>
    <phoneticPr fontId="21" type="noConversion"/>
  </si>
  <si>
    <t>99901067</t>
    <phoneticPr fontId="21" type="noConversion"/>
  </si>
  <si>
    <t>99901069</t>
    <phoneticPr fontId="21" type="noConversion"/>
  </si>
  <si>
    <t>999S01068</t>
    <phoneticPr fontId="21" type="noConversion"/>
  </si>
  <si>
    <t>999S01083</t>
    <phoneticPr fontId="21" type="noConversion"/>
  </si>
  <si>
    <t>999S01067</t>
    <phoneticPr fontId="21" type="noConversion"/>
  </si>
  <si>
    <t>999S01069</t>
    <phoneticPr fontId="21" type="noConversion"/>
  </si>
  <si>
    <t>99901102</t>
    <phoneticPr fontId="21" type="noConversion"/>
  </si>
  <si>
    <t>STUDIO A Care for iPad Pro ($2,990)</t>
  </si>
  <si>
    <t>99901103</t>
    <phoneticPr fontId="21" type="noConversion"/>
  </si>
  <si>
    <t>STUDIO A Care for iPad Pro 檢測新機 ($2,990)</t>
  </si>
  <si>
    <t>99901104</t>
    <phoneticPr fontId="21" type="noConversion"/>
  </si>
  <si>
    <t>STUDIO A Care+ for iPad Pro 整新機 ($2,990)</t>
  </si>
  <si>
    <t>99901105</t>
    <phoneticPr fontId="21" type="noConversion"/>
  </si>
  <si>
    <t>STUDIO A Care+ for iPad Pro 續保機 ($2,392)</t>
  </si>
  <si>
    <t>999S01102</t>
    <phoneticPr fontId="21" type="noConversion"/>
  </si>
  <si>
    <t>999S01103</t>
    <phoneticPr fontId="21" type="noConversion"/>
  </si>
  <si>
    <t>999S01104</t>
    <phoneticPr fontId="21" type="noConversion"/>
  </si>
  <si>
    <t>999S01105</t>
    <phoneticPr fontId="21" type="noConversion"/>
  </si>
  <si>
    <t>S.A CARE 2.0 for iPhone 7/8 二年期 ($3,790)</t>
    <phoneticPr fontId="22" type="noConversion"/>
  </si>
  <si>
    <t>S.A CARE 2.0 for iPhone 7+/8+/XR 二年期 ($4,690)</t>
  </si>
  <si>
    <t>S.A CARE 2.0 for iPhone XS/XS MAX 二年期 ($6,590)</t>
  </si>
  <si>
    <t>S.A CARE 2.0 for iPad/iPad Air/iPad Mini 二年期 ($1,990)</t>
    <phoneticPr fontId="22" type="noConversion"/>
  </si>
  <si>
    <t>S.A CARE 2.0 for iPad Pro 二年期 ($3,490)</t>
  </si>
  <si>
    <t>S.A CARE 2.0 for Apple Watch S3 二年期 ($1,690)</t>
  </si>
  <si>
    <t>S.A CARE 2.0 for Apple Watch S4 二年期 ($2,390)</t>
  </si>
  <si>
    <t>S.A CARE 2.0 for MacBook/MacBook Air 三年期 ($7,190)</t>
  </si>
  <si>
    <t>S.A CARE 2.0 for MacBook Pro 13吋 三年期 ($8,090)</t>
  </si>
  <si>
    <t>S.A CARE 2.0 for MacBook Pro 15吋 三年期 ($11,090)</t>
  </si>
  <si>
    <t>S.A CARE 2.0 for iPhone 7/8 檢測新機 二年期 ($3,790)</t>
  </si>
  <si>
    <t>S.A CARE 2.0 for iPhone 7+/8+/XR 檢測新機 二年期 ($4,690)</t>
    <phoneticPr fontId="22" type="noConversion"/>
  </si>
  <si>
    <t>S.A CARE 2.0 for iPhone XS/XS MAX 檢測新機 二年期 ($6,590)</t>
    <phoneticPr fontId="22" type="noConversion"/>
  </si>
  <si>
    <t>S.A CARE 2.0 for iPad/iPad Air/iPad Mini 檢測新機 二年期 ($1,990)</t>
    <phoneticPr fontId="22" type="noConversion"/>
  </si>
  <si>
    <t>S.A CARE 2.0 for iPad Pro 檢測新機 二年期 ($3,490)</t>
  </si>
  <si>
    <t>S.A CARE 2.0 for iPhone 7/8 一年期 ($2,590)</t>
    <phoneticPr fontId="22" type="noConversion"/>
  </si>
  <si>
    <t>S.A CARE 2.0 for iPhone 7+/8+/XR 一年期 ($3,290)</t>
    <phoneticPr fontId="22" type="noConversion"/>
  </si>
  <si>
    <t>S.A CARE 2.0 for iPhone XS/XS MAX 一年期 ($4,390)</t>
    <phoneticPr fontId="22" type="noConversion"/>
  </si>
  <si>
    <t>S.A CARE 2.0 for iPad/iPad Air/iPad Mini 一年期 ($1,590)</t>
    <phoneticPr fontId="22" type="noConversion"/>
  </si>
  <si>
    <t>S.A CARE 2.0 for iPad Pro 一年期 ($2,590)</t>
    <phoneticPr fontId="22" type="noConversion"/>
  </si>
  <si>
    <t>S.A CARE 2.0 for Apple Watch S3 一年期 ($1,290)</t>
    <phoneticPr fontId="22" type="noConversion"/>
  </si>
  <si>
    <t>S.A CARE 2.0 for Apple Watch S4 一年期 ($1,690)</t>
    <phoneticPr fontId="22" type="noConversion"/>
  </si>
  <si>
    <t>S.A CARE 2.0 for MacBook/MacBook Air 一年期 ($4,690)</t>
    <phoneticPr fontId="22" type="noConversion"/>
  </si>
  <si>
    <t>S.A CARE 2.0 for MacBook Pro 13吋 一年期 ($5,290)</t>
    <phoneticPr fontId="22" type="noConversion"/>
  </si>
  <si>
    <t>S.A CARE 2.0 for MacBook Pro 15吋  一年期 ($6,990)</t>
    <phoneticPr fontId="22" type="noConversion"/>
  </si>
  <si>
    <t>S.A CARE 2.0 for iPhone 7/8 檢測新機 一年期 ($2,590)</t>
    <phoneticPr fontId="22" type="noConversion"/>
  </si>
  <si>
    <t>S.A CARE 2.0 for iPhone 7+/8+/XR 檢測新機 一年期 ($3,290)</t>
    <phoneticPr fontId="22" type="noConversion"/>
  </si>
  <si>
    <t>S.A CARE 2.0 for iPhone XS/XS MAX 檢測新機 一年期 ($4,390)</t>
    <phoneticPr fontId="22" type="noConversion"/>
  </si>
  <si>
    <t>S.A CARE 2.0 for iPad/iPad Air/iPad Mini 檢測新機 一年期 ($1,590)</t>
    <phoneticPr fontId="22" type="noConversion"/>
  </si>
  <si>
    <t>S.A CARE 2.0 for iPad Pro 檢測新機 一年期 ($2,590)</t>
    <phoneticPr fontId="22" type="noConversion"/>
  </si>
  <si>
    <t>99901183</t>
  </si>
  <si>
    <t>S.A CARE 2.0 for Apple Watch S3 檢測新機 二年期 ($1690)</t>
  </si>
  <si>
    <t>99901184</t>
  </si>
  <si>
    <t>S.A CARE 2.0 for Apple Watch S4 檢測新機 二年期 ($2390)</t>
  </si>
  <si>
    <t>99901185</t>
  </si>
  <si>
    <t>S.A CARE 2.0 for MacBook/MacBook Air 檢測新機 三年期 ($7190)</t>
  </si>
  <si>
    <t>99901186</t>
  </si>
  <si>
    <t>S.A CARE 2.0 for MacBook Pro 13吋 檢測新機 三年期 ($8090)</t>
  </si>
  <si>
    <t>99901187</t>
  </si>
  <si>
    <t>S.A CARE 2.0 for MacBook Pro 15吋 檢測新機 三年期 ($11090)</t>
  </si>
  <si>
    <t>99901188</t>
  </si>
  <si>
    <t>S.A CARE 2.0 for Apple Watch S3 檢測新機 一年期 ($1290)</t>
  </si>
  <si>
    <t>99901189</t>
  </si>
  <si>
    <t>S.A CARE 2.0 for Apple Watch S4 檢測新機 一年期 ($1690)</t>
  </si>
  <si>
    <t>99901190</t>
  </si>
  <si>
    <t>S.A CARE 2.0 for MacBook/MacBook Air 檢測新機 一年期 ($4690)</t>
  </si>
  <si>
    <t>99901191</t>
  </si>
  <si>
    <t>S.A CARE 2.0 for MacBook Pro 13吋 檢測新機 一年期 ($5290)</t>
  </si>
  <si>
    <t>99901192</t>
  </si>
  <si>
    <t>S.A CARE 2.0 for MacBook Pro 15吋 檢測新機 一年期 ($6990)</t>
  </si>
  <si>
    <t>99901193</t>
  </si>
  <si>
    <t>S.A CARE 2.0 for iPhone 7/8 整新機/續保機 一年期 ($2590)</t>
  </si>
  <si>
    <t>99901194</t>
  </si>
  <si>
    <t>S.A CARE 2.0 for iPhone 7+/8+/XR 整新機/續保機 一年期 ($3290)</t>
  </si>
  <si>
    <t>99901195</t>
  </si>
  <si>
    <t>S.A CARE 2.0 for iPhone XS/XS MAX 整新機/續保機 一年期 ($4390)</t>
  </si>
  <si>
    <t>99901196</t>
  </si>
  <si>
    <t>S.A CARE 2.0 for iPad/iPad Air/iPad Mini 整新機/續保機 一年期 ($1590)</t>
  </si>
  <si>
    <t>99901197</t>
  </si>
  <si>
    <t>S.A CARE 2.0 for iPad Pro 整新機/續保機 一年期 ($2590)</t>
  </si>
  <si>
    <t>99901198</t>
  </si>
  <si>
    <t>S.A CARE 2.0 for Apple Watch S3 整新機/續保機 一年期 ($1290)</t>
  </si>
  <si>
    <t>99901199</t>
  </si>
  <si>
    <t>S.A CARE 2.0 for Apple Watch S4 整新機/續保機 一年期 ($1690)</t>
  </si>
  <si>
    <t>99901200</t>
  </si>
  <si>
    <t>S.A CARE 2.0 for MacBook/MacBook Air 續保機 一年期 ($4690)</t>
  </si>
  <si>
    <t>99901201</t>
  </si>
  <si>
    <t>S.A CARE 2.0 for MacBook Pro 13吋 續保機 一年期 ($5290)</t>
  </si>
  <si>
    <t>99901202</t>
  </si>
  <si>
    <t>S.A CARE 2.0 for MacBook Pro 15吋 續保機 一年期 ($6990)</t>
  </si>
  <si>
    <t>99901144</t>
    <phoneticPr fontId="2" type="noConversion"/>
  </si>
  <si>
    <t>99901145</t>
    <phoneticPr fontId="2" type="noConversion"/>
  </si>
  <si>
    <t>99901146</t>
    <phoneticPr fontId="2" type="noConversion"/>
  </si>
  <si>
    <t>99901147</t>
    <phoneticPr fontId="2" type="noConversion"/>
  </si>
  <si>
    <t>99901148</t>
    <phoneticPr fontId="2" type="noConversion"/>
  </si>
  <si>
    <t>99901149</t>
    <phoneticPr fontId="2" type="noConversion"/>
  </si>
  <si>
    <t>99901150</t>
    <phoneticPr fontId="2" type="noConversion"/>
  </si>
  <si>
    <t>99901151</t>
    <phoneticPr fontId="2" type="noConversion"/>
  </si>
  <si>
    <t>99901152</t>
    <phoneticPr fontId="2" type="noConversion"/>
  </si>
  <si>
    <t>99901153</t>
    <phoneticPr fontId="2" type="noConversion"/>
  </si>
  <si>
    <t>99901154</t>
    <phoneticPr fontId="2" type="noConversion"/>
  </si>
  <si>
    <t>99901155</t>
    <phoneticPr fontId="2" type="noConversion"/>
  </si>
  <si>
    <t>99901156</t>
    <phoneticPr fontId="2" type="noConversion"/>
  </si>
  <si>
    <t>99901157</t>
    <phoneticPr fontId="2" type="noConversion"/>
  </si>
  <si>
    <t>99901158</t>
    <phoneticPr fontId="2" type="noConversion"/>
  </si>
  <si>
    <t>99901166</t>
    <phoneticPr fontId="2" type="noConversion"/>
  </si>
  <si>
    <t>99901167</t>
    <phoneticPr fontId="2" type="noConversion"/>
  </si>
  <si>
    <t>99901168</t>
    <phoneticPr fontId="2" type="noConversion"/>
  </si>
  <si>
    <t>99901169</t>
    <phoneticPr fontId="2" type="noConversion"/>
  </si>
  <si>
    <t>99901170</t>
    <phoneticPr fontId="2" type="noConversion"/>
  </si>
  <si>
    <t>99901171</t>
    <phoneticPr fontId="2" type="noConversion"/>
  </si>
  <si>
    <t>99901172</t>
    <phoneticPr fontId="2" type="noConversion"/>
  </si>
  <si>
    <t>99901173</t>
    <phoneticPr fontId="2" type="noConversion"/>
  </si>
  <si>
    <t>99901174</t>
    <phoneticPr fontId="2" type="noConversion"/>
  </si>
  <si>
    <t>99901175</t>
    <phoneticPr fontId="2" type="noConversion"/>
  </si>
  <si>
    <t>99901176</t>
    <phoneticPr fontId="2" type="noConversion"/>
  </si>
  <si>
    <t>99901177</t>
    <phoneticPr fontId="2" type="noConversion"/>
  </si>
  <si>
    <t>99901178</t>
    <phoneticPr fontId="2" type="noConversion"/>
  </si>
  <si>
    <t>99901179</t>
    <phoneticPr fontId="2" type="noConversion"/>
  </si>
  <si>
    <t>99901180</t>
    <phoneticPr fontId="2" type="noConversion"/>
  </si>
  <si>
    <t>舊SA Care for Watch 數量</t>
    <phoneticPr fontId="2" type="noConversion"/>
  </si>
  <si>
    <t>2001</t>
  </si>
  <si>
    <t>APL原廠APL본공장</t>
  </si>
  <si>
    <t>3001</t>
  </si>
  <si>
    <t>APL主機(APL본체</t>
  </si>
  <si>
    <t>4002</t>
  </si>
  <si>
    <t>NoteBook</t>
  </si>
  <si>
    <t>5007</t>
  </si>
  <si>
    <t>NB-MacBook Pro Retina</t>
  </si>
  <si>
    <t>6007</t>
  </si>
  <si>
    <t>5008</t>
  </si>
  <si>
    <t>NB-MacBook Air</t>
  </si>
  <si>
    <t>6008</t>
  </si>
  <si>
    <t>4004</t>
  </si>
  <si>
    <t>iPhone</t>
  </si>
  <si>
    <t>5073</t>
  </si>
  <si>
    <t>iPhone8</t>
  </si>
  <si>
    <t>6229</t>
  </si>
  <si>
    <t>5074</t>
  </si>
  <si>
    <t>iPhone8 Plus</t>
  </si>
  <si>
    <t>6230</t>
  </si>
  <si>
    <t>5080</t>
  </si>
  <si>
    <t>iPhone XR</t>
  </si>
  <si>
    <t>6234</t>
  </si>
  <si>
    <t>5082</t>
  </si>
  <si>
    <t>iPhone XS MAX</t>
  </si>
  <si>
    <t>6236</t>
  </si>
  <si>
    <t>5091</t>
  </si>
  <si>
    <t>iPhone 11</t>
  </si>
  <si>
    <t>6243</t>
  </si>
  <si>
    <t>5092</t>
  </si>
  <si>
    <t>iPhone 11 Pro</t>
  </si>
  <si>
    <t>6244</t>
  </si>
  <si>
    <t>5093</t>
  </si>
  <si>
    <t>iPhone 11 Pro Max</t>
  </si>
  <si>
    <t>6245</t>
  </si>
  <si>
    <t>4005</t>
  </si>
  <si>
    <t>iPad</t>
  </si>
  <si>
    <t>5086</t>
  </si>
  <si>
    <t>iPad Air3</t>
  </si>
  <si>
    <t>6239</t>
  </si>
  <si>
    <t>iPad Air3 Wifi</t>
  </si>
  <si>
    <t>6240</t>
  </si>
  <si>
    <t>iPad Air3 Wifi+Cellular</t>
  </si>
  <si>
    <t>5094</t>
  </si>
  <si>
    <t>iPad 2019</t>
  </si>
  <si>
    <t>6246</t>
  </si>
  <si>
    <t>iPad 2019 wifi</t>
  </si>
  <si>
    <t>4006</t>
  </si>
  <si>
    <t>iPad Mini</t>
  </si>
  <si>
    <t>5085</t>
  </si>
  <si>
    <t>iPad Mini5</t>
  </si>
  <si>
    <t>6237</t>
  </si>
  <si>
    <t>iPad Mini5 Wifi</t>
  </si>
  <si>
    <t>4013</t>
  </si>
  <si>
    <t>Speakers</t>
  </si>
  <si>
    <t>5034</t>
  </si>
  <si>
    <t>無線裝置 무선장치</t>
  </si>
  <si>
    <t>6073</t>
  </si>
  <si>
    <t>Speakers-藍芽(Speakers-블루투스</t>
  </si>
  <si>
    <t>4038</t>
  </si>
  <si>
    <t>Apple Watch</t>
  </si>
  <si>
    <t>5057</t>
  </si>
  <si>
    <t>Apple Watch Sport</t>
  </si>
  <si>
    <t>6211</t>
  </si>
  <si>
    <t>4041</t>
  </si>
  <si>
    <t>iPad Pro</t>
  </si>
  <si>
    <t>5061</t>
  </si>
  <si>
    <t>6218</t>
  </si>
  <si>
    <t>iPad Pro Wifi</t>
  </si>
  <si>
    <t>3002</t>
  </si>
  <si>
    <t>APL週邊配件(APL주변기기</t>
  </si>
  <si>
    <t>4007</t>
  </si>
  <si>
    <t>CPU週邊配件CPU주변기기</t>
  </si>
  <si>
    <t>6088</t>
  </si>
  <si>
    <t>鍵盤(키보드</t>
  </si>
  <si>
    <t>6090</t>
  </si>
  <si>
    <t>滑鼠(마우스</t>
  </si>
  <si>
    <t>5036</t>
  </si>
  <si>
    <t>充電週邊配件 충전주변기기</t>
  </si>
  <si>
    <t>6049</t>
  </si>
  <si>
    <t>充電週邊-電原變壓器(충전주변-전원변압기</t>
  </si>
  <si>
    <t>4009</t>
  </si>
  <si>
    <t>iPhone週邊配件iPhone주변기기</t>
  </si>
  <si>
    <t>5037</t>
  </si>
  <si>
    <t>線材週邊配件 케이블 주변부속품</t>
  </si>
  <si>
    <t>6082</t>
  </si>
  <si>
    <t>線材週邊-充電/傳輸(케이블주변-충전</t>
  </si>
  <si>
    <t>5702</t>
  </si>
  <si>
    <t>iPod/iPhone週邊-保護iPod/iPhone주변-보호</t>
  </si>
  <si>
    <t>6053</t>
  </si>
  <si>
    <t>保護週邊-軟殼(주변보호-소프트케이스</t>
  </si>
  <si>
    <t>6054</t>
  </si>
  <si>
    <t>保護週邊-硬殼(주변보호-하드케이스</t>
  </si>
  <si>
    <t>4010</t>
  </si>
  <si>
    <t>iPad週邊配件iPad주변기기</t>
  </si>
  <si>
    <t>6083</t>
  </si>
  <si>
    <t>線材週邊-影像(케이블주변-영상</t>
  </si>
  <si>
    <t>5039</t>
  </si>
  <si>
    <t>觸控筆 터치펜</t>
  </si>
  <si>
    <t>6100</t>
  </si>
  <si>
    <t>iOS其他週邊配件(iOS기타주변부속품</t>
  </si>
  <si>
    <t>4012</t>
  </si>
  <si>
    <t>CPU/iOS通用週邊配件CPU/iOS 공용주변기기</t>
  </si>
  <si>
    <t>6101</t>
  </si>
  <si>
    <t>其他週邊配件(기타주변기기</t>
  </si>
  <si>
    <t>4014</t>
  </si>
  <si>
    <t>耳機이어폰</t>
  </si>
  <si>
    <t>6069</t>
  </si>
  <si>
    <t>耳機-藍芽(이어폰-블루투스</t>
  </si>
  <si>
    <t>5035</t>
  </si>
  <si>
    <t>有線裝置 유선장치</t>
  </si>
  <si>
    <t>6070</t>
  </si>
  <si>
    <t>耳機-耳塞(이어폰-이어스킨</t>
  </si>
  <si>
    <t>4016</t>
  </si>
  <si>
    <t>Beats</t>
  </si>
  <si>
    <t>6067</t>
  </si>
  <si>
    <t>耳機-耳掛式(이어폰-거치식</t>
  </si>
  <si>
    <t>6068</t>
  </si>
  <si>
    <t>耳機-入耳式(이어폰-커널형</t>
  </si>
  <si>
    <t>4022</t>
  </si>
  <si>
    <t>iOS通用週邊配件iOS공용주변기기</t>
  </si>
  <si>
    <t>5904</t>
  </si>
  <si>
    <t>iPad週邊-其他iPad 주변-기타</t>
  </si>
  <si>
    <t>4039</t>
  </si>
  <si>
    <t>Apple Watch 周边配件Apple Watch 주변기기</t>
  </si>
  <si>
    <t>5905</t>
  </si>
  <si>
    <t>Apple Watch周边-表带Apple Watch주변-밴드</t>
  </si>
  <si>
    <t>6506</t>
  </si>
  <si>
    <t>表带(밴드</t>
  </si>
  <si>
    <t>5906</t>
  </si>
  <si>
    <t>Apple Watch周边-充电Apple Watch주변-충전</t>
  </si>
  <si>
    <t>6210</t>
  </si>
  <si>
    <t>2002</t>
  </si>
  <si>
    <t>3PP週邊配件(3PP주변부품)</t>
  </si>
  <si>
    <t>3003</t>
  </si>
  <si>
    <t>3PP週邊配件(3PP주변기기</t>
  </si>
  <si>
    <t>5027</t>
  </si>
  <si>
    <t>軟體 소프트웨어</t>
  </si>
  <si>
    <t>6037</t>
  </si>
  <si>
    <t>軟體-作業系統(소프트웨어-OS</t>
  </si>
  <si>
    <t>6038</t>
  </si>
  <si>
    <t>軟體-應用軟體(소프트웨어-응용프로그램</t>
  </si>
  <si>
    <t>5028</t>
  </si>
  <si>
    <t>硬碟 하드디스크</t>
  </si>
  <si>
    <t>6041</t>
  </si>
  <si>
    <t>硬碟-2.5吋外接式(HD-2.5 외장하드디스크</t>
  </si>
  <si>
    <t>6122</t>
  </si>
  <si>
    <t>外接DVD燒錄機</t>
  </si>
  <si>
    <t>6085</t>
  </si>
  <si>
    <t>線材週邊-其他(케이블주변-기타</t>
  </si>
  <si>
    <t>5038</t>
  </si>
  <si>
    <t>保護週邊配件 보호주변기기</t>
  </si>
  <si>
    <t>6057</t>
  </si>
  <si>
    <t>保護週邊-內袋(주변보호-파우치</t>
  </si>
  <si>
    <t>6058</t>
  </si>
  <si>
    <t>保護週邊-手提包(주변보호-핸드백</t>
  </si>
  <si>
    <t>6064</t>
  </si>
  <si>
    <t>保護週邊-鍵盤膜(주변보호-건반보호필름</t>
  </si>
  <si>
    <t>6077</t>
  </si>
  <si>
    <t>保貼週邊-亮面(필름관련-광택표면</t>
  </si>
  <si>
    <t>5041</t>
  </si>
  <si>
    <t>其他週邊配件 기타주변기기</t>
  </si>
  <si>
    <t>6095</t>
  </si>
  <si>
    <t>清潔用品(청소용품</t>
  </si>
  <si>
    <t>6127</t>
  </si>
  <si>
    <t>充電週邊-QI無線充電相關</t>
  </si>
  <si>
    <t>5040</t>
  </si>
  <si>
    <t>立架 거치대</t>
  </si>
  <si>
    <t>6087</t>
  </si>
  <si>
    <t>立架週邊-其他(거치대주변-기타</t>
  </si>
  <si>
    <t>5418</t>
  </si>
  <si>
    <t>iPhone7-3PP</t>
  </si>
  <si>
    <t>6079</t>
  </si>
  <si>
    <t>保貼週邊-玻璃(필름관련-유리</t>
  </si>
  <si>
    <t>5419</t>
  </si>
  <si>
    <t>iPhone7 Plus-3PP</t>
  </si>
  <si>
    <t>5420</t>
  </si>
  <si>
    <t>iPhone8-3PP</t>
  </si>
  <si>
    <t>5421</t>
  </si>
  <si>
    <t>iPhone8 Plus-3PP</t>
  </si>
  <si>
    <t>5422</t>
  </si>
  <si>
    <t>iPhoneX-3PP</t>
  </si>
  <si>
    <t>5423</t>
  </si>
  <si>
    <t>iPhone XS-3PP</t>
  </si>
  <si>
    <t>5424</t>
  </si>
  <si>
    <t>iPhone XS MAX-3PP</t>
  </si>
  <si>
    <t>5425</t>
  </si>
  <si>
    <t>iPhone XR-3PP</t>
  </si>
  <si>
    <t>5426</t>
  </si>
  <si>
    <t>iPhone 11-3PP</t>
  </si>
  <si>
    <t>6056</t>
  </si>
  <si>
    <t>保護週邊-皮套(주변보호-가죽케이스</t>
  </si>
  <si>
    <t>5427</t>
  </si>
  <si>
    <t>iPhone 11 Pro-3PP</t>
  </si>
  <si>
    <t>5428</t>
  </si>
  <si>
    <t>iPhone 11 Pro MAX-3PP</t>
  </si>
  <si>
    <t>5521</t>
  </si>
  <si>
    <t>iPad (2018)-3PP</t>
  </si>
  <si>
    <t>5523</t>
  </si>
  <si>
    <t>iPad Pro10.5-3PP</t>
  </si>
  <si>
    <t>6078</t>
  </si>
  <si>
    <t>保貼週邊-霧面(필름관련-매트</t>
  </si>
  <si>
    <t>5524</t>
  </si>
  <si>
    <t>iPad Pro 11-3PP</t>
  </si>
  <si>
    <t>5525</t>
  </si>
  <si>
    <t>iPad Pro 12.9-3PP</t>
  </si>
  <si>
    <t>5526</t>
  </si>
  <si>
    <t>iPad Mini5-3PP</t>
  </si>
  <si>
    <t>5527</t>
  </si>
  <si>
    <t>iPad Air3-3PP</t>
  </si>
  <si>
    <t>5529</t>
  </si>
  <si>
    <t>iPad 10.2吋-3PP</t>
  </si>
  <si>
    <t>6048</t>
  </si>
  <si>
    <t>充電週邊-電池Battery(충전주변-Battery</t>
  </si>
  <si>
    <t>6051</t>
  </si>
  <si>
    <t>充電週邊-車充(충전주변-차량용</t>
  </si>
  <si>
    <t>6045</t>
  </si>
  <si>
    <t>記憶體(메모리</t>
  </si>
  <si>
    <t>5528</t>
  </si>
  <si>
    <t>Airpods-3PP</t>
  </si>
  <si>
    <t>6065</t>
  </si>
  <si>
    <t>保護週邊-其他(주변보호-기타</t>
  </si>
  <si>
    <t>4017</t>
  </si>
  <si>
    <t>其他週邊配件기타주변기기</t>
  </si>
  <si>
    <t>6039</t>
  </si>
  <si>
    <t>軟體-其他(소프트웨어-기타</t>
  </si>
  <si>
    <t>4021</t>
  </si>
  <si>
    <t>其他收入기타수익</t>
  </si>
  <si>
    <t>5044</t>
  </si>
  <si>
    <t>6106</t>
  </si>
  <si>
    <t>其他收入(기타수익</t>
  </si>
  <si>
    <t>5030</t>
  </si>
  <si>
    <t>隨身碟 USB</t>
  </si>
  <si>
    <t>6121</t>
  </si>
  <si>
    <t>隨身碟</t>
  </si>
  <si>
    <t>4026</t>
  </si>
  <si>
    <t>SmartA週邊產品SmartA주변상품</t>
  </si>
  <si>
    <t>6113</t>
  </si>
  <si>
    <t>APP相容配件-其他(APP호환부속품-기타</t>
  </si>
  <si>
    <t>5907</t>
  </si>
  <si>
    <t>Apple Watch周边-保护Apple Watch주변-보호</t>
  </si>
  <si>
    <t>4050</t>
  </si>
  <si>
    <t>上網卡</t>
  </si>
  <si>
    <t>5076</t>
  </si>
  <si>
    <t>6124</t>
  </si>
  <si>
    <t>日本上網卡</t>
  </si>
  <si>
    <t>3012</t>
  </si>
  <si>
    <t>SA CARE</t>
  </si>
  <si>
    <t>4040</t>
  </si>
  <si>
    <t>5058</t>
  </si>
  <si>
    <t>6522</t>
  </si>
  <si>
    <t>SA Care-Apple Watch</t>
  </si>
  <si>
    <t>2006</t>
  </si>
  <si>
    <t>3006</t>
  </si>
  <si>
    <t>4058</t>
  </si>
  <si>
    <t>Studio A 商品卷</t>
  </si>
  <si>
    <t>5994</t>
  </si>
  <si>
    <t>6889</t>
  </si>
  <si>
    <t/>
  </si>
  <si>
    <t>2016</t>
  </si>
  <si>
    <t>outlet</t>
  </si>
  <si>
    <t>2019</t>
  </si>
  <si>
    <t>電信代收代付</t>
  </si>
  <si>
    <t>3014</t>
  </si>
  <si>
    <t>4046</t>
  </si>
  <si>
    <t>台灣大哥大</t>
  </si>
  <si>
    <t>5072</t>
  </si>
  <si>
    <t>攜碼 (電信方案)</t>
  </si>
  <si>
    <t>6604</t>
  </si>
  <si>
    <t>688方案</t>
  </si>
  <si>
    <t>2021</t>
  </si>
  <si>
    <t>舊換新</t>
  </si>
  <si>
    <t>3020</t>
  </si>
  <si>
    <t>4975</t>
  </si>
  <si>
    <t>舊換新-CPU</t>
  </si>
  <si>
    <t>5968</t>
  </si>
  <si>
    <t>舊換新-MacBook Pro</t>
  </si>
  <si>
    <t>6990</t>
  </si>
  <si>
    <t>4976</t>
  </si>
  <si>
    <t>舊換新-iPad</t>
  </si>
  <si>
    <t>5953</t>
  </si>
  <si>
    <t>舊換新-iPad Air 2</t>
  </si>
  <si>
    <t>5961</t>
  </si>
  <si>
    <t>舊換新-iPad(2018)</t>
  </si>
  <si>
    <t>4977</t>
  </si>
  <si>
    <t>舊換新-iPhone</t>
  </si>
  <si>
    <t>5913</t>
  </si>
  <si>
    <t>舊換新-iPhone 6 Plus</t>
  </si>
  <si>
    <t>5915</t>
  </si>
  <si>
    <t>舊換新-iPhone 6S Plus</t>
  </si>
  <si>
    <t>5918</t>
  </si>
  <si>
    <t>舊換新-iPhone 7 Plus</t>
  </si>
  <si>
    <t>5920</t>
  </si>
  <si>
    <t>舊換新-iPhone 8 Plus</t>
  </si>
  <si>
    <t>5923</t>
  </si>
  <si>
    <t>舊換新-iPhone XS MAX</t>
  </si>
  <si>
    <t>2022</t>
  </si>
  <si>
    <t>Studio A商品卷</t>
  </si>
  <si>
    <t>3023</t>
  </si>
  <si>
    <t>2023</t>
  </si>
  <si>
    <t>即享卷</t>
  </si>
  <si>
    <t>3024</t>
  </si>
  <si>
    <t>4059</t>
  </si>
  <si>
    <t>5993</t>
  </si>
  <si>
    <t>6888</t>
  </si>
  <si>
    <t>2028</t>
  </si>
  <si>
    <t>Apple Care+ 代收代付</t>
  </si>
  <si>
    <t>3032</t>
  </si>
  <si>
    <t>4969</t>
  </si>
  <si>
    <t>APPLE CARE+</t>
  </si>
  <si>
    <t>5090</t>
  </si>
  <si>
    <t>6524</t>
  </si>
  <si>
    <t>APPLE CARE+-CPU</t>
  </si>
  <si>
    <t>6529</t>
  </si>
  <si>
    <t>APPLE CARE+-Acc</t>
  </si>
  <si>
    <t>Σ</t>
  </si>
  <si>
    <t>999S01147</t>
  </si>
  <si>
    <t>S.A CARE 2.0 for iPad/iPad Air/iPad Mini 二年期 ($1,990)</t>
  </si>
  <si>
    <t>999S01148</t>
  </si>
  <si>
    <t>999S01151</t>
  </si>
  <si>
    <t>999S01152</t>
  </si>
  <si>
    <t>999S01157</t>
  </si>
  <si>
    <t>S.A CARE 2.0 for iPad/iPad Air/iPad Mini 檢測新機 二年期 ($1,990)</t>
  </si>
  <si>
    <t>999S01153</t>
  </si>
  <si>
    <t>999S01158</t>
  </si>
  <si>
    <t>99901742</t>
    <phoneticPr fontId="2" type="noConversion"/>
  </si>
  <si>
    <t>S.A CARE 2.0 for AirPods 1代/2代/AirPods Pro 一年期 ($699)</t>
  </si>
  <si>
    <t>99901743</t>
  </si>
  <si>
    <t>S.A CARE 2.0 for AirPods 1代/2代/AirPods Pro 二年期 ($799)</t>
  </si>
  <si>
    <t>99901744</t>
  </si>
  <si>
    <t>S.A CARE 2.0 for AirPods 1代/2代/AirPods Pro 維修費</t>
  </si>
  <si>
    <t>SA Care 營業額</t>
    <phoneticPr fontId="2" type="noConversion"/>
  </si>
  <si>
    <t>SA Care 搭售率</t>
    <phoneticPr fontId="2" type="noConversion"/>
  </si>
  <si>
    <t>v2.9</t>
    <phoneticPr fontId="2" type="noConversion"/>
  </si>
  <si>
    <t>99901145</t>
  </si>
  <si>
    <t>S.A CARE 2.0 for iPhone 7+/8+/XR/11 二年期 ($4,690)</t>
  </si>
  <si>
    <t>99901146</t>
  </si>
  <si>
    <t>S.A CARE 2.0 for iPhone X/XS/XS Max/11 Pro/11 Pro Max 二年期 ($6,590)</t>
  </si>
  <si>
    <t>99901147</t>
  </si>
  <si>
    <t>99901148</t>
  </si>
  <si>
    <t>99901150</t>
  </si>
  <si>
    <t>S.A CARE 2.0 for Apple Watch S4/S5 二年期 ($2,390)</t>
  </si>
  <si>
    <t>99901151</t>
  </si>
  <si>
    <t>99901153</t>
  </si>
  <si>
    <t>S.A CARE 2.0 for MacBook Pro 15吋/16吋 三年期 ($11,090)</t>
  </si>
  <si>
    <t>99901155</t>
  </si>
  <si>
    <t>S.A CARE 2.0 for iPhone 7+/8+/XR/11 檢測新機 二年期 ($4,690)</t>
  </si>
  <si>
    <t>99901157</t>
  </si>
  <si>
    <t>99901158</t>
  </si>
  <si>
    <t>99901159</t>
  </si>
  <si>
    <t>S.A CARE 2.0 for iPhone 維修費</t>
  </si>
  <si>
    <t>99901160</t>
  </si>
  <si>
    <t>S.A CARE 2.0 for iPad 維修費</t>
  </si>
  <si>
    <t>99901162</t>
  </si>
  <si>
    <t>S.A CARE 2.0 for Watch 維修費</t>
  </si>
  <si>
    <t>99901173</t>
  </si>
  <si>
    <t>S.A CARE 2.0 for MacBook/MacBook Air 一年期 ($4,690)</t>
  </si>
  <si>
    <t>99901181</t>
  </si>
  <si>
    <t>S.A CARE 2.0 for Mac 維修費 (三年期)</t>
  </si>
  <si>
    <t>S.A CARE 2.0 for Apple Watch S4/S5 檢測新機 二年期 ($2,390)</t>
  </si>
  <si>
    <t>S.A CARE 2.0 for MacBook/MacBook Air 檢測新機 三年期 ($7,190)</t>
  </si>
  <si>
    <t>S.A CARE 2.0 for MacBook Pro 15吋/16吋 檢測新機 三年期 ($11,090)</t>
  </si>
  <si>
    <t>S.A CARE 2.0 for iPhone 7+/8+/XR/11 整新機/續保機 一年期 ($3,290)</t>
  </si>
  <si>
    <t>S.A CARE 2.0 for iPhone X/XS/XS Max/11 Pro/11 Pro Max 整新機/續保機 一年期 ($4,390)</t>
  </si>
  <si>
    <t>S.A CARE 2.0 for iPad/iPad Air/iPad Mini 整新機/續保機 一年期 ($1,590)</t>
  </si>
  <si>
    <t>S.A CARE 2.0 for iPad Pro 整新機/續保機 一年期 ($2,590)</t>
  </si>
  <si>
    <t>S.A CARE 2.0 for Apple Watch S3 整新機/續保機 一年期 ($1,290)</t>
  </si>
  <si>
    <t>S.A CARE 2.0 for Apple Watch S4/S5 整新機/續保機 一年期 ($1,690)</t>
  </si>
  <si>
    <t>99901722</t>
  </si>
  <si>
    <t>S.A CARE 2.0 for iMac 延長保固 二年期 $4,090 (MRT32TA/A)</t>
  </si>
  <si>
    <t>99901723</t>
  </si>
  <si>
    <t>S.A CARE 2.0 for iMac 延長保固 二年期 $4,890 (MRQY2TA/A)</t>
  </si>
  <si>
    <t>99901799</t>
  </si>
  <si>
    <t>S.A CARE 2.0 for iPhone SE二代 一年期 ($1,990)</t>
  </si>
  <si>
    <t>99901800</t>
  </si>
  <si>
    <t>S.A CARE 2.0 for iPhone SE二代 二年期 ($2,790)</t>
  </si>
  <si>
    <t>99901802</t>
  </si>
  <si>
    <t>S.A CARE 2.0 for iPhone SE二代 檢測新機 二年期 ($2,790)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</si>
</sst>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76" formatCode="0_);[Red]\(0\)"/>
    <numFmt numFmtId="177" formatCode="#,##0_ "/>
    <numFmt numFmtId="178" formatCode="0.0%"/>
    <numFmt numFmtId="179" formatCode="_-* #,##0_-;\-* #,##0_-;_-* &quot;-&quot;??_-;_-@_-"/>
    <numFmt numFmtId="180" formatCode="yy/mm/dd"/>
    <numFmt numFmtId="181" formatCode="0&quot; &quot;"/>
  </numFmts>
  <fonts count="24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B0F0"/>
      <name val="新細明體"/>
      <family val="2"/>
      <charset val="136"/>
      <scheme val="minor"/>
    </font>
    <font>
      <sz val="9"/>
      <name val="宋体"/>
      <charset val="134"/>
    </font>
    <font>
      <sz val="12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0"/>
      <color indexed="8"/>
      <name val="新細明體"/>
      <family val="1"/>
      <charset val="136"/>
      <scheme val="minor"/>
    </font>
    <font>
      <sz val="10"/>
      <color rgb="FF000000"/>
      <name val="新細明體"/>
      <family val="3"/>
      <charset val="136"/>
      <scheme val="minor"/>
    </font>
    <font>
      <sz val="10"/>
      <color indexed="8"/>
      <name val="Monaco"/>
      <family val="2"/>
    </font>
    <font>
      <sz val="12"/>
      <color theme="0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1"/>
      <color indexed="8"/>
      <name val="Yuanti TC"/>
      <family val="2"/>
      <charset val="136"/>
    </font>
    <font>
      <sz val="10"/>
      <color indexed="8"/>
      <name val="新細明體"/>
      <family val="1"/>
      <charset val="136"/>
    </font>
    <font>
      <sz val="11"/>
      <color rgb="FF000000"/>
      <name val="Yuanti TC"/>
      <family val="2"/>
      <charset val="136"/>
    </font>
    <font>
      <sz val="11"/>
      <color indexed="8"/>
      <name val="新細明體"/>
      <family val="1"/>
      <charset val="136"/>
      <scheme val="minor"/>
    </font>
    <font>
      <sz val="8"/>
      <name val="Arial"/>
      <family val="2"/>
    </font>
    <font>
      <sz val="12"/>
      <color rgb="FF000000"/>
      <name val="Helvetica"/>
      <family val="2"/>
    </font>
    <font>
      <b/>
      <sz val="8"/>
      <name val="Arial"/>
      <family val="2"/>
    </font>
    <font>
      <sz val="9"/>
      <name val="Arial"/>
      <family val="2"/>
    </font>
    <font>
      <sz val="9"/>
      <name val="Wawati TC"/>
      <family val="3"/>
      <charset val="136"/>
    </font>
    <font>
      <sz val="12"/>
      <color rgb="FF000000"/>
      <name val="新細明體"/>
      <family val="1"/>
      <charset val="136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indexed="43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indexed="8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>
      <alignment vertical="center"/>
    </xf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0" borderId="0"/>
  </cellStyleXfs>
  <cellXfs count="97">
    <xf numFmtId="0" fontId="0" fillId="0" borderId="0" xfId="0"/>
    <xf numFmtId="0" fontId="3" fillId="2" borderId="0" xfId="0" applyFont="1" applyFill="1"/>
    <xf numFmtId="0" fontId="6" fillId="3" borderId="3" xfId="3" applyFont="1" applyFill="1" applyBorder="1" applyAlignment="1" applyProtection="1">
      <alignment vertical="center"/>
      <protection locked="0"/>
    </xf>
    <xf numFmtId="176" fontId="5" fillId="3" borderId="3" xfId="3" applyNumberFormat="1" applyFont="1" applyFill="1" applyBorder="1" applyAlignment="1" applyProtection="1">
      <alignment horizontal="right" vertical="center"/>
      <protection locked="0"/>
    </xf>
    <xf numFmtId="176" fontId="5" fillId="3" borderId="3" xfId="0" applyNumberFormat="1" applyFont="1" applyFill="1" applyBorder="1" applyAlignment="1" applyProtection="1">
      <alignment vertical="center"/>
      <protection locked="0"/>
    </xf>
    <xf numFmtId="0" fontId="5" fillId="4" borderId="6" xfId="3" applyFont="1" applyFill="1" applyBorder="1" applyAlignment="1" applyProtection="1">
      <alignment vertical="center"/>
      <protection locked="0"/>
    </xf>
    <xf numFmtId="176" fontId="5" fillId="3" borderId="1" xfId="3" applyNumberFormat="1" applyFont="1" applyFill="1" applyBorder="1" applyAlignment="1" applyProtection="1">
      <alignment vertical="center"/>
      <protection locked="0"/>
    </xf>
    <xf numFmtId="176" fontId="5" fillId="4" borderId="7" xfId="0" applyNumberFormat="1" applyFont="1" applyFill="1" applyBorder="1" applyAlignment="1" applyProtection="1">
      <alignment vertical="center"/>
      <protection locked="0"/>
    </xf>
    <xf numFmtId="0" fontId="7" fillId="0" borderId="6" xfId="0" applyNumberFormat="1" applyFont="1" applyFill="1" applyBorder="1" applyAlignment="1">
      <alignment vertical="center"/>
    </xf>
    <xf numFmtId="0" fontId="7" fillId="0" borderId="1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 applyProtection="1">
      <alignment horizontal="right" vertical="center"/>
      <protection locked="0"/>
    </xf>
    <xf numFmtId="177" fontId="7" fillId="0" borderId="1" xfId="0" applyNumberFormat="1" applyFont="1" applyFill="1" applyBorder="1" applyAlignment="1" applyProtection="1">
      <alignment horizontal="right" vertical="center"/>
    </xf>
    <xf numFmtId="178" fontId="7" fillId="0" borderId="1" xfId="0" applyNumberFormat="1" applyFont="1" applyFill="1" applyBorder="1" applyAlignment="1">
      <alignment horizontal="right" vertical="center"/>
    </xf>
    <xf numFmtId="0" fontId="8" fillId="0" borderId="6" xfId="0" applyFont="1" applyBorder="1" applyAlignment="1">
      <alignment vertical="center"/>
    </xf>
    <xf numFmtId="177" fontId="7" fillId="0" borderId="1" xfId="1" applyNumberFormat="1" applyFont="1" applyFill="1" applyBorder="1" applyAlignment="1" applyProtection="1">
      <alignment horizontal="right" vertical="center"/>
    </xf>
    <xf numFmtId="177" fontId="7" fillId="4" borderId="1" xfId="0" applyNumberFormat="1" applyFont="1" applyFill="1" applyBorder="1" applyAlignment="1" applyProtection="1">
      <alignment horizontal="right" vertical="center"/>
      <protection locked="0"/>
    </xf>
    <xf numFmtId="178" fontId="7" fillId="0" borderId="1" xfId="0" applyNumberFormat="1" applyFont="1" applyFill="1" applyBorder="1" applyAlignment="1" applyProtection="1">
      <alignment horizontal="right" vertical="center"/>
    </xf>
    <xf numFmtId="176" fontId="7" fillId="3" borderId="1" xfId="0" applyNumberFormat="1" applyFont="1" applyFill="1" applyBorder="1" applyAlignment="1" applyProtection="1">
      <alignment horizontal="right" vertical="center"/>
      <protection locked="0"/>
    </xf>
    <xf numFmtId="176" fontId="7" fillId="4" borderId="1" xfId="0" applyNumberFormat="1" applyFont="1" applyFill="1" applyBorder="1" applyAlignment="1" applyProtection="1">
      <alignment horizontal="right" vertical="center"/>
      <protection locked="0"/>
    </xf>
    <xf numFmtId="179" fontId="7" fillId="3" borderId="1" xfId="1" applyNumberFormat="1" applyFont="1" applyFill="1" applyBorder="1" applyAlignment="1" applyProtection="1">
      <alignment horizontal="right" vertical="center"/>
      <protection locked="0"/>
    </xf>
    <xf numFmtId="179" fontId="7" fillId="0" borderId="1" xfId="1" applyNumberFormat="1" applyFont="1" applyFill="1" applyBorder="1" applyAlignment="1" applyProtection="1">
      <alignment horizontal="right" vertical="center"/>
    </xf>
    <xf numFmtId="177" fontId="7" fillId="3" borderId="10" xfId="0" applyNumberFormat="1" applyFont="1" applyFill="1" applyBorder="1" applyAlignment="1" applyProtection="1">
      <alignment horizontal="right" vertical="center"/>
      <protection locked="0"/>
    </xf>
    <xf numFmtId="0" fontId="8" fillId="0" borderId="11" xfId="0" applyFont="1" applyBorder="1" applyAlignment="1">
      <alignment vertical="center"/>
    </xf>
    <xf numFmtId="178" fontId="7" fillId="0" borderId="10" xfId="0" applyNumberFormat="1" applyFont="1" applyFill="1" applyBorder="1" applyAlignment="1" applyProtection="1">
      <alignment horizontal="right" vertical="center"/>
    </xf>
    <xf numFmtId="10" fontId="7" fillId="0" borderId="1" xfId="0" applyNumberFormat="1" applyFont="1" applyFill="1" applyBorder="1" applyAlignment="1">
      <alignment horizontal="right" vertical="center"/>
    </xf>
    <xf numFmtId="178" fontId="7" fillId="0" borderId="1" xfId="2" applyNumberFormat="1" applyFont="1" applyFill="1" applyBorder="1" applyAlignment="1">
      <alignment horizontal="right" vertical="center"/>
    </xf>
    <xf numFmtId="177" fontId="7" fillId="0" borderId="1" xfId="0" applyNumberFormat="1" applyFont="1" applyFill="1" applyBorder="1" applyAlignment="1">
      <alignment horizontal="right" vertical="center"/>
    </xf>
    <xf numFmtId="0" fontId="7" fillId="6" borderId="1" xfId="0" applyNumberFormat="1" applyFont="1" applyFill="1" applyBorder="1" applyAlignment="1">
      <alignment horizontal="center" vertical="center"/>
    </xf>
    <xf numFmtId="0" fontId="7" fillId="6" borderId="7" xfId="0" applyNumberFormat="1" applyFont="1" applyFill="1" applyBorder="1" applyAlignment="1">
      <alignment horizontal="center" vertical="center"/>
    </xf>
    <xf numFmtId="178" fontId="7" fillId="6" borderId="7" xfId="0" applyNumberFormat="1" applyFont="1" applyFill="1" applyBorder="1" applyAlignment="1">
      <alignment horizontal="right" vertical="center"/>
    </xf>
    <xf numFmtId="178" fontId="7" fillId="6" borderId="7" xfId="0" applyNumberFormat="1" applyFont="1" applyFill="1" applyBorder="1" applyAlignment="1" applyProtection="1">
      <alignment horizontal="right" vertical="center"/>
    </xf>
    <xf numFmtId="10" fontId="7" fillId="6" borderId="1" xfId="0" applyNumberFormat="1" applyFont="1" applyFill="1" applyBorder="1" applyAlignment="1">
      <alignment horizontal="right" vertical="center"/>
    </xf>
    <xf numFmtId="177" fontId="7" fillId="6" borderId="1" xfId="1" applyNumberFormat="1" applyFont="1" applyFill="1" applyBorder="1" applyAlignment="1">
      <alignment horizontal="right" vertical="center"/>
    </xf>
    <xf numFmtId="0" fontId="5" fillId="5" borderId="8" xfId="3" applyFont="1" applyFill="1" applyBorder="1" applyAlignment="1">
      <alignment vertical="center"/>
    </xf>
    <xf numFmtId="0" fontId="5" fillId="5" borderId="0" xfId="3" applyFont="1" applyFill="1" applyBorder="1" applyAlignment="1">
      <alignment vertical="center"/>
    </xf>
    <xf numFmtId="0" fontId="5" fillId="5" borderId="0" xfId="3" applyFont="1" applyFill="1" applyBorder="1" applyAlignment="1">
      <alignment horizontal="right" vertical="center"/>
    </xf>
    <xf numFmtId="0" fontId="5" fillId="5" borderId="0" xfId="0" applyFont="1" applyFill="1" applyBorder="1" applyAlignment="1">
      <alignment vertical="center"/>
    </xf>
    <xf numFmtId="10" fontId="5" fillId="5" borderId="9" xfId="0" applyNumberFormat="1" applyFont="1" applyFill="1" applyBorder="1" applyAlignment="1">
      <alignment vertical="center"/>
    </xf>
    <xf numFmtId="0" fontId="5" fillId="5" borderId="4" xfId="3" applyFont="1" applyFill="1" applyBorder="1" applyAlignment="1">
      <alignment vertical="center"/>
    </xf>
    <xf numFmtId="0" fontId="5" fillId="5" borderId="2" xfId="3" applyFont="1" applyFill="1" applyBorder="1" applyAlignment="1">
      <alignment vertical="center"/>
    </xf>
    <xf numFmtId="0" fontId="5" fillId="5" borderId="5" xfId="0" applyFont="1" applyFill="1" applyBorder="1" applyAlignment="1">
      <alignment horizontal="right" vertical="center"/>
    </xf>
    <xf numFmtId="0" fontId="10" fillId="0" borderId="0" xfId="0" applyFont="1"/>
    <xf numFmtId="0" fontId="0" fillId="7" borderId="0" xfId="0" applyFill="1"/>
    <xf numFmtId="0" fontId="3" fillId="8" borderId="0" xfId="0" applyFont="1" applyFill="1"/>
    <xf numFmtId="0" fontId="3" fillId="9" borderId="0" xfId="0" applyFont="1" applyFill="1"/>
    <xf numFmtId="0" fontId="13" fillId="0" borderId="0" xfId="0" applyFont="1"/>
    <xf numFmtId="180" fontId="10" fillId="0" borderId="0" xfId="0" applyNumberFormat="1" applyFont="1"/>
    <xf numFmtId="0" fontId="16" fillId="0" borderId="0" xfId="0" applyFont="1"/>
    <xf numFmtId="0" fontId="7" fillId="0" borderId="11" xfId="0" applyNumberFormat="1" applyFont="1" applyFill="1" applyBorder="1" applyAlignment="1">
      <alignment vertical="center"/>
    </xf>
    <xf numFmtId="0" fontId="14" fillId="10" borderId="26" xfId="0" applyNumberFormat="1" applyFont="1" applyFill="1" applyBorder="1" applyAlignment="1">
      <alignment vertical="center"/>
    </xf>
    <xf numFmtId="178" fontId="7" fillId="0" borderId="25" xfId="0" applyNumberFormat="1" applyFont="1" applyFill="1" applyBorder="1" applyAlignment="1">
      <alignment horizontal="right" vertical="center"/>
    </xf>
    <xf numFmtId="178" fontId="7" fillId="6" borderId="30" xfId="0" applyNumberFormat="1" applyFont="1" applyFill="1" applyBorder="1" applyAlignment="1">
      <alignment horizontal="right" vertical="center"/>
    </xf>
    <xf numFmtId="177" fontId="7" fillId="0" borderId="25" xfId="0" applyNumberFormat="1" applyFont="1" applyFill="1" applyBorder="1" applyAlignment="1">
      <alignment horizontal="right" vertical="center"/>
    </xf>
    <xf numFmtId="177" fontId="7" fillId="6" borderId="25" xfId="1" applyNumberFormat="1" applyFont="1" applyFill="1" applyBorder="1" applyAlignment="1">
      <alignment horizontal="right" vertical="center"/>
    </xf>
    <xf numFmtId="0" fontId="7" fillId="0" borderId="24" xfId="0" applyNumberFormat="1" applyFont="1" applyFill="1" applyBorder="1" applyAlignment="1">
      <alignment vertical="center"/>
    </xf>
    <xf numFmtId="178" fontId="7" fillId="0" borderId="32" xfId="0" applyNumberFormat="1" applyFont="1" applyFill="1" applyBorder="1" applyAlignment="1">
      <alignment horizontal="right" vertical="center"/>
    </xf>
    <xf numFmtId="178" fontId="7" fillId="6" borderId="1" xfId="1" applyNumberFormat="1" applyFont="1" applyFill="1" applyBorder="1" applyAlignment="1">
      <alignment horizontal="right" vertical="center"/>
    </xf>
    <xf numFmtId="49" fontId="0" fillId="0" borderId="0" xfId="0" applyNumberFormat="1"/>
    <xf numFmtId="177" fontId="7" fillId="3" borderId="25" xfId="0" applyNumberFormat="1" applyFont="1" applyFill="1" applyBorder="1" applyAlignment="1" applyProtection="1">
      <alignment horizontal="right" vertical="center"/>
      <protection locked="0"/>
    </xf>
    <xf numFmtId="177" fontId="7" fillId="4" borderId="25" xfId="0" applyNumberFormat="1" applyFont="1" applyFill="1" applyBorder="1" applyAlignment="1" applyProtection="1">
      <alignment horizontal="right" vertical="center"/>
      <protection locked="0"/>
    </xf>
    <xf numFmtId="49" fontId="1" fillId="0" borderId="1" xfId="24" applyNumberFormat="1" applyFont="1" applyBorder="1"/>
    <xf numFmtId="0" fontId="1" fillId="0" borderId="1" xfId="24" applyBorder="1"/>
    <xf numFmtId="0" fontId="1" fillId="0" borderId="1" xfId="24" applyFont="1" applyBorder="1"/>
    <xf numFmtId="0" fontId="1" fillId="0" borderId="1" xfId="25" applyBorder="1"/>
    <xf numFmtId="49" fontId="0" fillId="0" borderId="1" xfId="24" applyNumberFormat="1" applyFont="1" applyBorder="1"/>
    <xf numFmtId="0" fontId="0" fillId="0" borderId="0" xfId="0" applyFill="1"/>
    <xf numFmtId="0" fontId="18" fillId="0" borderId="1" xfId="0" applyFont="1" applyBorder="1"/>
    <xf numFmtId="4" fontId="18" fillId="0" borderId="1" xfId="0" applyNumberFormat="1" applyFont="1" applyBorder="1"/>
    <xf numFmtId="0" fontId="18" fillId="11" borderId="1" xfId="0" applyFont="1" applyFill="1" applyBorder="1"/>
    <xf numFmtId="4" fontId="18" fillId="11" borderId="1" xfId="0" applyNumberFormat="1" applyFont="1" applyFill="1" applyBorder="1"/>
    <xf numFmtId="0" fontId="20" fillId="0" borderId="1" xfId="0" applyFont="1" applyBorder="1"/>
    <xf numFmtId="0" fontId="1" fillId="0" borderId="34" xfId="25" applyBorder="1"/>
    <xf numFmtId="49" fontId="1" fillId="0" borderId="1" xfId="24" applyNumberFormat="1" applyBorder="1"/>
    <xf numFmtId="181" fontId="14" fillId="3" borderId="31" xfId="0" applyNumberFormat="1" applyFont="1" applyFill="1" applyBorder="1" applyAlignment="1">
      <alignment horizontal="left" vertical="center"/>
    </xf>
    <xf numFmtId="181" fontId="15" fillId="3" borderId="32" xfId="0" applyNumberFormat="1" applyFont="1" applyFill="1" applyBorder="1" applyAlignment="1">
      <alignment horizontal="left" vertical="center"/>
    </xf>
    <xf numFmtId="181" fontId="15" fillId="3" borderId="33" xfId="0" applyNumberFormat="1" applyFont="1" applyFill="1" applyBorder="1" applyAlignment="1">
      <alignment horizontal="left" vertical="center"/>
    </xf>
    <xf numFmtId="181" fontId="14" fillId="3" borderId="27" xfId="0" applyNumberFormat="1" applyFont="1" applyFill="1" applyBorder="1" applyAlignment="1">
      <alignment horizontal="left" vertical="center"/>
    </xf>
    <xf numFmtId="181" fontId="0" fillId="3" borderId="28" xfId="0" applyNumberFormat="1" applyFont="1" applyFill="1" applyBorder="1" applyAlignment="1">
      <alignment horizontal="left" vertical="center"/>
    </xf>
    <xf numFmtId="181" fontId="0" fillId="3" borderId="29" xfId="0" applyNumberFormat="1" applyFont="1" applyFill="1" applyBorder="1" applyAlignment="1">
      <alignment horizontal="left" vertical="center"/>
    </xf>
    <xf numFmtId="49" fontId="17" fillId="10" borderId="12" xfId="0" applyNumberFormat="1" applyFont="1" applyFill="1" applyBorder="1" applyAlignment="1">
      <alignment horizontal="left" vertical="center"/>
    </xf>
    <xf numFmtId="49" fontId="17" fillId="10" borderId="13" xfId="0" applyNumberFormat="1" applyFont="1" applyFill="1" applyBorder="1" applyAlignment="1">
      <alignment horizontal="left" vertical="center"/>
    </xf>
    <xf numFmtId="49" fontId="17" fillId="10" borderId="19" xfId="0" applyNumberFormat="1" applyFont="1" applyFill="1" applyBorder="1" applyAlignment="1">
      <alignment horizontal="left" vertical="center"/>
    </xf>
    <xf numFmtId="49" fontId="17" fillId="10" borderId="20" xfId="0" applyNumberFormat="1" applyFont="1" applyFill="1" applyBorder="1" applyAlignment="1">
      <alignment horizontal="left" vertical="center"/>
    </xf>
    <xf numFmtId="49" fontId="15" fillId="3" borderId="14" xfId="0" applyNumberFormat="1" applyFont="1" applyFill="1" applyBorder="1" applyAlignment="1">
      <alignment horizontal="left" vertical="top" wrapText="1"/>
    </xf>
    <xf numFmtId="49" fontId="15" fillId="3" borderId="15" xfId="0" applyNumberFormat="1" applyFont="1" applyFill="1" applyBorder="1" applyAlignment="1">
      <alignment horizontal="left" vertical="top" wrapText="1"/>
    </xf>
    <xf numFmtId="49" fontId="15" fillId="3" borderId="16" xfId="0" applyNumberFormat="1" applyFont="1" applyFill="1" applyBorder="1" applyAlignment="1">
      <alignment horizontal="left" vertical="top" wrapText="1"/>
    </xf>
    <xf numFmtId="49" fontId="15" fillId="3" borderId="17" xfId="0" applyNumberFormat="1" applyFont="1" applyFill="1" applyBorder="1" applyAlignment="1">
      <alignment horizontal="left" vertical="top" wrapText="1"/>
    </xf>
    <xf numFmtId="49" fontId="15" fillId="3" borderId="0" xfId="0" applyNumberFormat="1" applyFont="1" applyFill="1" applyBorder="1" applyAlignment="1">
      <alignment horizontal="left" vertical="top" wrapText="1"/>
    </xf>
    <xf numFmtId="49" fontId="15" fillId="3" borderId="18" xfId="0" applyNumberFormat="1" applyFont="1" applyFill="1" applyBorder="1" applyAlignment="1">
      <alignment horizontal="left" vertical="top" wrapText="1"/>
    </xf>
    <xf numFmtId="49" fontId="15" fillId="3" borderId="21" xfId="0" applyNumberFormat="1" applyFont="1" applyFill="1" applyBorder="1" applyAlignment="1">
      <alignment horizontal="left" vertical="top" wrapText="1"/>
    </xf>
    <xf numFmtId="49" fontId="15" fillId="3" borderId="22" xfId="0" applyNumberFormat="1" applyFont="1" applyFill="1" applyBorder="1" applyAlignment="1">
      <alignment horizontal="left" vertical="top" wrapText="1"/>
    </xf>
    <xf numFmtId="49" fontId="15" fillId="3" borderId="23" xfId="0" applyNumberFormat="1" applyFont="1" applyFill="1" applyBorder="1" applyAlignment="1">
      <alignment horizontal="left" vertical="top" wrapText="1"/>
    </xf>
    <xf numFmtId="0" fontId="7" fillId="0" borderId="6" xfId="0" applyFont="1" applyBorder="1" applyAlignment="1">
      <alignment vertical="center"/>
    </xf>
    <xf numFmtId="10" fontId="7" fillId="0" borderId="1" xfId="0" applyNumberFormat="1" applyFont="1" applyBorder="1" applyAlignment="1">
      <alignment horizontal="right" vertical="center"/>
    </xf>
    <xf numFmtId="178" fontId="7" fillId="0" borderId="1" xfId="0" applyNumberFormat="1" applyFont="1" applyBorder="1" applyAlignment="1">
      <alignment horizontal="right" vertical="center"/>
    </xf>
    <xf numFmtId="0" fontId="20" fillId="11" borderId="1" xfId="0" applyFont="1" applyFill="1" applyBorder="1"/>
    <xf numFmtId="4" fontId="20" fillId="11" borderId="1" xfId="0" applyNumberFormat="1" applyFont="1" applyFill="1" applyBorder="1"/>
  </cellXfs>
  <cellStyles count="26">
    <cellStyle name="一般" xfId="0" builtinId="0"/>
    <cellStyle name="一般 2" xfId="24" xr:uid="{43C12A6E-A3C2-0246-97DF-6F144AF90FA6}"/>
    <cellStyle name="一般 3" xfId="25" xr:uid="{C02699D6-33D2-BE4C-A756-735C48AF718C}"/>
    <cellStyle name="千分位" xfId="1" builtinId="3"/>
    <cellStyle name="已瀏覽過的超連結" xfId="5" builtinId="9" hidden="1"/>
    <cellStyle name="已瀏覽過的超連結" xfId="7" builtinId="9" hidden="1"/>
    <cellStyle name="已瀏覽過的超連結" xfId="9" builtinId="9" hidden="1"/>
    <cellStyle name="已瀏覽過的超連結" xfId="11" builtinId="9" hidden="1"/>
    <cellStyle name="已瀏覽過的超連結" xfId="13" builtinId="9" hidden="1"/>
    <cellStyle name="已瀏覽過的超連結" xfId="15" builtinId="9" hidden="1"/>
    <cellStyle name="已瀏覽過的超連結" xfId="17" builtinId="9" hidden="1"/>
    <cellStyle name="已瀏覽過的超連結" xfId="19" builtinId="9" hidden="1"/>
    <cellStyle name="已瀏覽過的超連結" xfId="21" builtinId="9" hidden="1"/>
    <cellStyle name="已瀏覽過的超連結" xfId="23" builtinId="9" hidden="1"/>
    <cellStyle name="百分比" xfId="2" builtinId="5"/>
    <cellStyle name="常规_金鹰天地店" xfId="3" xr:uid="{00000000-0005-0000-0000-00000C000000}"/>
    <cellStyle name="超連結" xfId="4" builtinId="8" hidden="1"/>
    <cellStyle name="超連結" xfId="6" builtinId="8" hidden="1"/>
    <cellStyle name="超連結" xfId="8" builtinId="8" hidden="1"/>
    <cellStyle name="超連結" xfId="10" builtinId="8" hidden="1"/>
    <cellStyle name="超連結" xfId="12" builtinId="8" hidden="1"/>
    <cellStyle name="超連結" xfId="14" builtinId="8" hidden="1"/>
    <cellStyle name="超連結" xfId="16" builtinId="8" hidden="1"/>
    <cellStyle name="超連結" xfId="18" builtinId="8" hidden="1"/>
    <cellStyle name="超連結" xfId="20" builtinId="8" hidden="1"/>
    <cellStyle name="超連結" xfId="22" builtinId="8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50</xdr:row>
          <xdr:rowOff>0</xdr:rowOff>
        </xdr:from>
        <xdr:to>
          <xdr:col>7</xdr:col>
          <xdr:colOff>1041400</xdr:colOff>
          <xdr:row>52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清除暫存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812800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執行每日計算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800100</xdr:colOff>
          <xdr:row>7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執行每月累計計算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</xdr:row>
          <xdr:rowOff>38100</xdr:rowOff>
        </xdr:from>
        <xdr:to>
          <xdr:col>4</xdr:col>
          <xdr:colOff>800100</xdr:colOff>
          <xdr:row>6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執行同期比較計算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4</xdr:row>
          <xdr:rowOff>25400</xdr:rowOff>
        </xdr:from>
        <xdr:to>
          <xdr:col>8</xdr:col>
          <xdr:colOff>723900</xdr:colOff>
          <xdr:row>6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723900</xdr:colOff>
          <xdr:row>1</xdr:row>
          <xdr:rowOff>165100</xdr:rowOff>
        </xdr:from>
        <xdr:to>
          <xdr:col>3</xdr:col>
          <xdr:colOff>114300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清除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資料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</xdr:row>
          <xdr:rowOff>165100</xdr:rowOff>
        </xdr:from>
        <xdr:to>
          <xdr:col>5</xdr:col>
          <xdr:colOff>749300</xdr:colOff>
          <xdr:row>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每日營業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317500</xdr:colOff>
          <xdr:row>1</xdr:row>
          <xdr:rowOff>165100</xdr:rowOff>
        </xdr:from>
        <xdr:to>
          <xdr:col>11</xdr:col>
          <xdr:colOff>533400</xdr:colOff>
          <xdr:row>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同期比較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1</xdr:row>
          <xdr:rowOff>165100</xdr:rowOff>
        </xdr:from>
        <xdr:to>
          <xdr:col>8</xdr:col>
          <xdr:colOff>596900</xdr:colOff>
          <xdr:row>4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每月累積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Helvetica" charset="0"/>
                  <a:ea typeface="新細明體" charset="-120"/>
                </a:rPr>
                <a:t>SACare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金額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48"/>
  <sheetViews>
    <sheetView tabSelected="1" workbookViewId="0">
      <selection activeCell="E33" sqref="E33"/>
    </sheetView>
  </sheetViews>
  <sheetFormatPr baseColWidth="10" defaultRowHeight="15"/>
  <cols>
    <col min="2" max="2" width="21" customWidth="1"/>
    <col min="4" max="4" width="13.6640625" customWidth="1"/>
    <col min="6" max="6" width="13.6640625" customWidth="1"/>
    <col min="8" max="8" width="13.83203125" bestFit="1" customWidth="1"/>
  </cols>
  <sheetData>
    <row r="1" spans="1:8">
      <c r="A1" s="41" t="s">
        <v>570</v>
      </c>
    </row>
    <row r="2" spans="1:8" ht="16" thickBot="1">
      <c r="H2" s="46">
        <f ca="1">NOW()</f>
        <v>43990.480886689817</v>
      </c>
    </row>
    <row r="3" spans="1:8">
      <c r="B3" s="39" t="s">
        <v>0</v>
      </c>
      <c r="C3" s="2" t="s">
        <v>47</v>
      </c>
      <c r="D3" s="38" t="s">
        <v>1</v>
      </c>
      <c r="E3" s="3">
        <v>4</v>
      </c>
      <c r="F3" s="38" t="s">
        <v>2</v>
      </c>
      <c r="G3" s="4">
        <v>6</v>
      </c>
      <c r="H3" s="40" t="s">
        <v>3</v>
      </c>
    </row>
    <row r="4" spans="1:8">
      <c r="B4" s="5" t="str">
        <f ca="1">"Date : "&amp;MONTH(H2)&amp;"月"</f>
        <v>Date : 6月</v>
      </c>
      <c r="C4" s="6">
        <v>7</v>
      </c>
      <c r="D4" s="34" t="s">
        <v>4</v>
      </c>
      <c r="E4" s="35"/>
      <c r="F4" s="34"/>
      <c r="G4" s="36"/>
      <c r="H4" s="7">
        <v>30</v>
      </c>
    </row>
    <row r="5" spans="1:8">
      <c r="B5" s="33"/>
      <c r="C5" s="34"/>
      <c r="D5" s="34"/>
      <c r="E5" s="35" t="s">
        <v>48</v>
      </c>
      <c r="F5" s="36"/>
      <c r="G5" s="36" t="s">
        <v>5</v>
      </c>
      <c r="H5" s="37">
        <f>C4/H4</f>
        <v>0.23333333333333334</v>
      </c>
    </row>
    <row r="6" spans="1:8">
      <c r="B6" s="8" t="s">
        <v>6</v>
      </c>
      <c r="C6" s="9" t="s">
        <v>7</v>
      </c>
      <c r="D6" s="9" t="s">
        <v>8</v>
      </c>
      <c r="E6" s="9" t="s">
        <v>9</v>
      </c>
      <c r="F6" s="9" t="s">
        <v>10</v>
      </c>
      <c r="G6" s="27" t="s">
        <v>11</v>
      </c>
      <c r="H6" s="28" t="s">
        <v>12</v>
      </c>
    </row>
    <row r="7" spans="1:8">
      <c r="B7" s="8" t="s">
        <v>13</v>
      </c>
      <c r="C7" s="10">
        <v>12239242</v>
      </c>
      <c r="D7" s="10">
        <v>10330981</v>
      </c>
      <c r="E7" s="11">
        <v>15000000</v>
      </c>
      <c r="F7" s="12">
        <f t="shared" ref="F7:F34" si="0">D7/E7</f>
        <v>0.68873206666666664</v>
      </c>
      <c r="G7" s="10">
        <v>159413</v>
      </c>
      <c r="H7" s="29">
        <f>(D7-G7)/G7</f>
        <v>63.806389692183195</v>
      </c>
    </row>
    <row r="8" spans="1:8">
      <c r="B8" s="8" t="s">
        <v>78</v>
      </c>
      <c r="C8" s="10">
        <v>1717434.9000000001</v>
      </c>
      <c r="D8" s="10">
        <v>858717.45000000007</v>
      </c>
      <c r="E8" s="11"/>
      <c r="F8" s="12"/>
      <c r="G8" s="10">
        <v>0</v>
      </c>
      <c r="H8" s="29"/>
    </row>
    <row r="9" spans="1:8">
      <c r="B9" s="13" t="s">
        <v>14</v>
      </c>
      <c r="C9" s="14">
        <f>C7-C18</f>
        <v>6860830</v>
      </c>
      <c r="D9" s="14">
        <f>D7-D18</f>
        <v>4952569</v>
      </c>
      <c r="E9" s="15">
        <v>7920000</v>
      </c>
      <c r="F9" s="16">
        <f t="shared" si="0"/>
        <v>0.62532436868686869</v>
      </c>
      <c r="G9" s="14">
        <f>G7-G18</f>
        <v>47713</v>
      </c>
      <c r="H9" s="29">
        <f>(D9-G9)/G9</f>
        <v>102.79915327059712</v>
      </c>
    </row>
    <row r="10" spans="1:8">
      <c r="B10" s="13" t="s">
        <v>15</v>
      </c>
      <c r="C10" s="11">
        <f>C7-C11</f>
        <v>12239242</v>
      </c>
      <c r="D10" s="11">
        <f>D7-D11</f>
        <v>10330981</v>
      </c>
      <c r="E10" s="11">
        <f>E7-E11</f>
        <v>15000000</v>
      </c>
      <c r="F10" s="16">
        <f t="shared" si="0"/>
        <v>0.68873206666666664</v>
      </c>
      <c r="G10" s="14">
        <f>G7-G11</f>
        <v>159413</v>
      </c>
      <c r="H10" s="29">
        <f>(D10-G10)/G10</f>
        <v>63.806389692183195</v>
      </c>
    </row>
    <row r="11" spans="1:8">
      <c r="B11" s="8" t="s">
        <v>16</v>
      </c>
      <c r="C11" s="10">
        <v>0</v>
      </c>
      <c r="D11" s="10"/>
      <c r="E11" s="15"/>
      <c r="F11" s="12" t="e">
        <f t="shared" si="0"/>
        <v>#DIV/0!</v>
      </c>
      <c r="G11" s="10"/>
      <c r="H11" s="29" t="e">
        <f t="shared" ref="H11:H36" si="1">(D11-G11)/G11</f>
        <v>#DIV/0!</v>
      </c>
    </row>
    <row r="12" spans="1:8">
      <c r="B12" s="8" t="s">
        <v>17</v>
      </c>
      <c r="C12" s="10">
        <v>7102760</v>
      </c>
      <c r="D12" s="10">
        <v>7102760</v>
      </c>
      <c r="E12" s="15">
        <v>12513500</v>
      </c>
      <c r="F12" s="12">
        <f t="shared" si="0"/>
        <v>0.56760778359371877</v>
      </c>
      <c r="G12" s="10">
        <v>121000</v>
      </c>
      <c r="H12" s="29">
        <f t="shared" si="1"/>
        <v>57.700495867768595</v>
      </c>
    </row>
    <row r="13" spans="1:8">
      <c r="B13" s="8" t="s">
        <v>18</v>
      </c>
      <c r="C13" s="10">
        <v>721445</v>
      </c>
      <c r="D13" s="10">
        <v>721445</v>
      </c>
      <c r="E13" s="15">
        <v>790</v>
      </c>
      <c r="F13" s="12">
        <f t="shared" si="0"/>
        <v>913.22151898734182</v>
      </c>
      <c r="G13" s="10">
        <v>28970</v>
      </c>
      <c r="H13" s="29">
        <f t="shared" si="1"/>
        <v>23.903175698998965</v>
      </c>
    </row>
    <row r="14" spans="1:8">
      <c r="B14" s="8" t="s">
        <v>19</v>
      </c>
      <c r="C14" s="17">
        <v>17</v>
      </c>
      <c r="D14" s="17">
        <v>17</v>
      </c>
      <c r="E14" s="18">
        <v>85</v>
      </c>
      <c r="F14" s="12">
        <f t="shared" si="0"/>
        <v>0.2</v>
      </c>
      <c r="G14" s="17">
        <v>0</v>
      </c>
      <c r="H14" s="29" t="e">
        <f t="shared" si="1"/>
        <v>#DIV/0!</v>
      </c>
    </row>
    <row r="15" spans="1:8">
      <c r="B15" s="8" t="s">
        <v>20</v>
      </c>
      <c r="C15" s="17">
        <v>18</v>
      </c>
      <c r="D15" s="17">
        <v>18</v>
      </c>
      <c r="E15" s="18">
        <v>70</v>
      </c>
      <c r="F15" s="12">
        <f t="shared" si="0"/>
        <v>0.25714285714285712</v>
      </c>
      <c r="G15" s="17">
        <v>0</v>
      </c>
      <c r="H15" s="29" t="e">
        <f>(D15-G15)/G15</f>
        <v>#DIV/0!</v>
      </c>
    </row>
    <row r="16" spans="1:8">
      <c r="B16" s="8" t="s">
        <v>21</v>
      </c>
      <c r="C16" s="17">
        <v>8</v>
      </c>
      <c r="D16" s="17">
        <v>8</v>
      </c>
      <c r="E16" s="18">
        <v>25</v>
      </c>
      <c r="F16" s="12">
        <f t="shared" si="0"/>
        <v>0.32</v>
      </c>
      <c r="G16" s="17">
        <v>0</v>
      </c>
      <c r="H16" s="29" t="e">
        <f t="shared" si="1"/>
        <v>#DIV/0!</v>
      </c>
    </row>
    <row r="17" spans="2:8">
      <c r="B17" s="8" t="s">
        <v>22</v>
      </c>
      <c r="C17" s="17">
        <v>164</v>
      </c>
      <c r="D17" s="17">
        <v>164</v>
      </c>
      <c r="E17" s="18">
        <v>253</v>
      </c>
      <c r="F17" s="12">
        <f t="shared" si="0"/>
        <v>0.64822134387351782</v>
      </c>
      <c r="G17" s="17">
        <v>3</v>
      </c>
      <c r="H17" s="29">
        <f t="shared" si="1"/>
        <v>53.666666666666664</v>
      </c>
    </row>
    <row r="18" spans="2:8">
      <c r="B18" s="8" t="s">
        <v>23</v>
      </c>
      <c r="C18" s="19">
        <v>5378412</v>
      </c>
      <c r="D18" s="19">
        <v>5378412</v>
      </c>
      <c r="E18" s="20">
        <f>E17*28000</f>
        <v>7084000</v>
      </c>
      <c r="F18" s="12">
        <f t="shared" si="0"/>
        <v>0.75923376623376626</v>
      </c>
      <c r="G18" s="19">
        <v>111700</v>
      </c>
      <c r="H18" s="29">
        <f t="shared" si="1"/>
        <v>47.150510295434202</v>
      </c>
    </row>
    <row r="19" spans="2:8">
      <c r="B19" s="8" t="s">
        <v>24</v>
      </c>
      <c r="C19" s="21">
        <v>26</v>
      </c>
      <c r="D19" s="21">
        <v>26</v>
      </c>
      <c r="E19" s="15">
        <v>10</v>
      </c>
      <c r="F19" s="16">
        <f t="shared" si="0"/>
        <v>2.6</v>
      </c>
      <c r="G19" s="21">
        <v>1</v>
      </c>
      <c r="H19" s="30">
        <f>(D19-G19)/G19</f>
        <v>25</v>
      </c>
    </row>
    <row r="20" spans="2:8">
      <c r="B20" s="13" t="s">
        <v>25</v>
      </c>
      <c r="C20" s="21">
        <v>1</v>
      </c>
      <c r="D20" s="21">
        <v>3</v>
      </c>
      <c r="E20" s="15">
        <v>2</v>
      </c>
      <c r="F20" s="16">
        <f t="shared" si="0"/>
        <v>1.5</v>
      </c>
      <c r="G20" s="21">
        <v>0</v>
      </c>
      <c r="H20" s="30" t="e">
        <f>(D20-G20)/G20</f>
        <v>#DIV/0!</v>
      </c>
    </row>
    <row r="21" spans="2:8">
      <c r="B21" s="22" t="s">
        <v>26</v>
      </c>
      <c r="C21" s="23">
        <f>C20/C19</f>
        <v>3.8461538461538464E-2</v>
      </c>
      <c r="D21" s="23">
        <f>D20/D19</f>
        <v>0.11538461538461539</v>
      </c>
      <c r="E21" s="16">
        <f>E20/E19</f>
        <v>0.2</v>
      </c>
      <c r="F21" s="16">
        <f t="shared" si="0"/>
        <v>0.57692307692307687</v>
      </c>
      <c r="G21" s="23">
        <f>G20/G19</f>
        <v>0</v>
      </c>
      <c r="H21" s="30">
        <f>D21-G21</f>
        <v>0.11538461538461539</v>
      </c>
    </row>
    <row r="22" spans="2:8">
      <c r="B22" s="8" t="s">
        <v>27</v>
      </c>
      <c r="C22" s="17">
        <v>0</v>
      </c>
      <c r="D22" s="17">
        <v>0</v>
      </c>
      <c r="E22" s="18">
        <v>10</v>
      </c>
      <c r="F22" s="12">
        <f t="shared" si="0"/>
        <v>0</v>
      </c>
      <c r="G22" s="17">
        <v>0</v>
      </c>
      <c r="H22" s="29" t="e">
        <f t="shared" si="1"/>
        <v>#DIV/0!</v>
      </c>
    </row>
    <row r="23" spans="2:8">
      <c r="B23" s="8" t="s">
        <v>28</v>
      </c>
      <c r="C23" s="17">
        <v>2</v>
      </c>
      <c r="D23" s="17">
        <v>2</v>
      </c>
      <c r="E23" s="18">
        <v>30</v>
      </c>
      <c r="F23" s="12">
        <f t="shared" si="0"/>
        <v>6.6666666666666666E-2</v>
      </c>
      <c r="G23" s="17">
        <v>0</v>
      </c>
      <c r="H23" s="29" t="e">
        <f t="shared" si="1"/>
        <v>#DIV/0!</v>
      </c>
    </row>
    <row r="24" spans="2:8">
      <c r="B24" s="8" t="s">
        <v>29</v>
      </c>
      <c r="C24" s="24">
        <f>C23/C14</f>
        <v>0.11764705882352941</v>
      </c>
      <c r="D24" s="24">
        <f>D23/D14</f>
        <v>0.11764705882352941</v>
      </c>
      <c r="E24" s="24">
        <f>E23/E14</f>
        <v>0.35294117647058826</v>
      </c>
      <c r="F24" s="12">
        <f t="shared" si="0"/>
        <v>0.33333333333333331</v>
      </c>
      <c r="G24" s="31" t="e">
        <f>G23/G14</f>
        <v>#DIV/0!</v>
      </c>
      <c r="H24" s="29" t="e">
        <f>D24-G24</f>
        <v>#DIV/0!</v>
      </c>
    </row>
    <row r="25" spans="2:8">
      <c r="B25" s="8" t="s">
        <v>30</v>
      </c>
      <c r="C25" s="17">
        <v>6</v>
      </c>
      <c r="D25" s="17">
        <v>6</v>
      </c>
      <c r="E25" s="18">
        <v>30</v>
      </c>
      <c r="F25" s="12">
        <f t="shared" si="0"/>
        <v>0.2</v>
      </c>
      <c r="G25" s="17">
        <v>0</v>
      </c>
      <c r="H25" s="29" t="e">
        <f t="shared" si="1"/>
        <v>#DIV/0!</v>
      </c>
    </row>
    <row r="26" spans="2:8">
      <c r="B26" s="8" t="s">
        <v>31</v>
      </c>
      <c r="C26" s="24">
        <f>C25/C14</f>
        <v>0.35294117647058826</v>
      </c>
      <c r="D26" s="24">
        <f>D25/D14</f>
        <v>0.35294117647058826</v>
      </c>
      <c r="E26" s="24">
        <f>E25/E14</f>
        <v>0.35294117647058826</v>
      </c>
      <c r="F26" s="25">
        <f t="shared" si="0"/>
        <v>1</v>
      </c>
      <c r="G26" s="31" t="e">
        <f>G25/G14</f>
        <v>#DIV/0!</v>
      </c>
      <c r="H26" s="29" t="e">
        <f>D26-G26</f>
        <v>#DIV/0!</v>
      </c>
    </row>
    <row r="27" spans="2:8">
      <c r="B27" s="8" t="s">
        <v>32</v>
      </c>
      <c r="C27" s="24">
        <f>(C23+C25)/C14</f>
        <v>0.47058823529411764</v>
      </c>
      <c r="D27" s="24">
        <f>(D23+D25)/D14</f>
        <v>0.47058823529411764</v>
      </c>
      <c r="E27" s="24">
        <f>(E23+E25)/E14</f>
        <v>0.70588235294117652</v>
      </c>
      <c r="F27" s="25">
        <f t="shared" si="0"/>
        <v>0.66666666666666663</v>
      </c>
      <c r="G27" s="31" t="e">
        <f>(G23+G25)/G14</f>
        <v>#DIV/0!</v>
      </c>
      <c r="H27" s="29" t="e">
        <f>D27-G27</f>
        <v>#DIV/0!</v>
      </c>
    </row>
    <row r="28" spans="2:8">
      <c r="B28" s="8" t="s">
        <v>33</v>
      </c>
      <c r="C28" s="17">
        <v>31</v>
      </c>
      <c r="D28" s="17">
        <v>29</v>
      </c>
      <c r="E28" s="18">
        <v>53</v>
      </c>
      <c r="F28" s="12">
        <f t="shared" si="0"/>
        <v>0.54716981132075471</v>
      </c>
      <c r="G28" s="17">
        <v>0</v>
      </c>
      <c r="H28" s="29" t="e">
        <f>(D28-G28)/G28</f>
        <v>#DIV/0!</v>
      </c>
    </row>
    <row r="29" spans="2:8">
      <c r="B29" s="8" t="s">
        <v>34</v>
      </c>
      <c r="C29" s="24">
        <f>C28/(C16+C17+C15)</f>
        <v>0.16315789473684211</v>
      </c>
      <c r="D29" s="24">
        <f>D28/(D16+D17+D15)</f>
        <v>0.15263157894736842</v>
      </c>
      <c r="E29" s="24">
        <f>E28/(E16+E17+E15)</f>
        <v>0.15229885057471265</v>
      </c>
      <c r="F29" s="25">
        <f t="shared" si="0"/>
        <v>1.0021847070506456</v>
      </c>
      <c r="G29" s="31">
        <f>G28/(G16+G17+G15)</f>
        <v>0</v>
      </c>
      <c r="H29" s="29">
        <f>D29-G29</f>
        <v>0.15263157894736842</v>
      </c>
    </row>
    <row r="30" spans="2:8">
      <c r="B30" s="8" t="s">
        <v>35</v>
      </c>
      <c r="C30" s="10">
        <v>655028</v>
      </c>
      <c r="D30" s="10">
        <v>655028</v>
      </c>
      <c r="E30" s="15">
        <v>1700000</v>
      </c>
      <c r="F30" s="12">
        <f t="shared" si="0"/>
        <v>0.38531058823529413</v>
      </c>
      <c r="G30" s="10">
        <v>18917</v>
      </c>
      <c r="H30" s="29">
        <f t="shared" si="1"/>
        <v>33.626420679811808</v>
      </c>
    </row>
    <row r="31" spans="2:8">
      <c r="B31" s="8" t="s">
        <v>36</v>
      </c>
      <c r="C31" s="24">
        <f>C30/C10</f>
        <v>5.3518673787151201E-2</v>
      </c>
      <c r="D31" s="24">
        <f>D30/D10</f>
        <v>6.3404240120081529E-2</v>
      </c>
      <c r="E31" s="24">
        <f>E30/E10</f>
        <v>0.11333333333333333</v>
      </c>
      <c r="F31" s="12">
        <f t="shared" si="0"/>
        <v>0.55944917753013113</v>
      </c>
      <c r="G31" s="31">
        <f>G30/G10</f>
        <v>0.11866660811853487</v>
      </c>
      <c r="H31" s="29">
        <f>D31-G31</f>
        <v>-5.5262367998453341E-2</v>
      </c>
    </row>
    <row r="32" spans="2:8">
      <c r="B32" s="92" t="s">
        <v>568</v>
      </c>
      <c r="C32" s="10">
        <v>1908261</v>
      </c>
      <c r="D32" s="10">
        <v>1908261</v>
      </c>
      <c r="E32" s="93"/>
      <c r="F32" s="94"/>
      <c r="G32" s="10"/>
      <c r="H32" s="29" t="e">
        <f t="shared" ref="H32:H33" si="2">(D32-G32)/G32</f>
        <v>#DIV/0!</v>
      </c>
    </row>
    <row r="33" spans="2:11">
      <c r="B33" s="92" t="s">
        <v>569</v>
      </c>
      <c r="C33" s="93">
        <f>C32/C10</f>
        <v>0.15591333188771003</v>
      </c>
      <c r="D33" s="93">
        <f>D32/D10</f>
        <v>0.18471246825446683</v>
      </c>
      <c r="E33" s="93"/>
      <c r="F33" s="94"/>
      <c r="G33" s="31">
        <f>G32/G10</f>
        <v>0</v>
      </c>
      <c r="H33" s="29">
        <f>D33-G33</f>
        <v>0.18471246825446683</v>
      </c>
    </row>
    <row r="34" spans="2:11">
      <c r="B34" s="8" t="s">
        <v>37</v>
      </c>
      <c r="C34" s="10">
        <v>0</v>
      </c>
      <c r="D34" s="10">
        <v>0</v>
      </c>
      <c r="E34" s="15">
        <v>0</v>
      </c>
      <c r="F34" s="12" t="e">
        <f t="shared" si="0"/>
        <v>#DIV/0!</v>
      </c>
      <c r="G34" s="10">
        <v>0</v>
      </c>
      <c r="H34" s="29" t="e">
        <f t="shared" si="1"/>
        <v>#DIV/0!</v>
      </c>
    </row>
    <row r="35" spans="2:11">
      <c r="B35" s="48" t="s">
        <v>77</v>
      </c>
      <c r="C35" s="58">
        <v>6</v>
      </c>
      <c r="D35" s="58">
        <v>0</v>
      </c>
      <c r="E35" s="59"/>
      <c r="F35" s="50"/>
      <c r="G35" s="58">
        <v>0</v>
      </c>
      <c r="H35" s="29"/>
    </row>
    <row r="36" spans="2:11">
      <c r="B36" s="48" t="s">
        <v>75</v>
      </c>
      <c r="C36" s="58">
        <v>0</v>
      </c>
      <c r="D36" s="58">
        <v>0</v>
      </c>
      <c r="E36" s="59"/>
      <c r="F36" s="50"/>
      <c r="G36" s="58">
        <v>0</v>
      </c>
      <c r="H36" s="29" t="e">
        <f t="shared" si="1"/>
        <v>#DIV/0!</v>
      </c>
    </row>
    <row r="37" spans="2:11">
      <c r="B37" s="48" t="s">
        <v>38</v>
      </c>
      <c r="C37" s="52">
        <f>C7-C12-C13-C30-C34</f>
        <v>3760009</v>
      </c>
      <c r="D37" s="52">
        <f>D7-D12-D13-D30-D34</f>
        <v>1851748</v>
      </c>
      <c r="E37" s="52"/>
      <c r="F37" s="50"/>
      <c r="G37" s="53">
        <f>G7-G12-G13-G30-G34</f>
        <v>-9474</v>
      </c>
      <c r="H37" s="51">
        <f>(D37-G37)/G37</f>
        <v>-196.45577369643235</v>
      </c>
    </row>
    <row r="38" spans="2:11">
      <c r="B38" s="8" t="s">
        <v>39</v>
      </c>
      <c r="C38" s="26">
        <f>C10/E3</f>
        <v>3059810.5</v>
      </c>
      <c r="D38" s="26">
        <f>D10/(E3+G3)</f>
        <v>1033098.1</v>
      </c>
      <c r="E38" s="26">
        <f>E10/(E3+G3)</f>
        <v>1500000</v>
      </c>
      <c r="F38" s="12">
        <f>D38/E38</f>
        <v>0.68873206666666664</v>
      </c>
      <c r="G38" s="32">
        <f>G10/(E3+G3)</f>
        <v>15941.3</v>
      </c>
      <c r="H38" s="29">
        <f>(D38-G38)/G38</f>
        <v>63.806389692183195</v>
      </c>
    </row>
    <row r="39" spans="2:11">
      <c r="B39" s="8" t="s">
        <v>53</v>
      </c>
      <c r="C39" s="10">
        <v>288</v>
      </c>
      <c r="D39" s="10">
        <v>288</v>
      </c>
      <c r="E39" s="26"/>
      <c r="F39" s="26"/>
      <c r="G39" s="10">
        <v>4242</v>
      </c>
      <c r="H39" s="29">
        <f>(D39-G39)/G39</f>
        <v>-0.93210749646393209</v>
      </c>
    </row>
    <row r="40" spans="2:11" ht="18" customHeight="1">
      <c r="B40" s="8" t="s">
        <v>54</v>
      </c>
      <c r="C40" s="10">
        <v>24</v>
      </c>
      <c r="D40" s="10">
        <v>24</v>
      </c>
      <c r="E40" s="26"/>
      <c r="F40" s="26"/>
      <c r="G40" s="10">
        <v>288</v>
      </c>
      <c r="H40" s="29">
        <f>(D40-G40)/G40</f>
        <v>-0.91666666666666663</v>
      </c>
      <c r="K40" s="47"/>
    </row>
    <row r="41" spans="2:11" ht="15" customHeight="1">
      <c r="B41" s="8" t="s">
        <v>55</v>
      </c>
      <c r="C41" s="12">
        <f>C40/C39</f>
        <v>8.3333333333333329E-2</v>
      </c>
      <c r="D41" s="12">
        <f>D40/D39</f>
        <v>8.3333333333333329E-2</v>
      </c>
      <c r="E41" s="26"/>
      <c r="F41" s="55"/>
      <c r="G41" s="56">
        <f>G40/G39</f>
        <v>6.7892503536067891E-2</v>
      </c>
      <c r="H41" s="29">
        <f>(D41-G41)/G41</f>
        <v>0.2274305555555555</v>
      </c>
      <c r="K41" s="47"/>
    </row>
    <row r="42" spans="2:11" ht="18">
      <c r="B42" s="8" t="s">
        <v>43</v>
      </c>
      <c r="C42" s="10">
        <v>0</v>
      </c>
      <c r="D42" s="10">
        <v>0</v>
      </c>
      <c r="E42" s="54" t="s">
        <v>44</v>
      </c>
      <c r="F42" s="73"/>
      <c r="G42" s="74"/>
      <c r="H42" s="75"/>
    </row>
    <row r="43" spans="2:11" ht="18">
      <c r="B43" s="48" t="s">
        <v>45</v>
      </c>
      <c r="C43" s="49"/>
      <c r="D43" s="76"/>
      <c r="E43" s="77"/>
      <c r="F43" s="77"/>
      <c r="G43" s="77"/>
      <c r="H43" s="78"/>
    </row>
    <row r="44" spans="2:11">
      <c r="B44" s="79" t="s">
        <v>46</v>
      </c>
      <c r="C44" s="80"/>
      <c r="D44" s="83"/>
      <c r="E44" s="84"/>
      <c r="F44" s="84"/>
      <c r="G44" s="84"/>
      <c r="H44" s="85"/>
    </row>
    <row r="45" spans="2:11">
      <c r="B45" s="79"/>
      <c r="C45" s="80"/>
      <c r="D45" s="86"/>
      <c r="E45" s="87"/>
      <c r="F45" s="87"/>
      <c r="G45" s="87"/>
      <c r="H45" s="88"/>
    </row>
    <row r="46" spans="2:11">
      <c r="B46" s="79"/>
      <c r="C46" s="80"/>
      <c r="D46" s="86"/>
      <c r="E46" s="87"/>
      <c r="F46" s="87"/>
      <c r="G46" s="87"/>
      <c r="H46" s="88"/>
    </row>
    <row r="47" spans="2:11">
      <c r="B47" s="79"/>
      <c r="C47" s="80"/>
      <c r="D47" s="86"/>
      <c r="E47" s="87"/>
      <c r="F47" s="87"/>
      <c r="G47" s="87"/>
      <c r="H47" s="88"/>
    </row>
    <row r="48" spans="2:11" ht="16" thickBot="1">
      <c r="B48" s="81"/>
      <c r="C48" s="82"/>
      <c r="D48" s="89"/>
      <c r="E48" s="90"/>
      <c r="F48" s="90"/>
      <c r="G48" s="90"/>
      <c r="H48" s="91"/>
    </row>
  </sheetData>
  <mergeCells count="4">
    <mergeCell ref="F42:H42"/>
    <mergeCell ref="D43:H43"/>
    <mergeCell ref="B44:C48"/>
    <mergeCell ref="D44:H48"/>
  </mergeCells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clearTemp">
                <anchor moveWithCells="1" sizeWithCells="1">
                  <from>
                    <xdr:col>6</xdr:col>
                    <xdr:colOff>342900</xdr:colOff>
                    <xdr:row>50</xdr:row>
                    <xdr:rowOff>0</xdr:rowOff>
                  </from>
                  <to>
                    <xdr:col>7</xdr:col>
                    <xdr:colOff>1041400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L155"/>
  <sheetViews>
    <sheetView workbookViewId="0">
      <selection activeCell="I14" sqref="I14"/>
    </sheetView>
  </sheetViews>
  <sheetFormatPr baseColWidth="10" defaultRowHeight="15"/>
  <sheetData>
    <row r="1" spans="1:12">
      <c r="A1" s="41">
        <v>2.1</v>
      </c>
    </row>
    <row r="2" spans="1:12">
      <c r="B2" s="41">
        <v>1</v>
      </c>
      <c r="G2" t="s">
        <v>78</v>
      </c>
      <c r="H2" s="42">
        <v>0</v>
      </c>
    </row>
    <row r="3" spans="1:12">
      <c r="I3" s="65"/>
      <c r="K3" t="s">
        <v>76</v>
      </c>
      <c r="L3" s="42">
        <v>6</v>
      </c>
    </row>
    <row r="4" spans="1:12">
      <c r="K4" s="45" t="s">
        <v>40</v>
      </c>
    </row>
    <row r="5" spans="1:12">
      <c r="K5" s="45" t="s">
        <v>41</v>
      </c>
    </row>
    <row r="6" spans="1:12">
      <c r="K6" s="45" t="s">
        <v>42</v>
      </c>
    </row>
    <row r="10" spans="1:12" s="1" customFormat="1"/>
    <row r="11" spans="1:12">
      <c r="A11" s="66" t="s">
        <v>237</v>
      </c>
      <c r="B11" s="66" t="s">
        <v>238</v>
      </c>
      <c r="C11" s="66" t="s">
        <v>239</v>
      </c>
      <c r="D11" s="66" t="s">
        <v>240</v>
      </c>
      <c r="E11" s="66" t="s">
        <v>241</v>
      </c>
      <c r="F11" s="66" t="s">
        <v>242</v>
      </c>
      <c r="G11" s="66" t="s">
        <v>243</v>
      </c>
      <c r="H11" s="66" t="s">
        <v>244</v>
      </c>
      <c r="I11" s="66" t="s">
        <v>245</v>
      </c>
      <c r="J11" s="66" t="s">
        <v>244</v>
      </c>
      <c r="K11" s="67">
        <v>8</v>
      </c>
      <c r="L11" s="67">
        <v>432143</v>
      </c>
    </row>
    <row r="12" spans="1:12">
      <c r="A12" s="66" t="s">
        <v>237</v>
      </c>
      <c r="B12" s="66" t="s">
        <v>238</v>
      </c>
      <c r="C12" s="66" t="s">
        <v>239</v>
      </c>
      <c r="D12" s="66" t="s">
        <v>240</v>
      </c>
      <c r="E12" s="66" t="s">
        <v>241</v>
      </c>
      <c r="F12" s="66" t="s">
        <v>242</v>
      </c>
      <c r="G12" s="66" t="s">
        <v>246</v>
      </c>
      <c r="H12" s="66" t="s">
        <v>247</v>
      </c>
      <c r="I12" s="66" t="s">
        <v>248</v>
      </c>
      <c r="J12" s="66" t="s">
        <v>247</v>
      </c>
      <c r="K12" s="67">
        <v>9</v>
      </c>
      <c r="L12" s="67">
        <v>329100</v>
      </c>
    </row>
    <row r="13" spans="1:12">
      <c r="A13" s="66" t="s">
        <v>237</v>
      </c>
      <c r="B13" s="66" t="s">
        <v>238</v>
      </c>
      <c r="C13" s="66" t="s">
        <v>239</v>
      </c>
      <c r="D13" s="66" t="s">
        <v>240</v>
      </c>
      <c r="E13" s="66" t="s">
        <v>249</v>
      </c>
      <c r="F13" s="66" t="s">
        <v>250</v>
      </c>
      <c r="G13" s="66" t="s">
        <v>251</v>
      </c>
      <c r="H13" s="66" t="s">
        <v>252</v>
      </c>
      <c r="I13" s="66" t="s">
        <v>253</v>
      </c>
      <c r="J13" s="66" t="s">
        <v>252</v>
      </c>
      <c r="K13" s="67">
        <v>5</v>
      </c>
      <c r="L13" s="67">
        <v>87000</v>
      </c>
    </row>
    <row r="14" spans="1:12">
      <c r="A14" s="66" t="s">
        <v>237</v>
      </c>
      <c r="B14" s="66" t="s">
        <v>238</v>
      </c>
      <c r="C14" s="66" t="s">
        <v>239</v>
      </c>
      <c r="D14" s="66" t="s">
        <v>240</v>
      </c>
      <c r="E14" s="66" t="s">
        <v>249</v>
      </c>
      <c r="F14" s="66" t="s">
        <v>250</v>
      </c>
      <c r="G14" s="66" t="s">
        <v>254</v>
      </c>
      <c r="H14" s="66" t="s">
        <v>255</v>
      </c>
      <c r="I14" s="66" t="s">
        <v>256</v>
      </c>
      <c r="J14" s="66" t="s">
        <v>255</v>
      </c>
      <c r="K14" s="67">
        <v>2</v>
      </c>
      <c r="L14" s="67">
        <v>41800</v>
      </c>
    </row>
    <row r="15" spans="1:12">
      <c r="A15" s="66" t="s">
        <v>237</v>
      </c>
      <c r="B15" s="66" t="s">
        <v>238</v>
      </c>
      <c r="C15" s="66" t="s">
        <v>239</v>
      </c>
      <c r="D15" s="66" t="s">
        <v>240</v>
      </c>
      <c r="E15" s="66" t="s">
        <v>249</v>
      </c>
      <c r="F15" s="66" t="s">
        <v>250</v>
      </c>
      <c r="G15" s="66" t="s">
        <v>257</v>
      </c>
      <c r="H15" s="66" t="s">
        <v>258</v>
      </c>
      <c r="I15" s="66" t="s">
        <v>259</v>
      </c>
      <c r="J15" s="66" t="s">
        <v>258</v>
      </c>
      <c r="K15" s="67">
        <v>7</v>
      </c>
      <c r="L15" s="67">
        <v>150723</v>
      </c>
    </row>
    <row r="16" spans="1:12">
      <c r="A16" s="66" t="s">
        <v>237</v>
      </c>
      <c r="B16" s="66" t="s">
        <v>238</v>
      </c>
      <c r="C16" s="66" t="s">
        <v>239</v>
      </c>
      <c r="D16" s="66" t="s">
        <v>240</v>
      </c>
      <c r="E16" s="66" t="s">
        <v>249</v>
      </c>
      <c r="F16" s="66" t="s">
        <v>250</v>
      </c>
      <c r="G16" s="66" t="s">
        <v>260</v>
      </c>
      <c r="H16" s="66" t="s">
        <v>261</v>
      </c>
      <c r="I16" s="66" t="s">
        <v>262</v>
      </c>
      <c r="J16" s="66" t="s">
        <v>261</v>
      </c>
      <c r="K16" s="67">
        <v>1</v>
      </c>
      <c r="L16" s="67">
        <v>40289</v>
      </c>
    </row>
    <row r="17" spans="1:12">
      <c r="A17" s="66" t="s">
        <v>237</v>
      </c>
      <c r="B17" s="66" t="s">
        <v>238</v>
      </c>
      <c r="C17" s="66" t="s">
        <v>239</v>
      </c>
      <c r="D17" s="66" t="s">
        <v>240</v>
      </c>
      <c r="E17" s="66" t="s">
        <v>249</v>
      </c>
      <c r="F17" s="66" t="s">
        <v>250</v>
      </c>
      <c r="G17" s="66" t="s">
        <v>263</v>
      </c>
      <c r="H17" s="66" t="s">
        <v>264</v>
      </c>
      <c r="I17" s="66" t="s">
        <v>265</v>
      </c>
      <c r="J17" s="66" t="s">
        <v>264</v>
      </c>
      <c r="K17" s="67">
        <v>82</v>
      </c>
      <c r="L17" s="67">
        <v>2197300</v>
      </c>
    </row>
    <row r="18" spans="1:12">
      <c r="A18" s="66" t="s">
        <v>237</v>
      </c>
      <c r="B18" s="66" t="s">
        <v>238</v>
      </c>
      <c r="C18" s="66" t="s">
        <v>239</v>
      </c>
      <c r="D18" s="66" t="s">
        <v>240</v>
      </c>
      <c r="E18" s="66" t="s">
        <v>249</v>
      </c>
      <c r="F18" s="66" t="s">
        <v>250</v>
      </c>
      <c r="G18" s="66" t="s">
        <v>266</v>
      </c>
      <c r="H18" s="66" t="s">
        <v>267</v>
      </c>
      <c r="I18" s="66" t="s">
        <v>268</v>
      </c>
      <c r="J18" s="66" t="s">
        <v>267</v>
      </c>
      <c r="K18" s="67">
        <v>33</v>
      </c>
      <c r="L18" s="67">
        <v>1319700</v>
      </c>
    </row>
    <row r="19" spans="1:12">
      <c r="A19" s="66" t="s">
        <v>237</v>
      </c>
      <c r="B19" s="66" t="s">
        <v>238</v>
      </c>
      <c r="C19" s="66" t="s">
        <v>239</v>
      </c>
      <c r="D19" s="66" t="s">
        <v>240</v>
      </c>
      <c r="E19" s="66" t="s">
        <v>249</v>
      </c>
      <c r="F19" s="66" t="s">
        <v>250</v>
      </c>
      <c r="G19" s="66" t="s">
        <v>269</v>
      </c>
      <c r="H19" s="66" t="s">
        <v>270</v>
      </c>
      <c r="I19" s="66" t="s">
        <v>271</v>
      </c>
      <c r="J19" s="66" t="s">
        <v>270</v>
      </c>
      <c r="K19" s="67">
        <v>34</v>
      </c>
      <c r="L19" s="67">
        <v>1541600</v>
      </c>
    </row>
    <row r="20" spans="1:12">
      <c r="A20" s="66" t="s">
        <v>237</v>
      </c>
      <c r="B20" s="66" t="s">
        <v>238</v>
      </c>
      <c r="C20" s="66" t="s">
        <v>239</v>
      </c>
      <c r="D20" s="66" t="s">
        <v>240</v>
      </c>
      <c r="E20" s="66" t="s">
        <v>272</v>
      </c>
      <c r="F20" s="66" t="s">
        <v>273</v>
      </c>
      <c r="G20" s="66" t="s">
        <v>274</v>
      </c>
      <c r="H20" s="66" t="s">
        <v>275</v>
      </c>
      <c r="I20" s="66" t="s">
        <v>276</v>
      </c>
      <c r="J20" s="66" t="s">
        <v>277</v>
      </c>
      <c r="K20" s="67">
        <v>8</v>
      </c>
      <c r="L20" s="67">
        <v>145200</v>
      </c>
    </row>
    <row r="21" spans="1:12">
      <c r="A21" s="66" t="s">
        <v>237</v>
      </c>
      <c r="B21" s="66" t="s">
        <v>238</v>
      </c>
      <c r="C21" s="66" t="s">
        <v>239</v>
      </c>
      <c r="D21" s="66" t="s">
        <v>240</v>
      </c>
      <c r="E21" s="66" t="s">
        <v>272</v>
      </c>
      <c r="F21" s="66" t="s">
        <v>273</v>
      </c>
      <c r="G21" s="66" t="s">
        <v>274</v>
      </c>
      <c r="H21" s="66" t="s">
        <v>275</v>
      </c>
      <c r="I21" s="66" t="s">
        <v>278</v>
      </c>
      <c r="J21" s="66" t="s">
        <v>279</v>
      </c>
      <c r="K21" s="67">
        <v>1</v>
      </c>
      <c r="L21" s="67">
        <v>21400</v>
      </c>
    </row>
    <row r="22" spans="1:12">
      <c r="A22" s="66" t="s">
        <v>237</v>
      </c>
      <c r="B22" s="66" t="s">
        <v>238</v>
      </c>
      <c r="C22" s="66" t="s">
        <v>239</v>
      </c>
      <c r="D22" s="66" t="s">
        <v>240</v>
      </c>
      <c r="E22" s="66" t="s">
        <v>272</v>
      </c>
      <c r="F22" s="66" t="s">
        <v>273</v>
      </c>
      <c r="G22" s="66" t="s">
        <v>280</v>
      </c>
      <c r="H22" s="66" t="s">
        <v>281</v>
      </c>
      <c r="I22" s="66" t="s">
        <v>282</v>
      </c>
      <c r="J22" s="66" t="s">
        <v>283</v>
      </c>
      <c r="K22" s="67">
        <v>1</v>
      </c>
      <c r="L22" s="67">
        <v>13200</v>
      </c>
    </row>
    <row r="23" spans="1:12">
      <c r="A23" s="66" t="s">
        <v>237</v>
      </c>
      <c r="B23" s="66" t="s">
        <v>238</v>
      </c>
      <c r="C23" s="66" t="s">
        <v>239</v>
      </c>
      <c r="D23" s="66" t="s">
        <v>240</v>
      </c>
      <c r="E23" s="66" t="s">
        <v>284</v>
      </c>
      <c r="F23" s="66" t="s">
        <v>285</v>
      </c>
      <c r="G23" s="66" t="s">
        <v>286</v>
      </c>
      <c r="H23" s="66" t="s">
        <v>287</v>
      </c>
      <c r="I23" s="66" t="s">
        <v>288</v>
      </c>
      <c r="J23" s="66" t="s">
        <v>289</v>
      </c>
      <c r="K23" s="67">
        <v>8</v>
      </c>
      <c r="L23" s="67">
        <v>112600</v>
      </c>
    </row>
    <row r="24" spans="1:12">
      <c r="A24" s="66" t="s">
        <v>237</v>
      </c>
      <c r="B24" s="66" t="s">
        <v>238</v>
      </c>
      <c r="C24" s="66" t="s">
        <v>239</v>
      </c>
      <c r="D24" s="66" t="s">
        <v>240</v>
      </c>
      <c r="E24" s="66" t="s">
        <v>290</v>
      </c>
      <c r="F24" s="66" t="s">
        <v>291</v>
      </c>
      <c r="G24" s="66" t="s">
        <v>292</v>
      </c>
      <c r="H24" s="66" t="s">
        <v>293</v>
      </c>
      <c r="I24" s="66" t="s">
        <v>294</v>
      </c>
      <c r="J24" s="66" t="s">
        <v>295</v>
      </c>
      <c r="K24" s="67">
        <v>3</v>
      </c>
      <c r="L24" s="67">
        <v>29700</v>
      </c>
    </row>
    <row r="25" spans="1:12">
      <c r="A25" s="66" t="s">
        <v>237</v>
      </c>
      <c r="B25" s="66" t="s">
        <v>238</v>
      </c>
      <c r="C25" s="66" t="s">
        <v>239</v>
      </c>
      <c r="D25" s="66" t="s">
        <v>240</v>
      </c>
      <c r="E25" s="66" t="s">
        <v>296</v>
      </c>
      <c r="F25" s="66" t="s">
        <v>297</v>
      </c>
      <c r="G25" s="66" t="s">
        <v>298</v>
      </c>
      <c r="H25" s="66" t="s">
        <v>299</v>
      </c>
      <c r="I25" s="66" t="s">
        <v>300</v>
      </c>
      <c r="J25" s="66" t="s">
        <v>299</v>
      </c>
      <c r="K25" s="67">
        <v>26</v>
      </c>
      <c r="L25" s="67">
        <v>374400</v>
      </c>
    </row>
    <row r="26" spans="1:12">
      <c r="A26" s="66" t="s">
        <v>237</v>
      </c>
      <c r="B26" s="66" t="s">
        <v>238</v>
      </c>
      <c r="C26" s="66" t="s">
        <v>239</v>
      </c>
      <c r="D26" s="66" t="s">
        <v>240</v>
      </c>
      <c r="E26" s="66" t="s">
        <v>301</v>
      </c>
      <c r="F26" s="66" t="s">
        <v>302</v>
      </c>
      <c r="G26" s="66" t="s">
        <v>303</v>
      </c>
      <c r="H26" s="66" t="s">
        <v>302</v>
      </c>
      <c r="I26" s="66" t="s">
        <v>304</v>
      </c>
      <c r="J26" s="66" t="s">
        <v>305</v>
      </c>
      <c r="K26" s="67">
        <v>8</v>
      </c>
      <c r="L26" s="67">
        <v>266605</v>
      </c>
    </row>
    <row r="27" spans="1:12">
      <c r="A27" s="66" t="s">
        <v>237</v>
      </c>
      <c r="B27" s="66" t="s">
        <v>238</v>
      </c>
      <c r="C27" s="66" t="s">
        <v>306</v>
      </c>
      <c r="D27" s="66" t="s">
        <v>307</v>
      </c>
      <c r="E27" s="66" t="s">
        <v>308</v>
      </c>
      <c r="F27" s="66" t="s">
        <v>309</v>
      </c>
      <c r="G27" s="66" t="s">
        <v>292</v>
      </c>
      <c r="H27" s="66" t="s">
        <v>293</v>
      </c>
      <c r="I27" s="66" t="s">
        <v>310</v>
      </c>
      <c r="J27" s="66" t="s">
        <v>311</v>
      </c>
      <c r="K27" s="67">
        <v>1</v>
      </c>
      <c r="L27" s="67">
        <v>2990</v>
      </c>
    </row>
    <row r="28" spans="1:12">
      <c r="A28" s="66" t="s">
        <v>237</v>
      </c>
      <c r="B28" s="66" t="s">
        <v>238</v>
      </c>
      <c r="C28" s="66" t="s">
        <v>306</v>
      </c>
      <c r="D28" s="66" t="s">
        <v>307</v>
      </c>
      <c r="E28" s="66" t="s">
        <v>308</v>
      </c>
      <c r="F28" s="66" t="s">
        <v>309</v>
      </c>
      <c r="G28" s="66" t="s">
        <v>292</v>
      </c>
      <c r="H28" s="66" t="s">
        <v>293</v>
      </c>
      <c r="I28" s="66" t="s">
        <v>312</v>
      </c>
      <c r="J28" s="66" t="s">
        <v>313</v>
      </c>
      <c r="K28" s="67">
        <v>11</v>
      </c>
      <c r="L28" s="67">
        <v>26590</v>
      </c>
    </row>
    <row r="29" spans="1:12">
      <c r="A29" s="66" t="s">
        <v>237</v>
      </c>
      <c r="B29" s="66" t="s">
        <v>238</v>
      </c>
      <c r="C29" s="66" t="s">
        <v>306</v>
      </c>
      <c r="D29" s="66" t="s">
        <v>307</v>
      </c>
      <c r="E29" s="66" t="s">
        <v>308</v>
      </c>
      <c r="F29" s="66" t="s">
        <v>309</v>
      </c>
      <c r="G29" s="66" t="s">
        <v>314</v>
      </c>
      <c r="H29" s="66" t="s">
        <v>315</v>
      </c>
      <c r="I29" s="66" t="s">
        <v>316</v>
      </c>
      <c r="J29" s="66" t="s">
        <v>317</v>
      </c>
      <c r="K29" s="67">
        <v>16</v>
      </c>
      <c r="L29" s="67">
        <v>33440</v>
      </c>
    </row>
    <row r="30" spans="1:12">
      <c r="A30" s="66" t="s">
        <v>237</v>
      </c>
      <c r="B30" s="66" t="s">
        <v>238</v>
      </c>
      <c r="C30" s="66" t="s">
        <v>306</v>
      </c>
      <c r="D30" s="66" t="s">
        <v>307</v>
      </c>
      <c r="E30" s="66" t="s">
        <v>318</v>
      </c>
      <c r="F30" s="66" t="s">
        <v>319</v>
      </c>
      <c r="G30" s="66" t="s">
        <v>320</v>
      </c>
      <c r="H30" s="66" t="s">
        <v>321</v>
      </c>
      <c r="I30" s="66" t="s">
        <v>322</v>
      </c>
      <c r="J30" s="66" t="s">
        <v>323</v>
      </c>
      <c r="K30" s="67">
        <v>52</v>
      </c>
      <c r="L30" s="67">
        <v>15980</v>
      </c>
    </row>
    <row r="31" spans="1:12">
      <c r="A31" s="66" t="s">
        <v>237</v>
      </c>
      <c r="B31" s="66" t="s">
        <v>238</v>
      </c>
      <c r="C31" s="66" t="s">
        <v>306</v>
      </c>
      <c r="D31" s="66" t="s">
        <v>307</v>
      </c>
      <c r="E31" s="66" t="s">
        <v>318</v>
      </c>
      <c r="F31" s="66" t="s">
        <v>319</v>
      </c>
      <c r="G31" s="66" t="s">
        <v>324</v>
      </c>
      <c r="H31" s="66" t="s">
        <v>325</v>
      </c>
      <c r="I31" s="66" t="s">
        <v>326</v>
      </c>
      <c r="J31" s="66" t="s">
        <v>327</v>
      </c>
      <c r="K31" s="67">
        <v>5</v>
      </c>
      <c r="L31" s="67">
        <v>5950</v>
      </c>
    </row>
    <row r="32" spans="1:12">
      <c r="A32" s="66" t="s">
        <v>237</v>
      </c>
      <c r="B32" s="66" t="s">
        <v>238</v>
      </c>
      <c r="C32" s="66" t="s">
        <v>306</v>
      </c>
      <c r="D32" s="66" t="s">
        <v>307</v>
      </c>
      <c r="E32" s="66" t="s">
        <v>318</v>
      </c>
      <c r="F32" s="66" t="s">
        <v>319</v>
      </c>
      <c r="G32" s="66" t="s">
        <v>324</v>
      </c>
      <c r="H32" s="66" t="s">
        <v>325</v>
      </c>
      <c r="I32" s="66" t="s">
        <v>328</v>
      </c>
      <c r="J32" s="66" t="s">
        <v>329</v>
      </c>
      <c r="K32" s="67">
        <v>3</v>
      </c>
      <c r="L32" s="67">
        <v>3970</v>
      </c>
    </row>
    <row r="33" spans="1:12">
      <c r="A33" s="66" t="s">
        <v>237</v>
      </c>
      <c r="B33" s="66" t="s">
        <v>238</v>
      </c>
      <c r="C33" s="66" t="s">
        <v>306</v>
      </c>
      <c r="D33" s="66" t="s">
        <v>307</v>
      </c>
      <c r="E33" s="66" t="s">
        <v>330</v>
      </c>
      <c r="F33" s="66" t="s">
        <v>331</v>
      </c>
      <c r="G33" s="66" t="s">
        <v>320</v>
      </c>
      <c r="H33" s="66" t="s">
        <v>321</v>
      </c>
      <c r="I33" s="66" t="s">
        <v>332</v>
      </c>
      <c r="J33" s="66" t="s">
        <v>333</v>
      </c>
      <c r="K33" s="67">
        <v>17</v>
      </c>
      <c r="L33" s="67">
        <v>28430</v>
      </c>
    </row>
    <row r="34" spans="1:12">
      <c r="A34" s="66" t="s">
        <v>237</v>
      </c>
      <c r="B34" s="66" t="s">
        <v>238</v>
      </c>
      <c r="C34" s="66" t="s">
        <v>306</v>
      </c>
      <c r="D34" s="66" t="s">
        <v>307</v>
      </c>
      <c r="E34" s="66" t="s">
        <v>330</v>
      </c>
      <c r="F34" s="66" t="s">
        <v>331</v>
      </c>
      <c r="G34" s="66" t="s">
        <v>334</v>
      </c>
      <c r="H34" s="66" t="s">
        <v>335</v>
      </c>
      <c r="I34" s="66" t="s">
        <v>336</v>
      </c>
      <c r="J34" s="66" t="s">
        <v>337</v>
      </c>
      <c r="K34" s="67">
        <v>15</v>
      </c>
      <c r="L34" s="67">
        <v>52035</v>
      </c>
    </row>
    <row r="35" spans="1:12">
      <c r="A35" s="66" t="s">
        <v>237</v>
      </c>
      <c r="B35" s="66" t="s">
        <v>238</v>
      </c>
      <c r="C35" s="66" t="s">
        <v>306</v>
      </c>
      <c r="D35" s="66" t="s">
        <v>307</v>
      </c>
      <c r="E35" s="66" t="s">
        <v>338</v>
      </c>
      <c r="F35" s="66" t="s">
        <v>339</v>
      </c>
      <c r="G35" s="66" t="s">
        <v>292</v>
      </c>
      <c r="H35" s="66" t="s">
        <v>293</v>
      </c>
      <c r="I35" s="66" t="s">
        <v>340</v>
      </c>
      <c r="J35" s="66" t="s">
        <v>341</v>
      </c>
      <c r="K35" s="67">
        <v>11</v>
      </c>
      <c r="L35" s="67">
        <v>63090</v>
      </c>
    </row>
    <row r="36" spans="1:12">
      <c r="A36" s="66" t="s">
        <v>237</v>
      </c>
      <c r="B36" s="66" t="s">
        <v>238</v>
      </c>
      <c r="C36" s="66" t="s">
        <v>306</v>
      </c>
      <c r="D36" s="66" t="s">
        <v>307</v>
      </c>
      <c r="E36" s="66" t="s">
        <v>338</v>
      </c>
      <c r="F36" s="66" t="s">
        <v>339</v>
      </c>
      <c r="G36" s="66" t="s">
        <v>314</v>
      </c>
      <c r="H36" s="66" t="s">
        <v>315</v>
      </c>
      <c r="I36" s="66" t="s">
        <v>316</v>
      </c>
      <c r="J36" s="66" t="s">
        <v>317</v>
      </c>
      <c r="K36" s="67">
        <v>33</v>
      </c>
      <c r="L36" s="67">
        <v>23070</v>
      </c>
    </row>
    <row r="37" spans="1:12">
      <c r="A37" s="66" t="s">
        <v>237</v>
      </c>
      <c r="B37" s="66" t="s">
        <v>238</v>
      </c>
      <c r="C37" s="66" t="s">
        <v>306</v>
      </c>
      <c r="D37" s="66" t="s">
        <v>307</v>
      </c>
      <c r="E37" s="66" t="s">
        <v>338</v>
      </c>
      <c r="F37" s="66" t="s">
        <v>339</v>
      </c>
      <c r="G37" s="66" t="s">
        <v>320</v>
      </c>
      <c r="H37" s="66" t="s">
        <v>321</v>
      </c>
      <c r="I37" s="66" t="s">
        <v>322</v>
      </c>
      <c r="J37" s="66" t="s">
        <v>323</v>
      </c>
      <c r="K37" s="67">
        <v>102</v>
      </c>
      <c r="L37" s="67">
        <v>65880</v>
      </c>
    </row>
    <row r="38" spans="1:12">
      <c r="A38" s="66" t="s">
        <v>237</v>
      </c>
      <c r="B38" s="66" t="s">
        <v>238</v>
      </c>
      <c r="C38" s="66" t="s">
        <v>306</v>
      </c>
      <c r="D38" s="66" t="s">
        <v>307</v>
      </c>
      <c r="E38" s="66" t="s">
        <v>338</v>
      </c>
      <c r="F38" s="66" t="s">
        <v>339</v>
      </c>
      <c r="G38" s="66" t="s">
        <v>320</v>
      </c>
      <c r="H38" s="66" t="s">
        <v>321</v>
      </c>
      <c r="I38" s="66" t="s">
        <v>332</v>
      </c>
      <c r="J38" s="66" t="s">
        <v>333</v>
      </c>
      <c r="K38" s="67">
        <v>3</v>
      </c>
      <c r="L38" s="67">
        <v>1770</v>
      </c>
    </row>
    <row r="39" spans="1:12">
      <c r="A39" s="66" t="s">
        <v>237</v>
      </c>
      <c r="B39" s="66" t="s">
        <v>238</v>
      </c>
      <c r="C39" s="66" t="s">
        <v>306</v>
      </c>
      <c r="D39" s="66" t="s">
        <v>307</v>
      </c>
      <c r="E39" s="66" t="s">
        <v>342</v>
      </c>
      <c r="F39" s="66" t="s">
        <v>343</v>
      </c>
      <c r="G39" s="66" t="s">
        <v>292</v>
      </c>
      <c r="H39" s="66" t="s">
        <v>293</v>
      </c>
      <c r="I39" s="66" t="s">
        <v>344</v>
      </c>
      <c r="J39" s="66" t="s">
        <v>345</v>
      </c>
      <c r="K39" s="67">
        <v>54</v>
      </c>
      <c r="L39" s="67">
        <v>279660</v>
      </c>
    </row>
    <row r="40" spans="1:12">
      <c r="A40" s="66" t="s">
        <v>237</v>
      </c>
      <c r="B40" s="66" t="s">
        <v>238</v>
      </c>
      <c r="C40" s="66" t="s">
        <v>306</v>
      </c>
      <c r="D40" s="66" t="s">
        <v>307</v>
      </c>
      <c r="E40" s="66" t="s">
        <v>342</v>
      </c>
      <c r="F40" s="66" t="s">
        <v>343</v>
      </c>
      <c r="G40" s="66" t="s">
        <v>346</v>
      </c>
      <c r="H40" s="66" t="s">
        <v>347</v>
      </c>
      <c r="I40" s="66" t="s">
        <v>348</v>
      </c>
      <c r="J40" s="66" t="s">
        <v>349</v>
      </c>
      <c r="K40" s="67">
        <v>43</v>
      </c>
      <c r="L40" s="67">
        <v>42570</v>
      </c>
    </row>
    <row r="41" spans="1:12">
      <c r="A41" s="66" t="s">
        <v>237</v>
      </c>
      <c r="B41" s="66" t="s">
        <v>238</v>
      </c>
      <c r="C41" s="66" t="s">
        <v>306</v>
      </c>
      <c r="D41" s="66" t="s">
        <v>307</v>
      </c>
      <c r="E41" s="66" t="s">
        <v>350</v>
      </c>
      <c r="F41" s="66" t="s">
        <v>351</v>
      </c>
      <c r="G41" s="66" t="s">
        <v>346</v>
      </c>
      <c r="H41" s="66" t="s">
        <v>347</v>
      </c>
      <c r="I41" s="66" t="s">
        <v>352</v>
      </c>
      <c r="J41" s="66" t="s">
        <v>353</v>
      </c>
      <c r="K41" s="67">
        <v>1</v>
      </c>
      <c r="L41" s="67">
        <v>7990</v>
      </c>
    </row>
    <row r="42" spans="1:12">
      <c r="A42" s="66" t="s">
        <v>237</v>
      </c>
      <c r="B42" s="66" t="s">
        <v>238</v>
      </c>
      <c r="C42" s="66" t="s">
        <v>306</v>
      </c>
      <c r="D42" s="66" t="s">
        <v>307</v>
      </c>
      <c r="E42" s="66" t="s">
        <v>350</v>
      </c>
      <c r="F42" s="66" t="s">
        <v>351</v>
      </c>
      <c r="G42" s="66" t="s">
        <v>346</v>
      </c>
      <c r="H42" s="66" t="s">
        <v>347</v>
      </c>
      <c r="I42" s="66" t="s">
        <v>354</v>
      </c>
      <c r="J42" s="66" t="s">
        <v>355</v>
      </c>
      <c r="K42" s="67">
        <v>2</v>
      </c>
      <c r="L42" s="67">
        <v>5280</v>
      </c>
    </row>
    <row r="43" spans="1:12">
      <c r="A43" s="66" t="s">
        <v>237</v>
      </c>
      <c r="B43" s="66" t="s">
        <v>238</v>
      </c>
      <c r="C43" s="66" t="s">
        <v>306</v>
      </c>
      <c r="D43" s="66" t="s">
        <v>307</v>
      </c>
      <c r="E43" s="66" t="s">
        <v>356</v>
      </c>
      <c r="F43" s="66" t="s">
        <v>357</v>
      </c>
      <c r="G43" s="66" t="s">
        <v>358</v>
      </c>
      <c r="H43" s="66" t="s">
        <v>359</v>
      </c>
      <c r="I43" s="66" t="s">
        <v>336</v>
      </c>
      <c r="J43" s="66" t="s">
        <v>337</v>
      </c>
      <c r="K43" s="67">
        <v>9</v>
      </c>
      <c r="L43" s="67">
        <v>48810</v>
      </c>
    </row>
    <row r="44" spans="1:12">
      <c r="A44" s="66" t="s">
        <v>237</v>
      </c>
      <c r="B44" s="66" t="s">
        <v>238</v>
      </c>
      <c r="C44" s="66" t="s">
        <v>306</v>
      </c>
      <c r="D44" s="66" t="s">
        <v>307</v>
      </c>
      <c r="E44" s="66" t="s">
        <v>360</v>
      </c>
      <c r="F44" s="66" t="s">
        <v>361</v>
      </c>
      <c r="G44" s="66" t="s">
        <v>362</v>
      </c>
      <c r="H44" s="66" t="s">
        <v>363</v>
      </c>
      <c r="I44" s="66" t="s">
        <v>364</v>
      </c>
      <c r="J44" s="66" t="s">
        <v>365</v>
      </c>
      <c r="K44" s="67">
        <v>5</v>
      </c>
      <c r="L44" s="67">
        <v>8000</v>
      </c>
    </row>
    <row r="45" spans="1:12">
      <c r="A45" s="66" t="s">
        <v>237</v>
      </c>
      <c r="B45" s="66" t="s">
        <v>238</v>
      </c>
      <c r="C45" s="66" t="s">
        <v>306</v>
      </c>
      <c r="D45" s="66" t="s">
        <v>307</v>
      </c>
      <c r="E45" s="66" t="s">
        <v>360</v>
      </c>
      <c r="F45" s="66" t="s">
        <v>361</v>
      </c>
      <c r="G45" s="66" t="s">
        <v>366</v>
      </c>
      <c r="H45" s="66" t="s">
        <v>367</v>
      </c>
      <c r="I45" s="66" t="s">
        <v>368</v>
      </c>
      <c r="J45" s="66" t="s">
        <v>297</v>
      </c>
      <c r="K45" s="67">
        <v>6</v>
      </c>
      <c r="L45" s="67">
        <v>5940</v>
      </c>
    </row>
    <row r="46" spans="1:12">
      <c r="A46" s="66" t="s">
        <v>369</v>
      </c>
      <c r="B46" s="66" t="s">
        <v>370</v>
      </c>
      <c r="C46" s="66" t="s">
        <v>371</v>
      </c>
      <c r="D46" s="66" t="s">
        <v>372</v>
      </c>
      <c r="E46" s="66" t="s">
        <v>308</v>
      </c>
      <c r="F46" s="66" t="s">
        <v>309</v>
      </c>
      <c r="G46" s="66" t="s">
        <v>373</v>
      </c>
      <c r="H46" s="66" t="s">
        <v>374</v>
      </c>
      <c r="I46" s="66" t="s">
        <v>375</v>
      </c>
      <c r="J46" s="66" t="s">
        <v>376</v>
      </c>
      <c r="K46" s="67">
        <v>2</v>
      </c>
      <c r="L46" s="67">
        <v>8380</v>
      </c>
    </row>
    <row r="47" spans="1:12">
      <c r="A47" s="66" t="s">
        <v>369</v>
      </c>
      <c r="B47" s="66" t="s">
        <v>370</v>
      </c>
      <c r="C47" s="66" t="s">
        <v>371</v>
      </c>
      <c r="D47" s="66" t="s">
        <v>372</v>
      </c>
      <c r="E47" s="66" t="s">
        <v>308</v>
      </c>
      <c r="F47" s="66" t="s">
        <v>309</v>
      </c>
      <c r="G47" s="66" t="s">
        <v>373</v>
      </c>
      <c r="H47" s="66" t="s">
        <v>374</v>
      </c>
      <c r="I47" s="66" t="s">
        <v>377</v>
      </c>
      <c r="J47" s="66" t="s">
        <v>378</v>
      </c>
      <c r="K47" s="67">
        <v>4</v>
      </c>
      <c r="L47" s="67">
        <v>8076</v>
      </c>
    </row>
    <row r="48" spans="1:12">
      <c r="A48" s="66" t="s">
        <v>369</v>
      </c>
      <c r="B48" s="66" t="s">
        <v>370</v>
      </c>
      <c r="C48" s="66" t="s">
        <v>371</v>
      </c>
      <c r="D48" s="66" t="s">
        <v>372</v>
      </c>
      <c r="E48" s="66" t="s">
        <v>308</v>
      </c>
      <c r="F48" s="66" t="s">
        <v>309</v>
      </c>
      <c r="G48" s="66" t="s">
        <v>379</v>
      </c>
      <c r="H48" s="66" t="s">
        <v>380</v>
      </c>
      <c r="I48" s="66" t="s">
        <v>381</v>
      </c>
      <c r="J48" s="66" t="s">
        <v>382</v>
      </c>
      <c r="K48" s="67">
        <v>2</v>
      </c>
      <c r="L48" s="67">
        <v>3698</v>
      </c>
    </row>
    <row r="49" spans="1:12">
      <c r="A49" s="66" t="s">
        <v>369</v>
      </c>
      <c r="B49" s="66" t="s">
        <v>370</v>
      </c>
      <c r="C49" s="66" t="s">
        <v>371</v>
      </c>
      <c r="D49" s="66" t="s">
        <v>372</v>
      </c>
      <c r="E49" s="66" t="s">
        <v>308</v>
      </c>
      <c r="F49" s="66" t="s">
        <v>309</v>
      </c>
      <c r="G49" s="66" t="s">
        <v>346</v>
      </c>
      <c r="H49" s="66" t="s">
        <v>347</v>
      </c>
      <c r="I49" s="66" t="s">
        <v>383</v>
      </c>
      <c r="J49" s="66" t="s">
        <v>384</v>
      </c>
      <c r="K49" s="67">
        <v>1</v>
      </c>
      <c r="L49" s="67">
        <v>888</v>
      </c>
    </row>
    <row r="50" spans="1:12">
      <c r="A50" s="66" t="s">
        <v>369</v>
      </c>
      <c r="B50" s="66" t="s">
        <v>370</v>
      </c>
      <c r="C50" s="66" t="s">
        <v>371</v>
      </c>
      <c r="D50" s="66" t="s">
        <v>372</v>
      </c>
      <c r="E50" s="66" t="s">
        <v>308</v>
      </c>
      <c r="F50" s="66" t="s">
        <v>309</v>
      </c>
      <c r="G50" s="66" t="s">
        <v>314</v>
      </c>
      <c r="H50" s="66" t="s">
        <v>315</v>
      </c>
      <c r="I50" s="66" t="s">
        <v>316</v>
      </c>
      <c r="J50" s="66" t="s">
        <v>317</v>
      </c>
      <c r="K50" s="67">
        <v>5</v>
      </c>
      <c r="L50" s="67">
        <v>7350</v>
      </c>
    </row>
    <row r="51" spans="1:12">
      <c r="A51" s="66" t="s">
        <v>369</v>
      </c>
      <c r="B51" s="66" t="s">
        <v>370</v>
      </c>
      <c r="C51" s="66" t="s">
        <v>371</v>
      </c>
      <c r="D51" s="66" t="s">
        <v>372</v>
      </c>
      <c r="E51" s="66" t="s">
        <v>308</v>
      </c>
      <c r="F51" s="66" t="s">
        <v>309</v>
      </c>
      <c r="G51" s="66" t="s">
        <v>320</v>
      </c>
      <c r="H51" s="66" t="s">
        <v>321</v>
      </c>
      <c r="I51" s="66" t="s">
        <v>322</v>
      </c>
      <c r="J51" s="66" t="s">
        <v>323</v>
      </c>
      <c r="K51" s="67">
        <v>27</v>
      </c>
      <c r="L51" s="67">
        <v>34240</v>
      </c>
    </row>
    <row r="52" spans="1:12">
      <c r="A52" s="66" t="s">
        <v>369</v>
      </c>
      <c r="B52" s="66" t="s">
        <v>370</v>
      </c>
      <c r="C52" s="66" t="s">
        <v>371</v>
      </c>
      <c r="D52" s="66" t="s">
        <v>372</v>
      </c>
      <c r="E52" s="66" t="s">
        <v>308</v>
      </c>
      <c r="F52" s="66" t="s">
        <v>309</v>
      </c>
      <c r="G52" s="66" t="s">
        <v>320</v>
      </c>
      <c r="H52" s="66" t="s">
        <v>321</v>
      </c>
      <c r="I52" s="66" t="s">
        <v>332</v>
      </c>
      <c r="J52" s="66" t="s">
        <v>333</v>
      </c>
      <c r="K52" s="67">
        <v>5</v>
      </c>
      <c r="L52" s="67">
        <v>5450</v>
      </c>
    </row>
    <row r="53" spans="1:12">
      <c r="A53" s="66" t="s">
        <v>369</v>
      </c>
      <c r="B53" s="66" t="s">
        <v>370</v>
      </c>
      <c r="C53" s="66" t="s">
        <v>371</v>
      </c>
      <c r="D53" s="66" t="s">
        <v>372</v>
      </c>
      <c r="E53" s="66" t="s">
        <v>308</v>
      </c>
      <c r="F53" s="66" t="s">
        <v>309</v>
      </c>
      <c r="G53" s="66" t="s">
        <v>320</v>
      </c>
      <c r="H53" s="66" t="s">
        <v>321</v>
      </c>
      <c r="I53" s="66" t="s">
        <v>385</v>
      </c>
      <c r="J53" s="66" t="s">
        <v>386</v>
      </c>
      <c r="K53" s="67">
        <v>2</v>
      </c>
      <c r="L53" s="67">
        <v>398</v>
      </c>
    </row>
    <row r="54" spans="1:12">
      <c r="A54" s="66" t="s">
        <v>369</v>
      </c>
      <c r="B54" s="66" t="s">
        <v>370</v>
      </c>
      <c r="C54" s="66" t="s">
        <v>371</v>
      </c>
      <c r="D54" s="66" t="s">
        <v>372</v>
      </c>
      <c r="E54" s="66" t="s">
        <v>308</v>
      </c>
      <c r="F54" s="66" t="s">
        <v>309</v>
      </c>
      <c r="G54" s="66" t="s">
        <v>387</v>
      </c>
      <c r="H54" s="66" t="s">
        <v>388</v>
      </c>
      <c r="I54" s="66" t="s">
        <v>328</v>
      </c>
      <c r="J54" s="66" t="s">
        <v>329</v>
      </c>
      <c r="K54" s="67">
        <v>1</v>
      </c>
      <c r="L54" s="67">
        <v>2090</v>
      </c>
    </row>
    <row r="55" spans="1:12">
      <c r="A55" s="66" t="s">
        <v>369</v>
      </c>
      <c r="B55" s="66" t="s">
        <v>370</v>
      </c>
      <c r="C55" s="66" t="s">
        <v>371</v>
      </c>
      <c r="D55" s="66" t="s">
        <v>372</v>
      </c>
      <c r="E55" s="66" t="s">
        <v>308</v>
      </c>
      <c r="F55" s="66" t="s">
        <v>309</v>
      </c>
      <c r="G55" s="66" t="s">
        <v>387</v>
      </c>
      <c r="H55" s="66" t="s">
        <v>388</v>
      </c>
      <c r="I55" s="66" t="s">
        <v>389</v>
      </c>
      <c r="J55" s="66" t="s">
        <v>390</v>
      </c>
      <c r="K55" s="67">
        <v>5</v>
      </c>
      <c r="L55" s="67">
        <v>5432</v>
      </c>
    </row>
    <row r="56" spans="1:12">
      <c r="A56" s="66" t="s">
        <v>369</v>
      </c>
      <c r="B56" s="66" t="s">
        <v>370</v>
      </c>
      <c r="C56" s="66" t="s">
        <v>371</v>
      </c>
      <c r="D56" s="66" t="s">
        <v>372</v>
      </c>
      <c r="E56" s="66" t="s">
        <v>308</v>
      </c>
      <c r="F56" s="66" t="s">
        <v>309</v>
      </c>
      <c r="G56" s="66" t="s">
        <v>387</v>
      </c>
      <c r="H56" s="66" t="s">
        <v>388</v>
      </c>
      <c r="I56" s="66" t="s">
        <v>391</v>
      </c>
      <c r="J56" s="66" t="s">
        <v>392</v>
      </c>
      <c r="K56" s="67">
        <v>12</v>
      </c>
      <c r="L56" s="67">
        <v>14303</v>
      </c>
    </row>
    <row r="57" spans="1:12">
      <c r="A57" s="66" t="s">
        <v>369</v>
      </c>
      <c r="B57" s="66" t="s">
        <v>370</v>
      </c>
      <c r="C57" s="66" t="s">
        <v>371</v>
      </c>
      <c r="D57" s="66" t="s">
        <v>372</v>
      </c>
      <c r="E57" s="66" t="s">
        <v>308</v>
      </c>
      <c r="F57" s="66" t="s">
        <v>309</v>
      </c>
      <c r="G57" s="66" t="s">
        <v>387</v>
      </c>
      <c r="H57" s="66" t="s">
        <v>388</v>
      </c>
      <c r="I57" s="66" t="s">
        <v>393</v>
      </c>
      <c r="J57" s="66" t="s">
        <v>394</v>
      </c>
      <c r="K57" s="67">
        <v>11</v>
      </c>
      <c r="L57" s="67">
        <v>6280</v>
      </c>
    </row>
    <row r="58" spans="1:12">
      <c r="A58" s="66" t="s">
        <v>369</v>
      </c>
      <c r="B58" s="66" t="s">
        <v>370</v>
      </c>
      <c r="C58" s="66" t="s">
        <v>371</v>
      </c>
      <c r="D58" s="66" t="s">
        <v>372</v>
      </c>
      <c r="E58" s="66" t="s">
        <v>308</v>
      </c>
      <c r="F58" s="66" t="s">
        <v>309</v>
      </c>
      <c r="G58" s="66" t="s">
        <v>387</v>
      </c>
      <c r="H58" s="66" t="s">
        <v>388</v>
      </c>
      <c r="I58" s="66" t="s">
        <v>395</v>
      </c>
      <c r="J58" s="66" t="s">
        <v>396</v>
      </c>
      <c r="K58" s="67">
        <v>4</v>
      </c>
      <c r="L58" s="67">
        <v>5920</v>
      </c>
    </row>
    <row r="59" spans="1:12">
      <c r="A59" s="66" t="s">
        <v>369</v>
      </c>
      <c r="B59" s="66" t="s">
        <v>370</v>
      </c>
      <c r="C59" s="66" t="s">
        <v>371</v>
      </c>
      <c r="D59" s="66" t="s">
        <v>372</v>
      </c>
      <c r="E59" s="66" t="s">
        <v>308</v>
      </c>
      <c r="F59" s="66" t="s">
        <v>309</v>
      </c>
      <c r="G59" s="66" t="s">
        <v>397</v>
      </c>
      <c r="H59" s="66" t="s">
        <v>398</v>
      </c>
      <c r="I59" s="66" t="s">
        <v>399</v>
      </c>
      <c r="J59" s="66" t="s">
        <v>400</v>
      </c>
      <c r="K59" s="67">
        <v>5</v>
      </c>
      <c r="L59" s="67">
        <v>1450</v>
      </c>
    </row>
    <row r="60" spans="1:12">
      <c r="A60" s="66" t="s">
        <v>369</v>
      </c>
      <c r="B60" s="66" t="s">
        <v>370</v>
      </c>
      <c r="C60" s="66" t="s">
        <v>371</v>
      </c>
      <c r="D60" s="66" t="s">
        <v>372</v>
      </c>
      <c r="E60" s="66" t="s">
        <v>318</v>
      </c>
      <c r="F60" s="66" t="s">
        <v>319</v>
      </c>
      <c r="G60" s="66" t="s">
        <v>314</v>
      </c>
      <c r="H60" s="66" t="s">
        <v>315</v>
      </c>
      <c r="I60" s="66" t="s">
        <v>401</v>
      </c>
      <c r="J60" s="66" t="s">
        <v>402</v>
      </c>
      <c r="K60" s="67">
        <v>35</v>
      </c>
      <c r="L60" s="67">
        <v>23990</v>
      </c>
    </row>
    <row r="61" spans="1:12">
      <c r="A61" s="66" t="s">
        <v>369</v>
      </c>
      <c r="B61" s="66" t="s">
        <v>370</v>
      </c>
      <c r="C61" s="66" t="s">
        <v>371</v>
      </c>
      <c r="D61" s="66" t="s">
        <v>372</v>
      </c>
      <c r="E61" s="66" t="s">
        <v>318</v>
      </c>
      <c r="F61" s="66" t="s">
        <v>319</v>
      </c>
      <c r="G61" s="66" t="s">
        <v>403</v>
      </c>
      <c r="H61" s="66" t="s">
        <v>404</v>
      </c>
      <c r="I61" s="66" t="s">
        <v>405</v>
      </c>
      <c r="J61" s="66" t="s">
        <v>406</v>
      </c>
      <c r="K61" s="67">
        <v>3</v>
      </c>
      <c r="L61" s="67">
        <v>1237</v>
      </c>
    </row>
    <row r="62" spans="1:12">
      <c r="A62" s="66" t="s">
        <v>369</v>
      </c>
      <c r="B62" s="66" t="s">
        <v>370</v>
      </c>
      <c r="C62" s="66" t="s">
        <v>371</v>
      </c>
      <c r="D62" s="66" t="s">
        <v>372</v>
      </c>
      <c r="E62" s="66" t="s">
        <v>318</v>
      </c>
      <c r="F62" s="66" t="s">
        <v>319</v>
      </c>
      <c r="G62" s="66" t="s">
        <v>407</v>
      </c>
      <c r="H62" s="66" t="s">
        <v>408</v>
      </c>
      <c r="I62" s="66" t="s">
        <v>409</v>
      </c>
      <c r="J62" s="66" t="s">
        <v>410</v>
      </c>
      <c r="K62" s="67">
        <v>1</v>
      </c>
      <c r="L62" s="67">
        <v>990</v>
      </c>
    </row>
    <row r="63" spans="1:12">
      <c r="A63" s="66" t="s">
        <v>369</v>
      </c>
      <c r="B63" s="66" t="s">
        <v>370</v>
      </c>
      <c r="C63" s="66" t="s">
        <v>371</v>
      </c>
      <c r="D63" s="66" t="s">
        <v>372</v>
      </c>
      <c r="E63" s="66" t="s">
        <v>318</v>
      </c>
      <c r="F63" s="66" t="s">
        <v>319</v>
      </c>
      <c r="G63" s="66" t="s">
        <v>411</v>
      </c>
      <c r="H63" s="66" t="s">
        <v>412</v>
      </c>
      <c r="I63" s="66" t="s">
        <v>409</v>
      </c>
      <c r="J63" s="66" t="s">
        <v>410</v>
      </c>
      <c r="K63" s="67">
        <v>1</v>
      </c>
      <c r="L63" s="67">
        <v>990</v>
      </c>
    </row>
    <row r="64" spans="1:12">
      <c r="A64" s="66" t="s">
        <v>369</v>
      </c>
      <c r="B64" s="66" t="s">
        <v>370</v>
      </c>
      <c r="C64" s="66" t="s">
        <v>371</v>
      </c>
      <c r="D64" s="66" t="s">
        <v>372</v>
      </c>
      <c r="E64" s="66" t="s">
        <v>318</v>
      </c>
      <c r="F64" s="66" t="s">
        <v>319</v>
      </c>
      <c r="G64" s="66" t="s">
        <v>413</v>
      </c>
      <c r="H64" s="66" t="s">
        <v>414</v>
      </c>
      <c r="I64" s="66" t="s">
        <v>409</v>
      </c>
      <c r="J64" s="66" t="s">
        <v>410</v>
      </c>
      <c r="K64" s="67">
        <v>1</v>
      </c>
      <c r="L64" s="67">
        <v>1190</v>
      </c>
    </row>
    <row r="65" spans="1:12">
      <c r="A65" s="66" t="s">
        <v>369</v>
      </c>
      <c r="B65" s="66" t="s">
        <v>370</v>
      </c>
      <c r="C65" s="66" t="s">
        <v>371</v>
      </c>
      <c r="D65" s="66" t="s">
        <v>372</v>
      </c>
      <c r="E65" s="66" t="s">
        <v>318</v>
      </c>
      <c r="F65" s="66" t="s">
        <v>319</v>
      </c>
      <c r="G65" s="66" t="s">
        <v>415</v>
      </c>
      <c r="H65" s="66" t="s">
        <v>416</v>
      </c>
      <c r="I65" s="66" t="s">
        <v>328</v>
      </c>
      <c r="J65" s="66" t="s">
        <v>329</v>
      </c>
      <c r="K65" s="67">
        <v>4</v>
      </c>
      <c r="L65" s="67">
        <v>4112</v>
      </c>
    </row>
    <row r="66" spans="1:12">
      <c r="A66" s="66" t="s">
        <v>369</v>
      </c>
      <c r="B66" s="66" t="s">
        <v>370</v>
      </c>
      <c r="C66" s="66" t="s">
        <v>371</v>
      </c>
      <c r="D66" s="66" t="s">
        <v>372</v>
      </c>
      <c r="E66" s="66" t="s">
        <v>318</v>
      </c>
      <c r="F66" s="66" t="s">
        <v>319</v>
      </c>
      <c r="G66" s="66" t="s">
        <v>415</v>
      </c>
      <c r="H66" s="66" t="s">
        <v>416</v>
      </c>
      <c r="I66" s="66" t="s">
        <v>409</v>
      </c>
      <c r="J66" s="66" t="s">
        <v>410</v>
      </c>
      <c r="K66" s="67">
        <v>2</v>
      </c>
      <c r="L66" s="67">
        <v>2580</v>
      </c>
    </row>
    <row r="67" spans="1:12">
      <c r="A67" s="66" t="s">
        <v>369</v>
      </c>
      <c r="B67" s="66" t="s">
        <v>370</v>
      </c>
      <c r="C67" s="66" t="s">
        <v>371</v>
      </c>
      <c r="D67" s="66" t="s">
        <v>372</v>
      </c>
      <c r="E67" s="66" t="s">
        <v>318</v>
      </c>
      <c r="F67" s="66" t="s">
        <v>319</v>
      </c>
      <c r="G67" s="66" t="s">
        <v>417</v>
      </c>
      <c r="H67" s="66" t="s">
        <v>418</v>
      </c>
      <c r="I67" s="66" t="s">
        <v>328</v>
      </c>
      <c r="J67" s="66" t="s">
        <v>329</v>
      </c>
      <c r="K67" s="67">
        <v>1</v>
      </c>
      <c r="L67" s="67">
        <v>800</v>
      </c>
    </row>
    <row r="68" spans="1:12">
      <c r="A68" s="66" t="s">
        <v>369</v>
      </c>
      <c r="B68" s="66" t="s">
        <v>370</v>
      </c>
      <c r="C68" s="66" t="s">
        <v>371</v>
      </c>
      <c r="D68" s="66" t="s">
        <v>372</v>
      </c>
      <c r="E68" s="66" t="s">
        <v>318</v>
      </c>
      <c r="F68" s="66" t="s">
        <v>319</v>
      </c>
      <c r="G68" s="66" t="s">
        <v>417</v>
      </c>
      <c r="H68" s="66" t="s">
        <v>418</v>
      </c>
      <c r="I68" s="66" t="s">
        <v>409</v>
      </c>
      <c r="J68" s="66" t="s">
        <v>410</v>
      </c>
      <c r="K68" s="67">
        <v>3</v>
      </c>
      <c r="L68" s="67">
        <v>4031</v>
      </c>
    </row>
    <row r="69" spans="1:12">
      <c r="A69" s="66" t="s">
        <v>369</v>
      </c>
      <c r="B69" s="66" t="s">
        <v>370</v>
      </c>
      <c r="C69" s="66" t="s">
        <v>371</v>
      </c>
      <c r="D69" s="66" t="s">
        <v>372</v>
      </c>
      <c r="E69" s="66" t="s">
        <v>318</v>
      </c>
      <c r="F69" s="66" t="s">
        <v>319</v>
      </c>
      <c r="G69" s="66" t="s">
        <v>419</v>
      </c>
      <c r="H69" s="66" t="s">
        <v>420</v>
      </c>
      <c r="I69" s="66" t="s">
        <v>328</v>
      </c>
      <c r="J69" s="66" t="s">
        <v>329</v>
      </c>
      <c r="K69" s="67">
        <v>3</v>
      </c>
      <c r="L69" s="67">
        <v>3328</v>
      </c>
    </row>
    <row r="70" spans="1:12">
      <c r="A70" s="66" t="s">
        <v>369</v>
      </c>
      <c r="B70" s="66" t="s">
        <v>370</v>
      </c>
      <c r="C70" s="66" t="s">
        <v>371</v>
      </c>
      <c r="D70" s="66" t="s">
        <v>372</v>
      </c>
      <c r="E70" s="66" t="s">
        <v>318</v>
      </c>
      <c r="F70" s="66" t="s">
        <v>319</v>
      </c>
      <c r="G70" s="66" t="s">
        <v>421</v>
      </c>
      <c r="H70" s="66" t="s">
        <v>422</v>
      </c>
      <c r="I70" s="66" t="s">
        <v>328</v>
      </c>
      <c r="J70" s="66" t="s">
        <v>329</v>
      </c>
      <c r="K70" s="67">
        <v>2</v>
      </c>
      <c r="L70" s="67">
        <v>1904</v>
      </c>
    </row>
    <row r="71" spans="1:12">
      <c r="A71" s="66" t="s">
        <v>369</v>
      </c>
      <c r="B71" s="66" t="s">
        <v>370</v>
      </c>
      <c r="C71" s="66" t="s">
        <v>371</v>
      </c>
      <c r="D71" s="66" t="s">
        <v>372</v>
      </c>
      <c r="E71" s="66" t="s">
        <v>318</v>
      </c>
      <c r="F71" s="66" t="s">
        <v>319</v>
      </c>
      <c r="G71" s="66" t="s">
        <v>421</v>
      </c>
      <c r="H71" s="66" t="s">
        <v>422</v>
      </c>
      <c r="I71" s="66" t="s">
        <v>409</v>
      </c>
      <c r="J71" s="66" t="s">
        <v>410</v>
      </c>
      <c r="K71" s="67">
        <v>2</v>
      </c>
      <c r="L71" s="67">
        <v>2682</v>
      </c>
    </row>
    <row r="72" spans="1:12">
      <c r="A72" s="66" t="s">
        <v>369</v>
      </c>
      <c r="B72" s="66" t="s">
        <v>370</v>
      </c>
      <c r="C72" s="66" t="s">
        <v>371</v>
      </c>
      <c r="D72" s="66" t="s">
        <v>372</v>
      </c>
      <c r="E72" s="66" t="s">
        <v>318</v>
      </c>
      <c r="F72" s="66" t="s">
        <v>319</v>
      </c>
      <c r="G72" s="66" t="s">
        <v>423</v>
      </c>
      <c r="H72" s="66" t="s">
        <v>424</v>
      </c>
      <c r="I72" s="66" t="s">
        <v>328</v>
      </c>
      <c r="J72" s="66" t="s">
        <v>329</v>
      </c>
      <c r="K72" s="67">
        <v>5</v>
      </c>
      <c r="L72" s="67">
        <v>4405</v>
      </c>
    </row>
    <row r="73" spans="1:12">
      <c r="A73" s="66" t="s">
        <v>369</v>
      </c>
      <c r="B73" s="66" t="s">
        <v>370</v>
      </c>
      <c r="C73" s="66" t="s">
        <v>371</v>
      </c>
      <c r="D73" s="66" t="s">
        <v>372</v>
      </c>
      <c r="E73" s="66" t="s">
        <v>318</v>
      </c>
      <c r="F73" s="66" t="s">
        <v>319</v>
      </c>
      <c r="G73" s="66" t="s">
        <v>423</v>
      </c>
      <c r="H73" s="66" t="s">
        <v>424</v>
      </c>
      <c r="I73" s="66" t="s">
        <v>409</v>
      </c>
      <c r="J73" s="66" t="s">
        <v>410</v>
      </c>
      <c r="K73" s="67">
        <v>2</v>
      </c>
      <c r="L73" s="67">
        <v>2641</v>
      </c>
    </row>
    <row r="74" spans="1:12">
      <c r="A74" s="66" t="s">
        <v>369</v>
      </c>
      <c r="B74" s="66" t="s">
        <v>370</v>
      </c>
      <c r="C74" s="66" t="s">
        <v>371</v>
      </c>
      <c r="D74" s="66" t="s">
        <v>372</v>
      </c>
      <c r="E74" s="66" t="s">
        <v>318</v>
      </c>
      <c r="F74" s="66" t="s">
        <v>319</v>
      </c>
      <c r="G74" s="66" t="s">
        <v>425</v>
      </c>
      <c r="H74" s="66" t="s">
        <v>426</v>
      </c>
      <c r="I74" s="66" t="s">
        <v>326</v>
      </c>
      <c r="J74" s="66" t="s">
        <v>327</v>
      </c>
      <c r="K74" s="67">
        <v>4</v>
      </c>
      <c r="L74" s="67">
        <v>2886</v>
      </c>
    </row>
    <row r="75" spans="1:12">
      <c r="A75" s="66" t="s">
        <v>369</v>
      </c>
      <c r="B75" s="66" t="s">
        <v>370</v>
      </c>
      <c r="C75" s="66" t="s">
        <v>371</v>
      </c>
      <c r="D75" s="66" t="s">
        <v>372</v>
      </c>
      <c r="E75" s="66" t="s">
        <v>318</v>
      </c>
      <c r="F75" s="66" t="s">
        <v>319</v>
      </c>
      <c r="G75" s="66" t="s">
        <v>425</v>
      </c>
      <c r="H75" s="66" t="s">
        <v>426</v>
      </c>
      <c r="I75" s="66" t="s">
        <v>328</v>
      </c>
      <c r="J75" s="66" t="s">
        <v>329</v>
      </c>
      <c r="K75" s="67">
        <v>59</v>
      </c>
      <c r="L75" s="67">
        <v>50122</v>
      </c>
    </row>
    <row r="76" spans="1:12">
      <c r="A76" s="66" t="s">
        <v>369</v>
      </c>
      <c r="B76" s="66" t="s">
        <v>370</v>
      </c>
      <c r="C76" s="66" t="s">
        <v>371</v>
      </c>
      <c r="D76" s="66" t="s">
        <v>372</v>
      </c>
      <c r="E76" s="66" t="s">
        <v>318</v>
      </c>
      <c r="F76" s="66" t="s">
        <v>319</v>
      </c>
      <c r="G76" s="66" t="s">
        <v>425</v>
      </c>
      <c r="H76" s="66" t="s">
        <v>426</v>
      </c>
      <c r="I76" s="66" t="s">
        <v>427</v>
      </c>
      <c r="J76" s="66" t="s">
        <v>428</v>
      </c>
      <c r="K76" s="67">
        <v>2</v>
      </c>
      <c r="L76" s="67">
        <v>1680</v>
      </c>
    </row>
    <row r="77" spans="1:12">
      <c r="A77" s="66" t="s">
        <v>369</v>
      </c>
      <c r="B77" s="66" t="s">
        <v>370</v>
      </c>
      <c r="C77" s="66" t="s">
        <v>371</v>
      </c>
      <c r="D77" s="66" t="s">
        <v>372</v>
      </c>
      <c r="E77" s="66" t="s">
        <v>318</v>
      </c>
      <c r="F77" s="66" t="s">
        <v>319</v>
      </c>
      <c r="G77" s="66" t="s">
        <v>425</v>
      </c>
      <c r="H77" s="66" t="s">
        <v>426</v>
      </c>
      <c r="I77" s="66" t="s">
        <v>409</v>
      </c>
      <c r="J77" s="66" t="s">
        <v>410</v>
      </c>
      <c r="K77" s="67">
        <v>39</v>
      </c>
      <c r="L77" s="67">
        <v>46202</v>
      </c>
    </row>
    <row r="78" spans="1:12">
      <c r="A78" s="66" t="s">
        <v>369</v>
      </c>
      <c r="B78" s="66" t="s">
        <v>370</v>
      </c>
      <c r="C78" s="66" t="s">
        <v>371</v>
      </c>
      <c r="D78" s="66" t="s">
        <v>372</v>
      </c>
      <c r="E78" s="66" t="s">
        <v>318</v>
      </c>
      <c r="F78" s="66" t="s">
        <v>319</v>
      </c>
      <c r="G78" s="66" t="s">
        <v>429</v>
      </c>
      <c r="H78" s="66" t="s">
        <v>430</v>
      </c>
      <c r="I78" s="66" t="s">
        <v>326</v>
      </c>
      <c r="J78" s="66" t="s">
        <v>327</v>
      </c>
      <c r="K78" s="67">
        <v>3</v>
      </c>
      <c r="L78" s="67">
        <v>2262</v>
      </c>
    </row>
    <row r="79" spans="1:12">
      <c r="A79" s="66" t="s">
        <v>369</v>
      </c>
      <c r="B79" s="66" t="s">
        <v>370</v>
      </c>
      <c r="C79" s="66" t="s">
        <v>371</v>
      </c>
      <c r="D79" s="66" t="s">
        <v>372</v>
      </c>
      <c r="E79" s="66" t="s">
        <v>318</v>
      </c>
      <c r="F79" s="66" t="s">
        <v>319</v>
      </c>
      <c r="G79" s="66" t="s">
        <v>429</v>
      </c>
      <c r="H79" s="66" t="s">
        <v>430</v>
      </c>
      <c r="I79" s="66" t="s">
        <v>328</v>
      </c>
      <c r="J79" s="66" t="s">
        <v>329</v>
      </c>
      <c r="K79" s="67">
        <v>38</v>
      </c>
      <c r="L79" s="67">
        <v>34266</v>
      </c>
    </row>
    <row r="80" spans="1:12">
      <c r="A80" s="66" t="s">
        <v>369</v>
      </c>
      <c r="B80" s="66" t="s">
        <v>370</v>
      </c>
      <c r="C80" s="66" t="s">
        <v>371</v>
      </c>
      <c r="D80" s="66" t="s">
        <v>372</v>
      </c>
      <c r="E80" s="66" t="s">
        <v>318</v>
      </c>
      <c r="F80" s="66" t="s">
        <v>319</v>
      </c>
      <c r="G80" s="66" t="s">
        <v>429</v>
      </c>
      <c r="H80" s="66" t="s">
        <v>430</v>
      </c>
      <c r="I80" s="66" t="s">
        <v>427</v>
      </c>
      <c r="J80" s="66" t="s">
        <v>428</v>
      </c>
      <c r="K80" s="67">
        <v>2</v>
      </c>
      <c r="L80" s="67">
        <v>2641</v>
      </c>
    </row>
    <row r="81" spans="1:12">
      <c r="A81" s="66" t="s">
        <v>369</v>
      </c>
      <c r="B81" s="66" t="s">
        <v>370</v>
      </c>
      <c r="C81" s="66" t="s">
        <v>371</v>
      </c>
      <c r="D81" s="66" t="s">
        <v>372</v>
      </c>
      <c r="E81" s="66" t="s">
        <v>318</v>
      </c>
      <c r="F81" s="66" t="s">
        <v>319</v>
      </c>
      <c r="G81" s="66" t="s">
        <v>429</v>
      </c>
      <c r="H81" s="66" t="s">
        <v>430</v>
      </c>
      <c r="I81" s="66" t="s">
        <v>395</v>
      </c>
      <c r="J81" s="66" t="s">
        <v>396</v>
      </c>
      <c r="K81" s="67">
        <v>1</v>
      </c>
      <c r="L81" s="67">
        <v>680</v>
      </c>
    </row>
    <row r="82" spans="1:12">
      <c r="A82" s="66" t="s">
        <v>369</v>
      </c>
      <c r="B82" s="66" t="s">
        <v>370</v>
      </c>
      <c r="C82" s="66" t="s">
        <v>371</v>
      </c>
      <c r="D82" s="66" t="s">
        <v>372</v>
      </c>
      <c r="E82" s="66" t="s">
        <v>318</v>
      </c>
      <c r="F82" s="66" t="s">
        <v>319</v>
      </c>
      <c r="G82" s="66" t="s">
        <v>429</v>
      </c>
      <c r="H82" s="66" t="s">
        <v>430</v>
      </c>
      <c r="I82" s="66" t="s">
        <v>409</v>
      </c>
      <c r="J82" s="66" t="s">
        <v>410</v>
      </c>
      <c r="K82" s="67">
        <v>36</v>
      </c>
      <c r="L82" s="67">
        <v>42212</v>
      </c>
    </row>
    <row r="83" spans="1:12">
      <c r="A83" s="66" t="s">
        <v>369</v>
      </c>
      <c r="B83" s="66" t="s">
        <v>370</v>
      </c>
      <c r="C83" s="66" t="s">
        <v>371</v>
      </c>
      <c r="D83" s="66" t="s">
        <v>372</v>
      </c>
      <c r="E83" s="66" t="s">
        <v>318</v>
      </c>
      <c r="F83" s="66" t="s">
        <v>319</v>
      </c>
      <c r="G83" s="66" t="s">
        <v>431</v>
      </c>
      <c r="H83" s="66" t="s">
        <v>432</v>
      </c>
      <c r="I83" s="66" t="s">
        <v>326</v>
      </c>
      <c r="J83" s="66" t="s">
        <v>327</v>
      </c>
      <c r="K83" s="67">
        <v>3</v>
      </c>
      <c r="L83" s="67">
        <v>2184</v>
      </c>
    </row>
    <row r="84" spans="1:12">
      <c r="A84" s="66" t="s">
        <v>369</v>
      </c>
      <c r="B84" s="66" t="s">
        <v>370</v>
      </c>
      <c r="C84" s="66" t="s">
        <v>371</v>
      </c>
      <c r="D84" s="66" t="s">
        <v>372</v>
      </c>
      <c r="E84" s="66" t="s">
        <v>318</v>
      </c>
      <c r="F84" s="66" t="s">
        <v>319</v>
      </c>
      <c r="G84" s="66" t="s">
        <v>431</v>
      </c>
      <c r="H84" s="66" t="s">
        <v>432</v>
      </c>
      <c r="I84" s="66" t="s">
        <v>328</v>
      </c>
      <c r="J84" s="66" t="s">
        <v>329</v>
      </c>
      <c r="K84" s="67">
        <v>35</v>
      </c>
      <c r="L84" s="67">
        <v>35915</v>
      </c>
    </row>
    <row r="85" spans="1:12">
      <c r="A85" s="66" t="s">
        <v>369</v>
      </c>
      <c r="B85" s="66" t="s">
        <v>370</v>
      </c>
      <c r="C85" s="66" t="s">
        <v>371</v>
      </c>
      <c r="D85" s="66" t="s">
        <v>372</v>
      </c>
      <c r="E85" s="66" t="s">
        <v>318</v>
      </c>
      <c r="F85" s="66" t="s">
        <v>319</v>
      </c>
      <c r="G85" s="66" t="s">
        <v>431</v>
      </c>
      <c r="H85" s="66" t="s">
        <v>432</v>
      </c>
      <c r="I85" s="66" t="s">
        <v>427</v>
      </c>
      <c r="J85" s="66" t="s">
        <v>428</v>
      </c>
      <c r="K85" s="67">
        <v>3</v>
      </c>
      <c r="L85" s="67">
        <v>3870</v>
      </c>
    </row>
    <row r="86" spans="1:12">
      <c r="A86" s="66" t="s">
        <v>369</v>
      </c>
      <c r="B86" s="66" t="s">
        <v>370</v>
      </c>
      <c r="C86" s="66" t="s">
        <v>371</v>
      </c>
      <c r="D86" s="66" t="s">
        <v>372</v>
      </c>
      <c r="E86" s="66" t="s">
        <v>318</v>
      </c>
      <c r="F86" s="66" t="s">
        <v>319</v>
      </c>
      <c r="G86" s="66" t="s">
        <v>431</v>
      </c>
      <c r="H86" s="66" t="s">
        <v>432</v>
      </c>
      <c r="I86" s="66" t="s">
        <v>409</v>
      </c>
      <c r="J86" s="66" t="s">
        <v>410</v>
      </c>
      <c r="K86" s="67">
        <v>32</v>
      </c>
      <c r="L86" s="67">
        <v>38027</v>
      </c>
    </row>
    <row r="87" spans="1:12">
      <c r="A87" s="66" t="s">
        <v>369</v>
      </c>
      <c r="B87" s="66" t="s">
        <v>370</v>
      </c>
      <c r="C87" s="66" t="s">
        <v>371</v>
      </c>
      <c r="D87" s="66" t="s">
        <v>372</v>
      </c>
      <c r="E87" s="66" t="s">
        <v>330</v>
      </c>
      <c r="F87" s="66" t="s">
        <v>331</v>
      </c>
      <c r="G87" s="66" t="s">
        <v>433</v>
      </c>
      <c r="H87" s="66" t="s">
        <v>434</v>
      </c>
      <c r="I87" s="66" t="s">
        <v>328</v>
      </c>
      <c r="J87" s="66" t="s">
        <v>329</v>
      </c>
      <c r="K87" s="67">
        <v>2</v>
      </c>
      <c r="L87" s="67">
        <v>3160</v>
      </c>
    </row>
    <row r="88" spans="1:12">
      <c r="A88" s="66" t="s">
        <v>369</v>
      </c>
      <c r="B88" s="66" t="s">
        <v>370</v>
      </c>
      <c r="C88" s="66" t="s">
        <v>371</v>
      </c>
      <c r="D88" s="66" t="s">
        <v>372</v>
      </c>
      <c r="E88" s="66" t="s">
        <v>330</v>
      </c>
      <c r="F88" s="66" t="s">
        <v>331</v>
      </c>
      <c r="G88" s="66" t="s">
        <v>435</v>
      </c>
      <c r="H88" s="66" t="s">
        <v>436</v>
      </c>
      <c r="I88" s="66" t="s">
        <v>328</v>
      </c>
      <c r="J88" s="66" t="s">
        <v>329</v>
      </c>
      <c r="K88" s="67">
        <v>1</v>
      </c>
      <c r="L88" s="67">
        <v>1692</v>
      </c>
    </row>
    <row r="89" spans="1:12">
      <c r="A89" s="66" t="s">
        <v>369</v>
      </c>
      <c r="B89" s="66" t="s">
        <v>370</v>
      </c>
      <c r="C89" s="66" t="s">
        <v>371</v>
      </c>
      <c r="D89" s="66" t="s">
        <v>372</v>
      </c>
      <c r="E89" s="66" t="s">
        <v>330</v>
      </c>
      <c r="F89" s="66" t="s">
        <v>331</v>
      </c>
      <c r="G89" s="66" t="s">
        <v>435</v>
      </c>
      <c r="H89" s="66" t="s">
        <v>436</v>
      </c>
      <c r="I89" s="66" t="s">
        <v>427</v>
      </c>
      <c r="J89" s="66" t="s">
        <v>428</v>
      </c>
      <c r="K89" s="67">
        <v>3</v>
      </c>
      <c r="L89" s="67">
        <v>4093</v>
      </c>
    </row>
    <row r="90" spans="1:12">
      <c r="A90" s="66" t="s">
        <v>369</v>
      </c>
      <c r="B90" s="66" t="s">
        <v>370</v>
      </c>
      <c r="C90" s="66" t="s">
        <v>371</v>
      </c>
      <c r="D90" s="66" t="s">
        <v>372</v>
      </c>
      <c r="E90" s="66" t="s">
        <v>330</v>
      </c>
      <c r="F90" s="66" t="s">
        <v>331</v>
      </c>
      <c r="G90" s="66" t="s">
        <v>435</v>
      </c>
      <c r="H90" s="66" t="s">
        <v>436</v>
      </c>
      <c r="I90" s="66" t="s">
        <v>395</v>
      </c>
      <c r="J90" s="66" t="s">
        <v>396</v>
      </c>
      <c r="K90" s="67">
        <v>2</v>
      </c>
      <c r="L90" s="67">
        <v>1580</v>
      </c>
    </row>
    <row r="91" spans="1:12">
      <c r="A91" s="66" t="s">
        <v>369</v>
      </c>
      <c r="B91" s="66" t="s">
        <v>370</v>
      </c>
      <c r="C91" s="66" t="s">
        <v>371</v>
      </c>
      <c r="D91" s="66" t="s">
        <v>372</v>
      </c>
      <c r="E91" s="66" t="s">
        <v>330</v>
      </c>
      <c r="F91" s="66" t="s">
        <v>331</v>
      </c>
      <c r="G91" s="66" t="s">
        <v>435</v>
      </c>
      <c r="H91" s="66" t="s">
        <v>436</v>
      </c>
      <c r="I91" s="66" t="s">
        <v>437</v>
      </c>
      <c r="J91" s="66" t="s">
        <v>438</v>
      </c>
      <c r="K91" s="67">
        <v>2</v>
      </c>
      <c r="L91" s="67">
        <v>1500</v>
      </c>
    </row>
    <row r="92" spans="1:12">
      <c r="A92" s="66" t="s">
        <v>369</v>
      </c>
      <c r="B92" s="66" t="s">
        <v>370</v>
      </c>
      <c r="C92" s="66" t="s">
        <v>371</v>
      </c>
      <c r="D92" s="66" t="s">
        <v>372</v>
      </c>
      <c r="E92" s="66" t="s">
        <v>330</v>
      </c>
      <c r="F92" s="66" t="s">
        <v>331</v>
      </c>
      <c r="G92" s="66" t="s">
        <v>439</v>
      </c>
      <c r="H92" s="66" t="s">
        <v>440</v>
      </c>
      <c r="I92" s="66" t="s">
        <v>328</v>
      </c>
      <c r="J92" s="66" t="s">
        <v>329</v>
      </c>
      <c r="K92" s="67">
        <v>1</v>
      </c>
      <c r="L92" s="67">
        <v>1690</v>
      </c>
    </row>
    <row r="93" spans="1:12">
      <c r="A93" s="66" t="s">
        <v>369</v>
      </c>
      <c r="B93" s="66" t="s">
        <v>370</v>
      </c>
      <c r="C93" s="66" t="s">
        <v>371</v>
      </c>
      <c r="D93" s="66" t="s">
        <v>372</v>
      </c>
      <c r="E93" s="66" t="s">
        <v>330</v>
      </c>
      <c r="F93" s="66" t="s">
        <v>331</v>
      </c>
      <c r="G93" s="66" t="s">
        <v>439</v>
      </c>
      <c r="H93" s="66" t="s">
        <v>440</v>
      </c>
      <c r="I93" s="66" t="s">
        <v>427</v>
      </c>
      <c r="J93" s="66" t="s">
        <v>428</v>
      </c>
      <c r="K93" s="67">
        <v>3</v>
      </c>
      <c r="L93" s="67">
        <v>4812</v>
      </c>
    </row>
    <row r="94" spans="1:12">
      <c r="A94" s="66" t="s">
        <v>369</v>
      </c>
      <c r="B94" s="66" t="s">
        <v>370</v>
      </c>
      <c r="C94" s="66" t="s">
        <v>371</v>
      </c>
      <c r="D94" s="66" t="s">
        <v>372</v>
      </c>
      <c r="E94" s="66" t="s">
        <v>330</v>
      </c>
      <c r="F94" s="66" t="s">
        <v>331</v>
      </c>
      <c r="G94" s="66" t="s">
        <v>439</v>
      </c>
      <c r="H94" s="66" t="s">
        <v>440</v>
      </c>
      <c r="I94" s="66" t="s">
        <v>395</v>
      </c>
      <c r="J94" s="66" t="s">
        <v>396</v>
      </c>
      <c r="K94" s="67">
        <v>2</v>
      </c>
      <c r="L94" s="67">
        <v>1501</v>
      </c>
    </row>
    <row r="95" spans="1:12">
      <c r="A95" s="66" t="s">
        <v>369</v>
      </c>
      <c r="B95" s="66" t="s">
        <v>370</v>
      </c>
      <c r="C95" s="66" t="s">
        <v>371</v>
      </c>
      <c r="D95" s="66" t="s">
        <v>372</v>
      </c>
      <c r="E95" s="66" t="s">
        <v>330</v>
      </c>
      <c r="F95" s="66" t="s">
        <v>331</v>
      </c>
      <c r="G95" s="66" t="s">
        <v>439</v>
      </c>
      <c r="H95" s="66" t="s">
        <v>440</v>
      </c>
      <c r="I95" s="66" t="s">
        <v>437</v>
      </c>
      <c r="J95" s="66" t="s">
        <v>438</v>
      </c>
      <c r="K95" s="67">
        <v>0</v>
      </c>
      <c r="L95" s="67">
        <v>0</v>
      </c>
    </row>
    <row r="96" spans="1:12">
      <c r="A96" s="66" t="s">
        <v>369</v>
      </c>
      <c r="B96" s="66" t="s">
        <v>370</v>
      </c>
      <c r="C96" s="66" t="s">
        <v>371</v>
      </c>
      <c r="D96" s="66" t="s">
        <v>372</v>
      </c>
      <c r="E96" s="66" t="s">
        <v>330</v>
      </c>
      <c r="F96" s="66" t="s">
        <v>331</v>
      </c>
      <c r="G96" s="66" t="s">
        <v>439</v>
      </c>
      <c r="H96" s="66" t="s">
        <v>440</v>
      </c>
      <c r="I96" s="66" t="s">
        <v>409</v>
      </c>
      <c r="J96" s="66" t="s">
        <v>410</v>
      </c>
      <c r="K96" s="67">
        <v>2</v>
      </c>
      <c r="L96" s="67">
        <v>2812</v>
      </c>
    </row>
    <row r="97" spans="1:12">
      <c r="A97" s="66" t="s">
        <v>369</v>
      </c>
      <c r="B97" s="66" t="s">
        <v>370</v>
      </c>
      <c r="C97" s="66" t="s">
        <v>371</v>
      </c>
      <c r="D97" s="66" t="s">
        <v>372</v>
      </c>
      <c r="E97" s="66" t="s">
        <v>330</v>
      </c>
      <c r="F97" s="66" t="s">
        <v>331</v>
      </c>
      <c r="G97" s="66" t="s">
        <v>441</v>
      </c>
      <c r="H97" s="66" t="s">
        <v>442</v>
      </c>
      <c r="I97" s="66" t="s">
        <v>427</v>
      </c>
      <c r="J97" s="66" t="s">
        <v>428</v>
      </c>
      <c r="K97" s="67">
        <v>2</v>
      </c>
      <c r="L97" s="67">
        <v>5403</v>
      </c>
    </row>
    <row r="98" spans="1:12">
      <c r="A98" s="66" t="s">
        <v>369</v>
      </c>
      <c r="B98" s="66" t="s">
        <v>370</v>
      </c>
      <c r="C98" s="66" t="s">
        <v>371</v>
      </c>
      <c r="D98" s="66" t="s">
        <v>372</v>
      </c>
      <c r="E98" s="66" t="s">
        <v>330</v>
      </c>
      <c r="F98" s="66" t="s">
        <v>331</v>
      </c>
      <c r="G98" s="66" t="s">
        <v>441</v>
      </c>
      <c r="H98" s="66" t="s">
        <v>442</v>
      </c>
      <c r="I98" s="66" t="s">
        <v>409</v>
      </c>
      <c r="J98" s="66" t="s">
        <v>410</v>
      </c>
      <c r="K98" s="67">
        <v>2</v>
      </c>
      <c r="L98" s="67">
        <v>4704</v>
      </c>
    </row>
    <row r="99" spans="1:12">
      <c r="A99" s="66" t="s">
        <v>369</v>
      </c>
      <c r="B99" s="66" t="s">
        <v>370</v>
      </c>
      <c r="C99" s="66" t="s">
        <v>371</v>
      </c>
      <c r="D99" s="66" t="s">
        <v>372</v>
      </c>
      <c r="E99" s="66" t="s">
        <v>330</v>
      </c>
      <c r="F99" s="66" t="s">
        <v>331</v>
      </c>
      <c r="G99" s="66" t="s">
        <v>443</v>
      </c>
      <c r="H99" s="66" t="s">
        <v>444</v>
      </c>
      <c r="I99" s="66" t="s">
        <v>328</v>
      </c>
      <c r="J99" s="66" t="s">
        <v>329</v>
      </c>
      <c r="K99" s="67">
        <v>5</v>
      </c>
      <c r="L99" s="67">
        <v>7703</v>
      </c>
    </row>
    <row r="100" spans="1:12">
      <c r="A100" s="66" t="s">
        <v>369</v>
      </c>
      <c r="B100" s="66" t="s">
        <v>370</v>
      </c>
      <c r="C100" s="66" t="s">
        <v>371</v>
      </c>
      <c r="D100" s="66" t="s">
        <v>372</v>
      </c>
      <c r="E100" s="66" t="s">
        <v>330</v>
      </c>
      <c r="F100" s="66" t="s">
        <v>331</v>
      </c>
      <c r="G100" s="66" t="s">
        <v>443</v>
      </c>
      <c r="H100" s="66" t="s">
        <v>444</v>
      </c>
      <c r="I100" s="66" t="s">
        <v>427</v>
      </c>
      <c r="J100" s="66" t="s">
        <v>428</v>
      </c>
      <c r="K100" s="67">
        <v>1</v>
      </c>
      <c r="L100" s="67">
        <v>880</v>
      </c>
    </row>
    <row r="101" spans="1:12">
      <c r="A101" s="66" t="s">
        <v>369</v>
      </c>
      <c r="B101" s="66" t="s">
        <v>370</v>
      </c>
      <c r="C101" s="66" t="s">
        <v>371</v>
      </c>
      <c r="D101" s="66" t="s">
        <v>372</v>
      </c>
      <c r="E101" s="66" t="s">
        <v>330</v>
      </c>
      <c r="F101" s="66" t="s">
        <v>331</v>
      </c>
      <c r="G101" s="66" t="s">
        <v>443</v>
      </c>
      <c r="H101" s="66" t="s">
        <v>444</v>
      </c>
      <c r="I101" s="66" t="s">
        <v>395</v>
      </c>
      <c r="J101" s="66" t="s">
        <v>396</v>
      </c>
      <c r="K101" s="67">
        <v>2</v>
      </c>
      <c r="L101" s="67">
        <v>1311</v>
      </c>
    </row>
    <row r="102" spans="1:12">
      <c r="A102" s="66" t="s">
        <v>369</v>
      </c>
      <c r="B102" s="66" t="s">
        <v>370</v>
      </c>
      <c r="C102" s="66" t="s">
        <v>371</v>
      </c>
      <c r="D102" s="66" t="s">
        <v>372</v>
      </c>
      <c r="E102" s="66" t="s">
        <v>330</v>
      </c>
      <c r="F102" s="66" t="s">
        <v>331</v>
      </c>
      <c r="G102" s="66" t="s">
        <v>443</v>
      </c>
      <c r="H102" s="66" t="s">
        <v>444</v>
      </c>
      <c r="I102" s="66" t="s">
        <v>409</v>
      </c>
      <c r="J102" s="66" t="s">
        <v>410</v>
      </c>
      <c r="K102" s="67">
        <v>2</v>
      </c>
      <c r="L102" s="67">
        <v>2622</v>
      </c>
    </row>
    <row r="103" spans="1:12">
      <c r="A103" s="66" t="s">
        <v>369</v>
      </c>
      <c r="B103" s="66" t="s">
        <v>370</v>
      </c>
      <c r="C103" s="66" t="s">
        <v>371</v>
      </c>
      <c r="D103" s="66" t="s">
        <v>372</v>
      </c>
      <c r="E103" s="66" t="s">
        <v>330</v>
      </c>
      <c r="F103" s="66" t="s">
        <v>331</v>
      </c>
      <c r="G103" s="66" t="s">
        <v>445</v>
      </c>
      <c r="H103" s="66" t="s">
        <v>446</v>
      </c>
      <c r="I103" s="66" t="s">
        <v>328</v>
      </c>
      <c r="J103" s="66" t="s">
        <v>329</v>
      </c>
      <c r="K103" s="67">
        <v>2</v>
      </c>
      <c r="L103" s="67">
        <v>3380</v>
      </c>
    </row>
    <row r="104" spans="1:12">
      <c r="A104" s="66" t="s">
        <v>369</v>
      </c>
      <c r="B104" s="66" t="s">
        <v>370</v>
      </c>
      <c r="C104" s="66" t="s">
        <v>371</v>
      </c>
      <c r="D104" s="66" t="s">
        <v>372</v>
      </c>
      <c r="E104" s="66" t="s">
        <v>330</v>
      </c>
      <c r="F104" s="66" t="s">
        <v>331</v>
      </c>
      <c r="G104" s="66" t="s">
        <v>445</v>
      </c>
      <c r="H104" s="66" t="s">
        <v>446</v>
      </c>
      <c r="I104" s="66" t="s">
        <v>427</v>
      </c>
      <c r="J104" s="66" t="s">
        <v>428</v>
      </c>
      <c r="K104" s="67">
        <v>1</v>
      </c>
      <c r="L104" s="67">
        <v>1280</v>
      </c>
    </row>
    <row r="105" spans="1:12">
      <c r="A105" s="66" t="s">
        <v>369</v>
      </c>
      <c r="B105" s="66" t="s">
        <v>370</v>
      </c>
      <c r="C105" s="66" t="s">
        <v>371</v>
      </c>
      <c r="D105" s="66" t="s">
        <v>372</v>
      </c>
      <c r="E105" s="66" t="s">
        <v>330</v>
      </c>
      <c r="F105" s="66" t="s">
        <v>331</v>
      </c>
      <c r="G105" s="66" t="s">
        <v>445</v>
      </c>
      <c r="H105" s="66" t="s">
        <v>446</v>
      </c>
      <c r="I105" s="66" t="s">
        <v>395</v>
      </c>
      <c r="J105" s="66" t="s">
        <v>396</v>
      </c>
      <c r="K105" s="67">
        <v>1</v>
      </c>
      <c r="L105" s="67">
        <v>711</v>
      </c>
    </row>
    <row r="106" spans="1:12">
      <c r="A106" s="66" t="s">
        <v>369</v>
      </c>
      <c r="B106" s="66" t="s">
        <v>370</v>
      </c>
      <c r="C106" s="66" t="s">
        <v>371</v>
      </c>
      <c r="D106" s="66" t="s">
        <v>372</v>
      </c>
      <c r="E106" s="66" t="s">
        <v>330</v>
      </c>
      <c r="F106" s="66" t="s">
        <v>331</v>
      </c>
      <c r="G106" s="66" t="s">
        <v>445</v>
      </c>
      <c r="H106" s="66" t="s">
        <v>446</v>
      </c>
      <c r="I106" s="66" t="s">
        <v>409</v>
      </c>
      <c r="J106" s="66" t="s">
        <v>410</v>
      </c>
      <c r="K106" s="67">
        <v>3</v>
      </c>
      <c r="L106" s="67">
        <v>3996</v>
      </c>
    </row>
    <row r="107" spans="1:12">
      <c r="A107" s="66" t="s">
        <v>369</v>
      </c>
      <c r="B107" s="66" t="s">
        <v>370</v>
      </c>
      <c r="C107" s="66" t="s">
        <v>371</v>
      </c>
      <c r="D107" s="66" t="s">
        <v>372</v>
      </c>
      <c r="E107" s="66" t="s">
        <v>330</v>
      </c>
      <c r="F107" s="66" t="s">
        <v>331</v>
      </c>
      <c r="G107" s="66" t="s">
        <v>447</v>
      </c>
      <c r="H107" s="66" t="s">
        <v>448</v>
      </c>
      <c r="I107" s="66" t="s">
        <v>328</v>
      </c>
      <c r="J107" s="66" t="s">
        <v>329</v>
      </c>
      <c r="K107" s="67">
        <v>1</v>
      </c>
      <c r="L107" s="67">
        <v>1390</v>
      </c>
    </row>
    <row r="108" spans="1:12">
      <c r="A108" s="66" t="s">
        <v>369</v>
      </c>
      <c r="B108" s="66" t="s">
        <v>370</v>
      </c>
      <c r="C108" s="66" t="s">
        <v>371</v>
      </c>
      <c r="D108" s="66" t="s">
        <v>372</v>
      </c>
      <c r="E108" s="66" t="s">
        <v>338</v>
      </c>
      <c r="F108" s="66" t="s">
        <v>339</v>
      </c>
      <c r="G108" s="66" t="s">
        <v>292</v>
      </c>
      <c r="H108" s="66" t="s">
        <v>293</v>
      </c>
      <c r="I108" s="66" t="s">
        <v>310</v>
      </c>
      <c r="J108" s="66" t="s">
        <v>311</v>
      </c>
      <c r="K108" s="67">
        <v>6</v>
      </c>
      <c r="L108" s="67">
        <v>1290</v>
      </c>
    </row>
    <row r="109" spans="1:12">
      <c r="A109" s="66" t="s">
        <v>369</v>
      </c>
      <c r="B109" s="66" t="s">
        <v>370</v>
      </c>
      <c r="C109" s="66" t="s">
        <v>371</v>
      </c>
      <c r="D109" s="66" t="s">
        <v>372</v>
      </c>
      <c r="E109" s="66" t="s">
        <v>338</v>
      </c>
      <c r="F109" s="66" t="s">
        <v>339</v>
      </c>
      <c r="G109" s="66" t="s">
        <v>346</v>
      </c>
      <c r="H109" s="66" t="s">
        <v>347</v>
      </c>
      <c r="I109" s="66" t="s">
        <v>322</v>
      </c>
      <c r="J109" s="66" t="s">
        <v>323</v>
      </c>
      <c r="K109" s="67">
        <v>2</v>
      </c>
      <c r="L109" s="67">
        <v>5380</v>
      </c>
    </row>
    <row r="110" spans="1:12">
      <c r="A110" s="66" t="s">
        <v>369</v>
      </c>
      <c r="B110" s="66" t="s">
        <v>370</v>
      </c>
      <c r="C110" s="66" t="s">
        <v>371</v>
      </c>
      <c r="D110" s="66" t="s">
        <v>372</v>
      </c>
      <c r="E110" s="66" t="s">
        <v>338</v>
      </c>
      <c r="F110" s="66" t="s">
        <v>339</v>
      </c>
      <c r="G110" s="66" t="s">
        <v>314</v>
      </c>
      <c r="H110" s="66" t="s">
        <v>315</v>
      </c>
      <c r="I110" s="66" t="s">
        <v>449</v>
      </c>
      <c r="J110" s="66" t="s">
        <v>450</v>
      </c>
      <c r="K110" s="67">
        <v>10</v>
      </c>
      <c r="L110" s="67">
        <v>16388</v>
      </c>
    </row>
    <row r="111" spans="1:12">
      <c r="A111" s="66" t="s">
        <v>369</v>
      </c>
      <c r="B111" s="66" t="s">
        <v>370</v>
      </c>
      <c r="C111" s="66" t="s">
        <v>371</v>
      </c>
      <c r="D111" s="66" t="s">
        <v>372</v>
      </c>
      <c r="E111" s="66" t="s">
        <v>338</v>
      </c>
      <c r="F111" s="66" t="s">
        <v>339</v>
      </c>
      <c r="G111" s="66" t="s">
        <v>314</v>
      </c>
      <c r="H111" s="66" t="s">
        <v>315</v>
      </c>
      <c r="I111" s="66" t="s">
        <v>316</v>
      </c>
      <c r="J111" s="66" t="s">
        <v>317</v>
      </c>
      <c r="K111" s="67">
        <v>24</v>
      </c>
      <c r="L111" s="67">
        <v>2750</v>
      </c>
    </row>
    <row r="112" spans="1:12">
      <c r="A112" s="66" t="s">
        <v>369</v>
      </c>
      <c r="B112" s="66" t="s">
        <v>370</v>
      </c>
      <c r="C112" s="66" t="s">
        <v>371</v>
      </c>
      <c r="D112" s="66" t="s">
        <v>372</v>
      </c>
      <c r="E112" s="66" t="s">
        <v>338</v>
      </c>
      <c r="F112" s="66" t="s">
        <v>339</v>
      </c>
      <c r="G112" s="66" t="s">
        <v>314</v>
      </c>
      <c r="H112" s="66" t="s">
        <v>315</v>
      </c>
      <c r="I112" s="66" t="s">
        <v>451</v>
      </c>
      <c r="J112" s="66" t="s">
        <v>452</v>
      </c>
      <c r="K112" s="67">
        <v>2</v>
      </c>
      <c r="L112" s="67">
        <v>1880</v>
      </c>
    </row>
    <row r="113" spans="1:12">
      <c r="A113" s="66" t="s">
        <v>369</v>
      </c>
      <c r="B113" s="66" t="s">
        <v>370</v>
      </c>
      <c r="C113" s="66" t="s">
        <v>371</v>
      </c>
      <c r="D113" s="66" t="s">
        <v>372</v>
      </c>
      <c r="E113" s="66" t="s">
        <v>338</v>
      </c>
      <c r="F113" s="66" t="s">
        <v>339</v>
      </c>
      <c r="G113" s="66" t="s">
        <v>314</v>
      </c>
      <c r="H113" s="66" t="s">
        <v>315</v>
      </c>
      <c r="I113" s="66" t="s">
        <v>322</v>
      </c>
      <c r="J113" s="66" t="s">
        <v>323</v>
      </c>
      <c r="K113" s="67">
        <v>5</v>
      </c>
      <c r="L113" s="67">
        <v>3450</v>
      </c>
    </row>
    <row r="114" spans="1:12">
      <c r="A114" s="66" t="s">
        <v>369</v>
      </c>
      <c r="B114" s="66" t="s">
        <v>370</v>
      </c>
      <c r="C114" s="66" t="s">
        <v>371</v>
      </c>
      <c r="D114" s="66" t="s">
        <v>372</v>
      </c>
      <c r="E114" s="66" t="s">
        <v>338</v>
      </c>
      <c r="F114" s="66" t="s">
        <v>339</v>
      </c>
      <c r="G114" s="66" t="s">
        <v>320</v>
      </c>
      <c r="H114" s="66" t="s">
        <v>321</v>
      </c>
      <c r="I114" s="66" t="s">
        <v>322</v>
      </c>
      <c r="J114" s="66" t="s">
        <v>323</v>
      </c>
      <c r="K114" s="67">
        <v>72</v>
      </c>
      <c r="L114" s="67">
        <v>39467</v>
      </c>
    </row>
    <row r="115" spans="1:12">
      <c r="A115" s="66" t="s">
        <v>369</v>
      </c>
      <c r="B115" s="66" t="s">
        <v>370</v>
      </c>
      <c r="C115" s="66" t="s">
        <v>371</v>
      </c>
      <c r="D115" s="66" t="s">
        <v>372</v>
      </c>
      <c r="E115" s="66" t="s">
        <v>338</v>
      </c>
      <c r="F115" s="66" t="s">
        <v>339</v>
      </c>
      <c r="G115" s="66" t="s">
        <v>320</v>
      </c>
      <c r="H115" s="66" t="s">
        <v>321</v>
      </c>
      <c r="I115" s="66" t="s">
        <v>332</v>
      </c>
      <c r="J115" s="66" t="s">
        <v>333</v>
      </c>
      <c r="K115" s="67">
        <v>1</v>
      </c>
      <c r="L115" s="67">
        <v>690</v>
      </c>
    </row>
    <row r="116" spans="1:12">
      <c r="A116" s="66" t="s">
        <v>369</v>
      </c>
      <c r="B116" s="66" t="s">
        <v>370</v>
      </c>
      <c r="C116" s="66" t="s">
        <v>371</v>
      </c>
      <c r="D116" s="66" t="s">
        <v>372</v>
      </c>
      <c r="E116" s="66" t="s">
        <v>338</v>
      </c>
      <c r="F116" s="66" t="s">
        <v>339</v>
      </c>
      <c r="G116" s="66" t="s">
        <v>397</v>
      </c>
      <c r="H116" s="66" t="s">
        <v>398</v>
      </c>
      <c r="I116" s="66" t="s">
        <v>453</v>
      </c>
      <c r="J116" s="66" t="s">
        <v>454</v>
      </c>
      <c r="K116" s="67">
        <v>2</v>
      </c>
      <c r="L116" s="67">
        <v>1513</v>
      </c>
    </row>
    <row r="117" spans="1:12">
      <c r="A117" s="66" t="s">
        <v>369</v>
      </c>
      <c r="B117" s="66" t="s">
        <v>370</v>
      </c>
      <c r="C117" s="66" t="s">
        <v>371</v>
      </c>
      <c r="D117" s="66" t="s">
        <v>372</v>
      </c>
      <c r="E117" s="66" t="s">
        <v>338</v>
      </c>
      <c r="F117" s="66" t="s">
        <v>339</v>
      </c>
      <c r="G117" s="66" t="s">
        <v>397</v>
      </c>
      <c r="H117" s="66" t="s">
        <v>398</v>
      </c>
      <c r="I117" s="66" t="s">
        <v>405</v>
      </c>
      <c r="J117" s="66" t="s">
        <v>406</v>
      </c>
      <c r="K117" s="67">
        <v>1</v>
      </c>
      <c r="L117" s="67">
        <v>880</v>
      </c>
    </row>
    <row r="118" spans="1:12">
      <c r="A118" s="66" t="s">
        <v>369</v>
      </c>
      <c r="B118" s="66" t="s">
        <v>370</v>
      </c>
      <c r="C118" s="66" t="s">
        <v>371</v>
      </c>
      <c r="D118" s="66" t="s">
        <v>372</v>
      </c>
      <c r="E118" s="66" t="s">
        <v>338</v>
      </c>
      <c r="F118" s="66" t="s">
        <v>339</v>
      </c>
      <c r="G118" s="66" t="s">
        <v>455</v>
      </c>
      <c r="H118" s="66" t="s">
        <v>456</v>
      </c>
      <c r="I118" s="66" t="s">
        <v>326</v>
      </c>
      <c r="J118" s="66" t="s">
        <v>327</v>
      </c>
      <c r="K118" s="67">
        <v>19</v>
      </c>
      <c r="L118" s="67">
        <v>11385</v>
      </c>
    </row>
    <row r="119" spans="1:12">
      <c r="A119" s="66" t="s">
        <v>369</v>
      </c>
      <c r="B119" s="66" t="s">
        <v>370</v>
      </c>
      <c r="C119" s="66" t="s">
        <v>371</v>
      </c>
      <c r="D119" s="66" t="s">
        <v>372</v>
      </c>
      <c r="E119" s="66" t="s">
        <v>338</v>
      </c>
      <c r="F119" s="66" t="s">
        <v>339</v>
      </c>
      <c r="G119" s="66" t="s">
        <v>455</v>
      </c>
      <c r="H119" s="66" t="s">
        <v>456</v>
      </c>
      <c r="I119" s="66" t="s">
        <v>328</v>
      </c>
      <c r="J119" s="66" t="s">
        <v>329</v>
      </c>
      <c r="K119" s="67">
        <v>2</v>
      </c>
      <c r="L119" s="67">
        <v>1730</v>
      </c>
    </row>
    <row r="120" spans="1:12">
      <c r="A120" s="66" t="s">
        <v>369</v>
      </c>
      <c r="B120" s="66" t="s">
        <v>370</v>
      </c>
      <c r="C120" s="66" t="s">
        <v>371</v>
      </c>
      <c r="D120" s="66" t="s">
        <v>372</v>
      </c>
      <c r="E120" s="66" t="s">
        <v>338</v>
      </c>
      <c r="F120" s="66" t="s">
        <v>339</v>
      </c>
      <c r="G120" s="66" t="s">
        <v>455</v>
      </c>
      <c r="H120" s="66" t="s">
        <v>456</v>
      </c>
      <c r="I120" s="66" t="s">
        <v>427</v>
      </c>
      <c r="J120" s="66" t="s">
        <v>428</v>
      </c>
      <c r="K120" s="67">
        <v>9</v>
      </c>
      <c r="L120" s="67">
        <v>8920</v>
      </c>
    </row>
    <row r="121" spans="1:12">
      <c r="A121" s="66" t="s">
        <v>369</v>
      </c>
      <c r="B121" s="66" t="s">
        <v>370</v>
      </c>
      <c r="C121" s="66" t="s">
        <v>371</v>
      </c>
      <c r="D121" s="66" t="s">
        <v>372</v>
      </c>
      <c r="E121" s="66" t="s">
        <v>338</v>
      </c>
      <c r="F121" s="66" t="s">
        <v>339</v>
      </c>
      <c r="G121" s="66" t="s">
        <v>455</v>
      </c>
      <c r="H121" s="66" t="s">
        <v>456</v>
      </c>
      <c r="I121" s="66" t="s">
        <v>457</v>
      </c>
      <c r="J121" s="66" t="s">
        <v>458</v>
      </c>
      <c r="K121" s="67">
        <v>1</v>
      </c>
      <c r="L121" s="67">
        <v>199</v>
      </c>
    </row>
    <row r="122" spans="1:12">
      <c r="A122" s="66" t="s">
        <v>369</v>
      </c>
      <c r="B122" s="66" t="s">
        <v>370</v>
      </c>
      <c r="C122" s="66" t="s">
        <v>371</v>
      </c>
      <c r="D122" s="66" t="s">
        <v>372</v>
      </c>
      <c r="E122" s="66" t="s">
        <v>290</v>
      </c>
      <c r="F122" s="66" t="s">
        <v>291</v>
      </c>
      <c r="G122" s="66" t="s">
        <v>292</v>
      </c>
      <c r="H122" s="66" t="s">
        <v>293</v>
      </c>
      <c r="I122" s="66" t="s">
        <v>294</v>
      </c>
      <c r="J122" s="66" t="s">
        <v>295</v>
      </c>
      <c r="K122" s="67">
        <v>1</v>
      </c>
      <c r="L122" s="67">
        <v>12800</v>
      </c>
    </row>
    <row r="123" spans="1:12">
      <c r="A123" s="66" t="s">
        <v>369</v>
      </c>
      <c r="B123" s="66" t="s">
        <v>370</v>
      </c>
      <c r="C123" s="66" t="s">
        <v>371</v>
      </c>
      <c r="D123" s="66" t="s">
        <v>372</v>
      </c>
      <c r="E123" s="66" t="s">
        <v>342</v>
      </c>
      <c r="F123" s="66" t="s">
        <v>343</v>
      </c>
      <c r="G123" s="66" t="s">
        <v>292</v>
      </c>
      <c r="H123" s="66" t="s">
        <v>293</v>
      </c>
      <c r="I123" s="66" t="s">
        <v>344</v>
      </c>
      <c r="J123" s="66" t="s">
        <v>345</v>
      </c>
      <c r="K123" s="67">
        <v>5</v>
      </c>
      <c r="L123" s="67">
        <v>16350</v>
      </c>
    </row>
    <row r="124" spans="1:12">
      <c r="A124" s="66" t="s">
        <v>369</v>
      </c>
      <c r="B124" s="66" t="s">
        <v>370</v>
      </c>
      <c r="C124" s="66" t="s">
        <v>371</v>
      </c>
      <c r="D124" s="66" t="s">
        <v>372</v>
      </c>
      <c r="E124" s="66" t="s">
        <v>459</v>
      </c>
      <c r="F124" s="66" t="s">
        <v>460</v>
      </c>
      <c r="G124" s="66" t="s">
        <v>320</v>
      </c>
      <c r="H124" s="66" t="s">
        <v>321</v>
      </c>
      <c r="I124" s="66" t="s">
        <v>332</v>
      </c>
      <c r="J124" s="66" t="s">
        <v>333</v>
      </c>
      <c r="K124" s="67">
        <v>4</v>
      </c>
      <c r="L124" s="67">
        <v>1596</v>
      </c>
    </row>
    <row r="125" spans="1:12">
      <c r="A125" s="66" t="s">
        <v>369</v>
      </c>
      <c r="B125" s="66" t="s">
        <v>370</v>
      </c>
      <c r="C125" s="66" t="s">
        <v>371</v>
      </c>
      <c r="D125" s="66" t="s">
        <v>372</v>
      </c>
      <c r="E125" s="66" t="s">
        <v>459</v>
      </c>
      <c r="F125" s="66" t="s">
        <v>460</v>
      </c>
      <c r="G125" s="66" t="s">
        <v>397</v>
      </c>
      <c r="H125" s="66" t="s">
        <v>398</v>
      </c>
      <c r="I125" s="66" t="s">
        <v>461</v>
      </c>
      <c r="J125" s="66" t="s">
        <v>462</v>
      </c>
      <c r="K125" s="67">
        <v>1</v>
      </c>
      <c r="L125" s="67">
        <v>0</v>
      </c>
    </row>
    <row r="126" spans="1:12">
      <c r="A126" s="66" t="s">
        <v>369</v>
      </c>
      <c r="B126" s="66" t="s">
        <v>370</v>
      </c>
      <c r="C126" s="66" t="s">
        <v>371</v>
      </c>
      <c r="D126" s="66" t="s">
        <v>372</v>
      </c>
      <c r="E126" s="66" t="s">
        <v>463</v>
      </c>
      <c r="F126" s="66" t="s">
        <v>464</v>
      </c>
      <c r="G126" s="66" t="s">
        <v>465</v>
      </c>
      <c r="H126" s="66" t="s">
        <v>464</v>
      </c>
      <c r="I126" s="66" t="s">
        <v>466</v>
      </c>
      <c r="J126" s="66" t="s">
        <v>467</v>
      </c>
      <c r="K126" s="67">
        <v>3</v>
      </c>
      <c r="L126" s="67">
        <v>3552</v>
      </c>
    </row>
    <row r="127" spans="1:12">
      <c r="A127" s="66" t="s">
        <v>369</v>
      </c>
      <c r="B127" s="66" t="s">
        <v>370</v>
      </c>
      <c r="C127" s="66" t="s">
        <v>371</v>
      </c>
      <c r="D127" s="66" t="s">
        <v>372</v>
      </c>
      <c r="E127" s="66" t="s">
        <v>356</v>
      </c>
      <c r="F127" s="66" t="s">
        <v>357</v>
      </c>
      <c r="G127" s="66" t="s">
        <v>468</v>
      </c>
      <c r="H127" s="66" t="s">
        <v>469</v>
      </c>
      <c r="I127" s="66" t="s">
        <v>470</v>
      </c>
      <c r="J127" s="66" t="s">
        <v>471</v>
      </c>
      <c r="K127" s="67">
        <v>3</v>
      </c>
      <c r="L127" s="67">
        <v>7670</v>
      </c>
    </row>
    <row r="128" spans="1:12">
      <c r="A128" s="66" t="s">
        <v>369</v>
      </c>
      <c r="B128" s="66" t="s">
        <v>370</v>
      </c>
      <c r="C128" s="66" t="s">
        <v>371</v>
      </c>
      <c r="D128" s="66" t="s">
        <v>372</v>
      </c>
      <c r="E128" s="66" t="s">
        <v>472</v>
      </c>
      <c r="F128" s="66" t="s">
        <v>473</v>
      </c>
      <c r="G128" s="66" t="s">
        <v>314</v>
      </c>
      <c r="H128" s="66" t="s">
        <v>315</v>
      </c>
      <c r="I128" s="66" t="s">
        <v>474</v>
      </c>
      <c r="J128" s="66" t="s">
        <v>475</v>
      </c>
      <c r="K128" s="67">
        <v>4</v>
      </c>
      <c r="L128" s="67">
        <v>4255</v>
      </c>
    </row>
    <row r="129" spans="1:12">
      <c r="A129" s="66" t="s">
        <v>369</v>
      </c>
      <c r="B129" s="66" t="s">
        <v>370</v>
      </c>
      <c r="C129" s="66" t="s">
        <v>371</v>
      </c>
      <c r="D129" s="66" t="s">
        <v>372</v>
      </c>
      <c r="E129" s="66" t="s">
        <v>472</v>
      </c>
      <c r="F129" s="66" t="s">
        <v>473</v>
      </c>
      <c r="G129" s="66" t="s">
        <v>397</v>
      </c>
      <c r="H129" s="66" t="s">
        <v>398</v>
      </c>
      <c r="I129" s="66" t="s">
        <v>340</v>
      </c>
      <c r="J129" s="66" t="s">
        <v>341</v>
      </c>
      <c r="K129" s="67">
        <v>3</v>
      </c>
      <c r="L129" s="67">
        <v>13080</v>
      </c>
    </row>
    <row r="130" spans="1:12">
      <c r="A130" s="66" t="s">
        <v>369</v>
      </c>
      <c r="B130" s="66" t="s">
        <v>370</v>
      </c>
      <c r="C130" s="66" t="s">
        <v>371</v>
      </c>
      <c r="D130" s="66" t="s">
        <v>372</v>
      </c>
      <c r="E130" s="66" t="s">
        <v>360</v>
      </c>
      <c r="F130" s="66" t="s">
        <v>361</v>
      </c>
      <c r="G130" s="66" t="s">
        <v>362</v>
      </c>
      <c r="H130" s="66" t="s">
        <v>363</v>
      </c>
      <c r="I130" s="66" t="s">
        <v>364</v>
      </c>
      <c r="J130" s="66" t="s">
        <v>365</v>
      </c>
      <c r="K130" s="67">
        <v>1</v>
      </c>
      <c r="L130" s="67">
        <v>1504</v>
      </c>
    </row>
    <row r="131" spans="1:12">
      <c r="A131" s="66" t="s">
        <v>369</v>
      </c>
      <c r="B131" s="66" t="s">
        <v>370</v>
      </c>
      <c r="C131" s="66" t="s">
        <v>371</v>
      </c>
      <c r="D131" s="66" t="s">
        <v>372</v>
      </c>
      <c r="E131" s="66" t="s">
        <v>360</v>
      </c>
      <c r="F131" s="66" t="s">
        <v>361</v>
      </c>
      <c r="G131" s="66" t="s">
        <v>476</v>
      </c>
      <c r="H131" s="66" t="s">
        <v>477</v>
      </c>
      <c r="I131" s="66" t="s">
        <v>326</v>
      </c>
      <c r="J131" s="66" t="s">
        <v>327</v>
      </c>
      <c r="K131" s="67">
        <v>1</v>
      </c>
      <c r="L131" s="67">
        <v>490</v>
      </c>
    </row>
    <row r="132" spans="1:12">
      <c r="A132" s="66" t="s">
        <v>369</v>
      </c>
      <c r="B132" s="66" t="s">
        <v>370</v>
      </c>
      <c r="C132" s="66" t="s">
        <v>371</v>
      </c>
      <c r="D132" s="66" t="s">
        <v>372</v>
      </c>
      <c r="E132" s="66" t="s">
        <v>360</v>
      </c>
      <c r="F132" s="66" t="s">
        <v>361</v>
      </c>
      <c r="G132" s="66" t="s">
        <v>476</v>
      </c>
      <c r="H132" s="66" t="s">
        <v>477</v>
      </c>
      <c r="I132" s="66" t="s">
        <v>328</v>
      </c>
      <c r="J132" s="66" t="s">
        <v>329</v>
      </c>
      <c r="K132" s="67">
        <v>10</v>
      </c>
      <c r="L132" s="67">
        <v>6234</v>
      </c>
    </row>
    <row r="133" spans="1:12">
      <c r="A133" s="66" t="s">
        <v>369</v>
      </c>
      <c r="B133" s="66" t="s">
        <v>370</v>
      </c>
      <c r="C133" s="66" t="s">
        <v>371</v>
      </c>
      <c r="D133" s="66" t="s">
        <v>372</v>
      </c>
      <c r="E133" s="66" t="s">
        <v>478</v>
      </c>
      <c r="F133" s="66" t="s">
        <v>479</v>
      </c>
      <c r="G133" s="66" t="s">
        <v>480</v>
      </c>
      <c r="H133" s="66" t="s">
        <v>479</v>
      </c>
      <c r="I133" s="66" t="s">
        <v>481</v>
      </c>
      <c r="J133" s="66" t="s">
        <v>482</v>
      </c>
      <c r="K133" s="67">
        <v>15</v>
      </c>
      <c r="L133" s="67">
        <v>11985</v>
      </c>
    </row>
    <row r="134" spans="1:12">
      <c r="A134" s="66" t="s">
        <v>369</v>
      </c>
      <c r="B134" s="66" t="s">
        <v>370</v>
      </c>
      <c r="C134" s="66" t="s">
        <v>483</v>
      </c>
      <c r="D134" s="66" t="s">
        <v>484</v>
      </c>
      <c r="E134" s="66" t="s">
        <v>485</v>
      </c>
      <c r="F134" s="66" t="s">
        <v>484</v>
      </c>
      <c r="G134" s="66" t="s">
        <v>486</v>
      </c>
      <c r="H134" s="66" t="s">
        <v>484</v>
      </c>
      <c r="I134" s="66" t="s">
        <v>51</v>
      </c>
      <c r="J134" s="66" t="s">
        <v>50</v>
      </c>
      <c r="K134" s="67">
        <v>31</v>
      </c>
      <c r="L134" s="67">
        <v>0</v>
      </c>
    </row>
    <row r="135" spans="1:12">
      <c r="A135" s="66" t="s">
        <v>369</v>
      </c>
      <c r="B135" s="66" t="s">
        <v>370</v>
      </c>
      <c r="C135" s="66" t="s">
        <v>483</v>
      </c>
      <c r="D135" s="66" t="s">
        <v>484</v>
      </c>
      <c r="E135" s="66" t="s">
        <v>485</v>
      </c>
      <c r="F135" s="66" t="s">
        <v>484</v>
      </c>
      <c r="G135" s="66" t="s">
        <v>486</v>
      </c>
      <c r="H135" s="66" t="s">
        <v>484</v>
      </c>
      <c r="I135" s="66" t="s">
        <v>52</v>
      </c>
      <c r="J135" s="66" t="s">
        <v>49</v>
      </c>
      <c r="K135" s="67">
        <v>6</v>
      </c>
      <c r="L135" s="67">
        <v>0</v>
      </c>
    </row>
    <row r="136" spans="1:12">
      <c r="A136" s="66" t="s">
        <v>369</v>
      </c>
      <c r="B136" s="66" t="s">
        <v>370</v>
      </c>
      <c r="C136" s="66" t="s">
        <v>483</v>
      </c>
      <c r="D136" s="66" t="s">
        <v>484</v>
      </c>
      <c r="E136" s="66" t="s">
        <v>485</v>
      </c>
      <c r="F136" s="66" t="s">
        <v>484</v>
      </c>
      <c r="G136" s="66" t="s">
        <v>486</v>
      </c>
      <c r="H136" s="66" t="s">
        <v>484</v>
      </c>
      <c r="I136" s="66" t="s">
        <v>487</v>
      </c>
      <c r="J136" s="66" t="s">
        <v>488</v>
      </c>
      <c r="K136" s="67">
        <v>1</v>
      </c>
      <c r="L136" s="67">
        <v>0</v>
      </c>
    </row>
    <row r="137" spans="1:12">
      <c r="A137" s="66" t="s">
        <v>489</v>
      </c>
      <c r="B137" s="66" t="s">
        <v>464</v>
      </c>
      <c r="C137" s="66" t="s">
        <v>490</v>
      </c>
      <c r="D137" s="66" t="s">
        <v>464</v>
      </c>
      <c r="E137" s="66" t="s">
        <v>463</v>
      </c>
      <c r="F137" s="66" t="s">
        <v>464</v>
      </c>
      <c r="G137" s="66" t="s">
        <v>465</v>
      </c>
      <c r="H137" s="66" t="s">
        <v>464</v>
      </c>
      <c r="I137" s="66" t="s">
        <v>466</v>
      </c>
      <c r="J137" s="66" t="s">
        <v>467</v>
      </c>
      <c r="K137" s="67">
        <v>646</v>
      </c>
      <c r="L137" s="67">
        <v>-172</v>
      </c>
    </row>
    <row r="138" spans="1:12">
      <c r="A138" s="66" t="s">
        <v>489</v>
      </c>
      <c r="B138" s="66" t="s">
        <v>464</v>
      </c>
      <c r="C138" s="66" t="s">
        <v>490</v>
      </c>
      <c r="D138" s="66" t="s">
        <v>464</v>
      </c>
      <c r="E138" s="66" t="s">
        <v>491</v>
      </c>
      <c r="F138" s="66" t="s">
        <v>492</v>
      </c>
      <c r="G138" s="66" t="s">
        <v>493</v>
      </c>
      <c r="H138" s="66" t="s">
        <v>492</v>
      </c>
      <c r="I138" s="66" t="s">
        <v>494</v>
      </c>
      <c r="J138" s="66" t="s">
        <v>492</v>
      </c>
      <c r="K138" s="67">
        <v>13</v>
      </c>
      <c r="L138" s="67">
        <v>-1300</v>
      </c>
    </row>
    <row r="139" spans="1:12">
      <c r="A139" s="66" t="s">
        <v>489</v>
      </c>
      <c r="B139" s="66" t="s">
        <v>464</v>
      </c>
      <c r="C139" s="66" t="s">
        <v>495</v>
      </c>
      <c r="D139" s="66" t="s">
        <v>495</v>
      </c>
      <c r="E139" s="66" t="s">
        <v>495</v>
      </c>
      <c r="F139" s="66" t="s">
        <v>495</v>
      </c>
      <c r="G139" s="66" t="s">
        <v>495</v>
      </c>
      <c r="H139" s="66" t="s">
        <v>495</v>
      </c>
      <c r="I139" s="66" t="s">
        <v>495</v>
      </c>
      <c r="J139" s="66" t="s">
        <v>495</v>
      </c>
      <c r="K139" s="67">
        <v>-2</v>
      </c>
      <c r="L139" s="67">
        <v>-100</v>
      </c>
    </row>
    <row r="140" spans="1:12">
      <c r="A140" s="66" t="s">
        <v>496</v>
      </c>
      <c r="B140" s="66" t="s">
        <v>497</v>
      </c>
      <c r="C140" s="66" t="s">
        <v>371</v>
      </c>
      <c r="D140" s="66" t="s">
        <v>372</v>
      </c>
      <c r="E140" s="66" t="s">
        <v>463</v>
      </c>
      <c r="F140" s="66" t="s">
        <v>464</v>
      </c>
      <c r="G140" s="66" t="s">
        <v>465</v>
      </c>
      <c r="H140" s="66" t="s">
        <v>464</v>
      </c>
      <c r="I140" s="66" t="s">
        <v>466</v>
      </c>
      <c r="J140" s="66" t="s">
        <v>467</v>
      </c>
      <c r="K140" s="67">
        <v>3</v>
      </c>
      <c r="L140" s="67">
        <v>1588</v>
      </c>
    </row>
    <row r="141" spans="1:12">
      <c r="A141" s="66" t="s">
        <v>498</v>
      </c>
      <c r="B141" s="66" t="s">
        <v>499</v>
      </c>
      <c r="C141" s="66" t="s">
        <v>500</v>
      </c>
      <c r="D141" s="66" t="s">
        <v>499</v>
      </c>
      <c r="E141" s="66" t="s">
        <v>501</v>
      </c>
      <c r="F141" s="66" t="s">
        <v>502</v>
      </c>
      <c r="G141" s="66" t="s">
        <v>503</v>
      </c>
      <c r="H141" s="66" t="s">
        <v>504</v>
      </c>
      <c r="I141" s="66" t="s">
        <v>505</v>
      </c>
      <c r="J141" s="66" t="s">
        <v>506</v>
      </c>
      <c r="K141" s="67">
        <v>1</v>
      </c>
      <c r="L141" s="67">
        <v>4816</v>
      </c>
    </row>
    <row r="142" spans="1:12">
      <c r="A142" s="66" t="s">
        <v>507</v>
      </c>
      <c r="B142" s="66" t="s">
        <v>508</v>
      </c>
      <c r="C142" s="66" t="s">
        <v>509</v>
      </c>
      <c r="D142" s="66" t="s">
        <v>508</v>
      </c>
      <c r="E142" s="66" t="s">
        <v>510</v>
      </c>
      <c r="F142" s="66" t="s">
        <v>511</v>
      </c>
      <c r="G142" s="66" t="s">
        <v>512</v>
      </c>
      <c r="H142" s="66" t="s">
        <v>513</v>
      </c>
      <c r="I142" s="66" t="s">
        <v>514</v>
      </c>
      <c r="J142" s="66" t="s">
        <v>508</v>
      </c>
      <c r="K142" s="67">
        <v>-1</v>
      </c>
      <c r="L142" s="67">
        <v>-8000</v>
      </c>
    </row>
    <row r="143" spans="1:12">
      <c r="A143" s="66" t="s">
        <v>507</v>
      </c>
      <c r="B143" s="66" t="s">
        <v>508</v>
      </c>
      <c r="C143" s="66" t="s">
        <v>509</v>
      </c>
      <c r="D143" s="66" t="s">
        <v>508</v>
      </c>
      <c r="E143" s="66" t="s">
        <v>515</v>
      </c>
      <c r="F143" s="66" t="s">
        <v>516</v>
      </c>
      <c r="G143" s="66" t="s">
        <v>517</v>
      </c>
      <c r="H143" s="66" t="s">
        <v>518</v>
      </c>
      <c r="I143" s="66" t="s">
        <v>514</v>
      </c>
      <c r="J143" s="66" t="s">
        <v>508</v>
      </c>
      <c r="K143" s="67">
        <v>-2</v>
      </c>
      <c r="L143" s="67">
        <v>-6900</v>
      </c>
    </row>
    <row r="144" spans="1:12">
      <c r="A144" s="66" t="s">
        <v>507</v>
      </c>
      <c r="B144" s="66" t="s">
        <v>508</v>
      </c>
      <c r="C144" s="66" t="s">
        <v>509</v>
      </c>
      <c r="D144" s="66" t="s">
        <v>508</v>
      </c>
      <c r="E144" s="66" t="s">
        <v>515</v>
      </c>
      <c r="F144" s="66" t="s">
        <v>516</v>
      </c>
      <c r="G144" s="66" t="s">
        <v>519</v>
      </c>
      <c r="H144" s="66" t="s">
        <v>520</v>
      </c>
      <c r="I144" s="66" t="s">
        <v>514</v>
      </c>
      <c r="J144" s="66" t="s">
        <v>508</v>
      </c>
      <c r="K144" s="67">
        <v>-1</v>
      </c>
      <c r="L144" s="67">
        <v>-5000</v>
      </c>
    </row>
    <row r="145" spans="1:12">
      <c r="A145" s="66" t="s">
        <v>507</v>
      </c>
      <c r="B145" s="66" t="s">
        <v>508</v>
      </c>
      <c r="C145" s="66" t="s">
        <v>509</v>
      </c>
      <c r="D145" s="66" t="s">
        <v>508</v>
      </c>
      <c r="E145" s="66" t="s">
        <v>521</v>
      </c>
      <c r="F145" s="66" t="s">
        <v>522</v>
      </c>
      <c r="G145" s="66" t="s">
        <v>523</v>
      </c>
      <c r="H145" s="66" t="s">
        <v>524</v>
      </c>
      <c r="I145" s="66" t="s">
        <v>514</v>
      </c>
      <c r="J145" s="66" t="s">
        <v>508</v>
      </c>
      <c r="K145" s="67">
        <v>-1</v>
      </c>
      <c r="L145" s="67">
        <v>-450</v>
      </c>
    </row>
    <row r="146" spans="1:12">
      <c r="A146" s="66" t="s">
        <v>507</v>
      </c>
      <c r="B146" s="66" t="s">
        <v>508</v>
      </c>
      <c r="C146" s="66" t="s">
        <v>509</v>
      </c>
      <c r="D146" s="66" t="s">
        <v>508</v>
      </c>
      <c r="E146" s="66" t="s">
        <v>521</v>
      </c>
      <c r="F146" s="66" t="s">
        <v>522</v>
      </c>
      <c r="G146" s="66" t="s">
        <v>525</v>
      </c>
      <c r="H146" s="66" t="s">
        <v>526</v>
      </c>
      <c r="I146" s="66" t="s">
        <v>514</v>
      </c>
      <c r="J146" s="66" t="s">
        <v>508</v>
      </c>
      <c r="K146" s="67">
        <v>-3</v>
      </c>
      <c r="L146" s="67">
        <v>-7905</v>
      </c>
    </row>
    <row r="147" spans="1:12">
      <c r="A147" s="66" t="s">
        <v>507</v>
      </c>
      <c r="B147" s="66" t="s">
        <v>508</v>
      </c>
      <c r="C147" s="66" t="s">
        <v>509</v>
      </c>
      <c r="D147" s="66" t="s">
        <v>508</v>
      </c>
      <c r="E147" s="66" t="s">
        <v>521</v>
      </c>
      <c r="F147" s="66" t="s">
        <v>522</v>
      </c>
      <c r="G147" s="66" t="s">
        <v>527</v>
      </c>
      <c r="H147" s="66" t="s">
        <v>528</v>
      </c>
      <c r="I147" s="66" t="s">
        <v>514</v>
      </c>
      <c r="J147" s="66" t="s">
        <v>508</v>
      </c>
      <c r="K147" s="67">
        <v>-1</v>
      </c>
      <c r="L147" s="67">
        <v>-3990</v>
      </c>
    </row>
    <row r="148" spans="1:12">
      <c r="A148" s="66" t="s">
        <v>507</v>
      </c>
      <c r="B148" s="66" t="s">
        <v>508</v>
      </c>
      <c r="C148" s="66" t="s">
        <v>509</v>
      </c>
      <c r="D148" s="66" t="s">
        <v>508</v>
      </c>
      <c r="E148" s="66" t="s">
        <v>521</v>
      </c>
      <c r="F148" s="66" t="s">
        <v>522</v>
      </c>
      <c r="G148" s="66" t="s">
        <v>529</v>
      </c>
      <c r="H148" s="66" t="s">
        <v>530</v>
      </c>
      <c r="I148" s="66" t="s">
        <v>514</v>
      </c>
      <c r="J148" s="66" t="s">
        <v>508</v>
      </c>
      <c r="K148" s="67">
        <v>-1</v>
      </c>
      <c r="L148" s="67">
        <v>-6630</v>
      </c>
    </row>
    <row r="149" spans="1:12">
      <c r="A149" s="66" t="s">
        <v>507</v>
      </c>
      <c r="B149" s="66" t="s">
        <v>508</v>
      </c>
      <c r="C149" s="66" t="s">
        <v>509</v>
      </c>
      <c r="D149" s="66" t="s">
        <v>508</v>
      </c>
      <c r="E149" s="66" t="s">
        <v>521</v>
      </c>
      <c r="F149" s="66" t="s">
        <v>522</v>
      </c>
      <c r="G149" s="66" t="s">
        <v>531</v>
      </c>
      <c r="H149" s="66" t="s">
        <v>532</v>
      </c>
      <c r="I149" s="66" t="s">
        <v>514</v>
      </c>
      <c r="J149" s="66" t="s">
        <v>508</v>
      </c>
      <c r="K149" s="67">
        <v>-1</v>
      </c>
      <c r="L149" s="67">
        <v>-7800</v>
      </c>
    </row>
    <row r="150" spans="1:12">
      <c r="A150" s="66" t="s">
        <v>533</v>
      </c>
      <c r="B150" s="66" t="s">
        <v>534</v>
      </c>
      <c r="C150" s="66" t="s">
        <v>535</v>
      </c>
      <c r="D150" s="66" t="s">
        <v>492</v>
      </c>
      <c r="E150" s="66" t="s">
        <v>491</v>
      </c>
      <c r="F150" s="66" t="s">
        <v>492</v>
      </c>
      <c r="G150" s="66" t="s">
        <v>493</v>
      </c>
      <c r="H150" s="66" t="s">
        <v>492</v>
      </c>
      <c r="I150" s="66" t="s">
        <v>494</v>
      </c>
      <c r="J150" s="66" t="s">
        <v>492</v>
      </c>
      <c r="K150" s="67">
        <v>7</v>
      </c>
      <c r="L150" s="67">
        <v>-18108</v>
      </c>
    </row>
    <row r="151" spans="1:12">
      <c r="A151" s="66" t="s">
        <v>536</v>
      </c>
      <c r="B151" s="66" t="s">
        <v>537</v>
      </c>
      <c r="C151" s="66" t="s">
        <v>538</v>
      </c>
      <c r="D151" s="66" t="s">
        <v>537</v>
      </c>
      <c r="E151" s="66" t="s">
        <v>539</v>
      </c>
      <c r="F151" s="66" t="s">
        <v>537</v>
      </c>
      <c r="G151" s="66" t="s">
        <v>540</v>
      </c>
      <c r="H151" s="66" t="s">
        <v>537</v>
      </c>
      <c r="I151" s="66" t="s">
        <v>541</v>
      </c>
      <c r="J151" s="66" t="s">
        <v>537</v>
      </c>
      <c r="K151" s="67">
        <v>8</v>
      </c>
      <c r="L151" s="67">
        <v>-4200</v>
      </c>
    </row>
    <row r="152" spans="1:12">
      <c r="A152" s="66" t="s">
        <v>542</v>
      </c>
      <c r="B152" s="66" t="s">
        <v>543</v>
      </c>
      <c r="C152" s="66" t="s">
        <v>544</v>
      </c>
      <c r="D152" s="66" t="s">
        <v>543</v>
      </c>
      <c r="E152" s="66" t="s">
        <v>545</v>
      </c>
      <c r="F152" s="66" t="s">
        <v>546</v>
      </c>
      <c r="G152" s="66" t="s">
        <v>547</v>
      </c>
      <c r="H152" s="66" t="s">
        <v>546</v>
      </c>
      <c r="I152" s="66" t="s">
        <v>548</v>
      </c>
      <c r="J152" s="66" t="s">
        <v>549</v>
      </c>
      <c r="K152" s="67">
        <v>2</v>
      </c>
      <c r="L152" s="67">
        <v>19180</v>
      </c>
    </row>
    <row r="153" spans="1:12">
      <c r="A153" s="66" t="s">
        <v>542</v>
      </c>
      <c r="B153" s="66" t="s">
        <v>543</v>
      </c>
      <c r="C153" s="66" t="s">
        <v>544</v>
      </c>
      <c r="D153" s="66" t="s">
        <v>543</v>
      </c>
      <c r="E153" s="66" t="s">
        <v>545</v>
      </c>
      <c r="F153" s="66" t="s">
        <v>546</v>
      </c>
      <c r="G153" s="66" t="s">
        <v>547</v>
      </c>
      <c r="H153" s="66" t="s">
        <v>546</v>
      </c>
      <c r="I153" s="66" t="s">
        <v>550</v>
      </c>
      <c r="J153" s="66" t="s">
        <v>551</v>
      </c>
      <c r="K153" s="67">
        <v>2</v>
      </c>
      <c r="L153" s="67">
        <v>2000</v>
      </c>
    </row>
    <row r="154" spans="1:12">
      <c r="A154" s="66" t="s">
        <v>495</v>
      </c>
      <c r="B154" s="66" t="s">
        <v>495</v>
      </c>
      <c r="C154" s="66" t="s">
        <v>495</v>
      </c>
      <c r="D154" s="66" t="s">
        <v>495</v>
      </c>
      <c r="E154" s="66" t="s">
        <v>495</v>
      </c>
      <c r="F154" s="66" t="s">
        <v>495</v>
      </c>
      <c r="G154" s="66" t="s">
        <v>495</v>
      </c>
      <c r="H154" s="66" t="s">
        <v>495</v>
      </c>
      <c r="I154" s="66" t="s">
        <v>495</v>
      </c>
      <c r="J154" s="66" t="s">
        <v>495</v>
      </c>
      <c r="K154" s="67">
        <v>-23908</v>
      </c>
      <c r="L154" s="67">
        <v>-11954</v>
      </c>
    </row>
    <row r="155" spans="1:12">
      <c r="A155" s="68" t="s">
        <v>552</v>
      </c>
      <c r="B155" s="68" t="s">
        <v>495</v>
      </c>
      <c r="C155" s="68" t="s">
        <v>495</v>
      </c>
      <c r="D155" s="68" t="s">
        <v>495</v>
      </c>
      <c r="E155" s="68" t="s">
        <v>495</v>
      </c>
      <c r="F155" s="68" t="s">
        <v>495</v>
      </c>
      <c r="G155" s="68" t="s">
        <v>495</v>
      </c>
      <c r="H155" s="68" t="s">
        <v>495</v>
      </c>
      <c r="I155" s="68" t="s">
        <v>495</v>
      </c>
      <c r="J155" s="68" t="s">
        <v>495</v>
      </c>
      <c r="K155" s="69">
        <v>-21921</v>
      </c>
      <c r="L155" s="69">
        <v>8422720</v>
      </c>
    </row>
  </sheetData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每日營業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812800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daily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2:L155"/>
  <sheetViews>
    <sheetView workbookViewId="0">
      <selection activeCell="E21" sqref="E21"/>
    </sheetView>
  </sheetViews>
  <sheetFormatPr baseColWidth="10" defaultRowHeight="15"/>
  <sheetData>
    <row r="2" spans="1:12">
      <c r="B2" s="41">
        <v>1</v>
      </c>
      <c r="G2" t="s">
        <v>78</v>
      </c>
      <c r="H2" s="42">
        <v>0</v>
      </c>
    </row>
    <row r="3" spans="1:12">
      <c r="G3" t="s">
        <v>236</v>
      </c>
      <c r="I3" s="42">
        <v>2</v>
      </c>
      <c r="K3" t="s">
        <v>76</v>
      </c>
      <c r="L3" s="42">
        <v>0</v>
      </c>
    </row>
    <row r="10" spans="1:12" s="43" customFormat="1"/>
    <row r="11" spans="1:12">
      <c r="A11" s="66" t="s">
        <v>237</v>
      </c>
      <c r="B11" s="66" t="s">
        <v>238</v>
      </c>
      <c r="C11" s="66" t="s">
        <v>239</v>
      </c>
      <c r="D11" s="66" t="s">
        <v>240</v>
      </c>
      <c r="E11" s="66" t="s">
        <v>241</v>
      </c>
      <c r="F11" s="66" t="s">
        <v>242</v>
      </c>
      <c r="G11" s="66" t="s">
        <v>243</v>
      </c>
      <c r="H11" s="66" t="s">
        <v>244</v>
      </c>
      <c r="I11" s="66" t="s">
        <v>245</v>
      </c>
      <c r="J11" s="66" t="s">
        <v>244</v>
      </c>
      <c r="K11" s="67">
        <v>8</v>
      </c>
      <c r="L11" s="67">
        <v>432143</v>
      </c>
    </row>
    <row r="12" spans="1:12">
      <c r="A12" s="66" t="s">
        <v>237</v>
      </c>
      <c r="B12" s="66" t="s">
        <v>238</v>
      </c>
      <c r="C12" s="66" t="s">
        <v>239</v>
      </c>
      <c r="D12" s="66" t="s">
        <v>240</v>
      </c>
      <c r="E12" s="66" t="s">
        <v>241</v>
      </c>
      <c r="F12" s="66" t="s">
        <v>242</v>
      </c>
      <c r="G12" s="66" t="s">
        <v>246</v>
      </c>
      <c r="H12" s="66" t="s">
        <v>247</v>
      </c>
      <c r="I12" s="66" t="s">
        <v>248</v>
      </c>
      <c r="J12" s="66" t="s">
        <v>247</v>
      </c>
      <c r="K12" s="67">
        <v>9</v>
      </c>
      <c r="L12" s="67">
        <v>329100</v>
      </c>
    </row>
    <row r="13" spans="1:12">
      <c r="A13" s="66" t="s">
        <v>237</v>
      </c>
      <c r="B13" s="66" t="s">
        <v>238</v>
      </c>
      <c r="C13" s="66" t="s">
        <v>239</v>
      </c>
      <c r="D13" s="66" t="s">
        <v>240</v>
      </c>
      <c r="E13" s="66" t="s">
        <v>249</v>
      </c>
      <c r="F13" s="66" t="s">
        <v>250</v>
      </c>
      <c r="G13" s="66" t="s">
        <v>251</v>
      </c>
      <c r="H13" s="66" t="s">
        <v>252</v>
      </c>
      <c r="I13" s="66" t="s">
        <v>253</v>
      </c>
      <c r="J13" s="66" t="s">
        <v>252</v>
      </c>
      <c r="K13" s="67">
        <v>5</v>
      </c>
      <c r="L13" s="67">
        <v>87000</v>
      </c>
    </row>
    <row r="14" spans="1:12">
      <c r="A14" s="66" t="s">
        <v>237</v>
      </c>
      <c r="B14" s="66" t="s">
        <v>238</v>
      </c>
      <c r="C14" s="66" t="s">
        <v>239</v>
      </c>
      <c r="D14" s="66" t="s">
        <v>240</v>
      </c>
      <c r="E14" s="66" t="s">
        <v>249</v>
      </c>
      <c r="F14" s="66" t="s">
        <v>250</v>
      </c>
      <c r="G14" s="66" t="s">
        <v>254</v>
      </c>
      <c r="H14" s="66" t="s">
        <v>255</v>
      </c>
      <c r="I14" s="66" t="s">
        <v>256</v>
      </c>
      <c r="J14" s="66" t="s">
        <v>255</v>
      </c>
      <c r="K14" s="67">
        <v>2</v>
      </c>
      <c r="L14" s="67">
        <v>41800</v>
      </c>
    </row>
    <row r="15" spans="1:12">
      <c r="A15" s="66" t="s">
        <v>237</v>
      </c>
      <c r="B15" s="66" t="s">
        <v>238</v>
      </c>
      <c r="C15" s="66" t="s">
        <v>239</v>
      </c>
      <c r="D15" s="66" t="s">
        <v>240</v>
      </c>
      <c r="E15" s="66" t="s">
        <v>249</v>
      </c>
      <c r="F15" s="66" t="s">
        <v>250</v>
      </c>
      <c r="G15" s="66" t="s">
        <v>257</v>
      </c>
      <c r="H15" s="66" t="s">
        <v>258</v>
      </c>
      <c r="I15" s="66" t="s">
        <v>259</v>
      </c>
      <c r="J15" s="66" t="s">
        <v>258</v>
      </c>
      <c r="K15" s="67">
        <v>7</v>
      </c>
      <c r="L15" s="67">
        <v>150723</v>
      </c>
    </row>
    <row r="16" spans="1:12">
      <c r="A16" s="66" t="s">
        <v>237</v>
      </c>
      <c r="B16" s="66" t="s">
        <v>238</v>
      </c>
      <c r="C16" s="66" t="s">
        <v>239</v>
      </c>
      <c r="D16" s="66" t="s">
        <v>240</v>
      </c>
      <c r="E16" s="66" t="s">
        <v>249</v>
      </c>
      <c r="F16" s="66" t="s">
        <v>250</v>
      </c>
      <c r="G16" s="66" t="s">
        <v>260</v>
      </c>
      <c r="H16" s="66" t="s">
        <v>261</v>
      </c>
      <c r="I16" s="66" t="s">
        <v>262</v>
      </c>
      <c r="J16" s="66" t="s">
        <v>261</v>
      </c>
      <c r="K16" s="67">
        <v>1</v>
      </c>
      <c r="L16" s="67">
        <v>40289</v>
      </c>
    </row>
    <row r="17" spans="1:12">
      <c r="A17" s="66" t="s">
        <v>237</v>
      </c>
      <c r="B17" s="66" t="s">
        <v>238</v>
      </c>
      <c r="C17" s="66" t="s">
        <v>239</v>
      </c>
      <c r="D17" s="66" t="s">
        <v>240</v>
      </c>
      <c r="E17" s="66" t="s">
        <v>249</v>
      </c>
      <c r="F17" s="66" t="s">
        <v>250</v>
      </c>
      <c r="G17" s="66" t="s">
        <v>263</v>
      </c>
      <c r="H17" s="66" t="s">
        <v>264</v>
      </c>
      <c r="I17" s="66" t="s">
        <v>265</v>
      </c>
      <c r="J17" s="66" t="s">
        <v>264</v>
      </c>
      <c r="K17" s="67">
        <v>82</v>
      </c>
      <c r="L17" s="67">
        <v>2197300</v>
      </c>
    </row>
    <row r="18" spans="1:12">
      <c r="A18" s="66" t="s">
        <v>237</v>
      </c>
      <c r="B18" s="66" t="s">
        <v>238</v>
      </c>
      <c r="C18" s="66" t="s">
        <v>239</v>
      </c>
      <c r="D18" s="66" t="s">
        <v>240</v>
      </c>
      <c r="E18" s="66" t="s">
        <v>249</v>
      </c>
      <c r="F18" s="66" t="s">
        <v>250</v>
      </c>
      <c r="G18" s="66" t="s">
        <v>266</v>
      </c>
      <c r="H18" s="66" t="s">
        <v>267</v>
      </c>
      <c r="I18" s="66" t="s">
        <v>268</v>
      </c>
      <c r="J18" s="66" t="s">
        <v>267</v>
      </c>
      <c r="K18" s="67">
        <v>33</v>
      </c>
      <c r="L18" s="67">
        <v>1319700</v>
      </c>
    </row>
    <row r="19" spans="1:12">
      <c r="A19" s="66" t="s">
        <v>237</v>
      </c>
      <c r="B19" s="66" t="s">
        <v>238</v>
      </c>
      <c r="C19" s="66" t="s">
        <v>239</v>
      </c>
      <c r="D19" s="66" t="s">
        <v>240</v>
      </c>
      <c r="E19" s="66" t="s">
        <v>249</v>
      </c>
      <c r="F19" s="66" t="s">
        <v>250</v>
      </c>
      <c r="G19" s="66" t="s">
        <v>269</v>
      </c>
      <c r="H19" s="66" t="s">
        <v>270</v>
      </c>
      <c r="I19" s="66" t="s">
        <v>271</v>
      </c>
      <c r="J19" s="66" t="s">
        <v>270</v>
      </c>
      <c r="K19" s="67">
        <v>34</v>
      </c>
      <c r="L19" s="67">
        <v>1541600</v>
      </c>
    </row>
    <row r="20" spans="1:12">
      <c r="A20" s="66" t="s">
        <v>237</v>
      </c>
      <c r="B20" s="66" t="s">
        <v>238</v>
      </c>
      <c r="C20" s="66" t="s">
        <v>239</v>
      </c>
      <c r="D20" s="66" t="s">
        <v>240</v>
      </c>
      <c r="E20" s="66" t="s">
        <v>272</v>
      </c>
      <c r="F20" s="66" t="s">
        <v>273</v>
      </c>
      <c r="G20" s="66" t="s">
        <v>274</v>
      </c>
      <c r="H20" s="66" t="s">
        <v>275</v>
      </c>
      <c r="I20" s="66" t="s">
        <v>276</v>
      </c>
      <c r="J20" s="66" t="s">
        <v>277</v>
      </c>
      <c r="K20" s="67">
        <v>8</v>
      </c>
      <c r="L20" s="67">
        <v>145200</v>
      </c>
    </row>
    <row r="21" spans="1:12">
      <c r="A21" s="66" t="s">
        <v>237</v>
      </c>
      <c r="B21" s="66" t="s">
        <v>238</v>
      </c>
      <c r="C21" s="66" t="s">
        <v>239</v>
      </c>
      <c r="D21" s="66" t="s">
        <v>240</v>
      </c>
      <c r="E21" s="66" t="s">
        <v>272</v>
      </c>
      <c r="F21" s="66" t="s">
        <v>273</v>
      </c>
      <c r="G21" s="66" t="s">
        <v>274</v>
      </c>
      <c r="H21" s="66" t="s">
        <v>275</v>
      </c>
      <c r="I21" s="66" t="s">
        <v>278</v>
      </c>
      <c r="J21" s="66" t="s">
        <v>279</v>
      </c>
      <c r="K21" s="67">
        <v>1</v>
      </c>
      <c r="L21" s="67">
        <v>21400</v>
      </c>
    </row>
    <row r="22" spans="1:12">
      <c r="A22" s="66" t="s">
        <v>237</v>
      </c>
      <c r="B22" s="66" t="s">
        <v>238</v>
      </c>
      <c r="C22" s="66" t="s">
        <v>239</v>
      </c>
      <c r="D22" s="66" t="s">
        <v>240</v>
      </c>
      <c r="E22" s="66" t="s">
        <v>272</v>
      </c>
      <c r="F22" s="66" t="s">
        <v>273</v>
      </c>
      <c r="G22" s="66" t="s">
        <v>280</v>
      </c>
      <c r="H22" s="66" t="s">
        <v>281</v>
      </c>
      <c r="I22" s="66" t="s">
        <v>282</v>
      </c>
      <c r="J22" s="66" t="s">
        <v>283</v>
      </c>
      <c r="K22" s="67">
        <v>1</v>
      </c>
      <c r="L22" s="67">
        <v>13200</v>
      </c>
    </row>
    <row r="23" spans="1:12">
      <c r="A23" s="66" t="s">
        <v>237</v>
      </c>
      <c r="B23" s="66" t="s">
        <v>238</v>
      </c>
      <c r="C23" s="66" t="s">
        <v>239</v>
      </c>
      <c r="D23" s="66" t="s">
        <v>240</v>
      </c>
      <c r="E23" s="66" t="s">
        <v>284</v>
      </c>
      <c r="F23" s="66" t="s">
        <v>285</v>
      </c>
      <c r="G23" s="66" t="s">
        <v>286</v>
      </c>
      <c r="H23" s="66" t="s">
        <v>287</v>
      </c>
      <c r="I23" s="66" t="s">
        <v>288</v>
      </c>
      <c r="J23" s="66" t="s">
        <v>289</v>
      </c>
      <c r="K23" s="67">
        <v>8</v>
      </c>
      <c r="L23" s="67">
        <v>112600</v>
      </c>
    </row>
    <row r="24" spans="1:12">
      <c r="A24" s="66" t="s">
        <v>237</v>
      </c>
      <c r="B24" s="66" t="s">
        <v>238</v>
      </c>
      <c r="C24" s="66" t="s">
        <v>239</v>
      </c>
      <c r="D24" s="66" t="s">
        <v>240</v>
      </c>
      <c r="E24" s="66" t="s">
        <v>290</v>
      </c>
      <c r="F24" s="66" t="s">
        <v>291</v>
      </c>
      <c r="G24" s="66" t="s">
        <v>292</v>
      </c>
      <c r="H24" s="66" t="s">
        <v>293</v>
      </c>
      <c r="I24" s="66" t="s">
        <v>294</v>
      </c>
      <c r="J24" s="66" t="s">
        <v>295</v>
      </c>
      <c r="K24" s="67">
        <v>3</v>
      </c>
      <c r="L24" s="67">
        <v>29700</v>
      </c>
    </row>
    <row r="25" spans="1:12">
      <c r="A25" s="66" t="s">
        <v>237</v>
      </c>
      <c r="B25" s="66" t="s">
        <v>238</v>
      </c>
      <c r="C25" s="66" t="s">
        <v>239</v>
      </c>
      <c r="D25" s="66" t="s">
        <v>240</v>
      </c>
      <c r="E25" s="66" t="s">
        <v>296</v>
      </c>
      <c r="F25" s="66" t="s">
        <v>297</v>
      </c>
      <c r="G25" s="66" t="s">
        <v>298</v>
      </c>
      <c r="H25" s="66" t="s">
        <v>299</v>
      </c>
      <c r="I25" s="66" t="s">
        <v>300</v>
      </c>
      <c r="J25" s="66" t="s">
        <v>299</v>
      </c>
      <c r="K25" s="67">
        <v>26</v>
      </c>
      <c r="L25" s="67">
        <v>374400</v>
      </c>
    </row>
    <row r="26" spans="1:12">
      <c r="A26" s="66" t="s">
        <v>237</v>
      </c>
      <c r="B26" s="66" t="s">
        <v>238</v>
      </c>
      <c r="C26" s="66" t="s">
        <v>239</v>
      </c>
      <c r="D26" s="66" t="s">
        <v>240</v>
      </c>
      <c r="E26" s="66" t="s">
        <v>301</v>
      </c>
      <c r="F26" s="66" t="s">
        <v>302</v>
      </c>
      <c r="G26" s="66" t="s">
        <v>303</v>
      </c>
      <c r="H26" s="66" t="s">
        <v>302</v>
      </c>
      <c r="I26" s="66" t="s">
        <v>304</v>
      </c>
      <c r="J26" s="66" t="s">
        <v>305</v>
      </c>
      <c r="K26" s="67">
        <v>8</v>
      </c>
      <c r="L26" s="67">
        <v>266605</v>
      </c>
    </row>
    <row r="27" spans="1:12">
      <c r="A27" s="66" t="s">
        <v>237</v>
      </c>
      <c r="B27" s="66" t="s">
        <v>238</v>
      </c>
      <c r="C27" s="66" t="s">
        <v>306</v>
      </c>
      <c r="D27" s="66" t="s">
        <v>307</v>
      </c>
      <c r="E27" s="66" t="s">
        <v>308</v>
      </c>
      <c r="F27" s="66" t="s">
        <v>309</v>
      </c>
      <c r="G27" s="66" t="s">
        <v>292</v>
      </c>
      <c r="H27" s="66" t="s">
        <v>293</v>
      </c>
      <c r="I27" s="66" t="s">
        <v>310</v>
      </c>
      <c r="J27" s="66" t="s">
        <v>311</v>
      </c>
      <c r="K27" s="67">
        <v>1</v>
      </c>
      <c r="L27" s="67">
        <v>2990</v>
      </c>
    </row>
    <row r="28" spans="1:12">
      <c r="A28" s="66" t="s">
        <v>237</v>
      </c>
      <c r="B28" s="66" t="s">
        <v>238</v>
      </c>
      <c r="C28" s="66" t="s">
        <v>306</v>
      </c>
      <c r="D28" s="66" t="s">
        <v>307</v>
      </c>
      <c r="E28" s="66" t="s">
        <v>308</v>
      </c>
      <c r="F28" s="66" t="s">
        <v>309</v>
      </c>
      <c r="G28" s="66" t="s">
        <v>292</v>
      </c>
      <c r="H28" s="66" t="s">
        <v>293</v>
      </c>
      <c r="I28" s="66" t="s">
        <v>312</v>
      </c>
      <c r="J28" s="66" t="s">
        <v>313</v>
      </c>
      <c r="K28" s="67">
        <v>11</v>
      </c>
      <c r="L28" s="67">
        <v>26590</v>
      </c>
    </row>
    <row r="29" spans="1:12">
      <c r="A29" s="66" t="s">
        <v>237</v>
      </c>
      <c r="B29" s="66" t="s">
        <v>238</v>
      </c>
      <c r="C29" s="66" t="s">
        <v>306</v>
      </c>
      <c r="D29" s="66" t="s">
        <v>307</v>
      </c>
      <c r="E29" s="66" t="s">
        <v>308</v>
      </c>
      <c r="F29" s="66" t="s">
        <v>309</v>
      </c>
      <c r="G29" s="66" t="s">
        <v>314</v>
      </c>
      <c r="H29" s="66" t="s">
        <v>315</v>
      </c>
      <c r="I29" s="66" t="s">
        <v>316</v>
      </c>
      <c r="J29" s="66" t="s">
        <v>317</v>
      </c>
      <c r="K29" s="67">
        <v>16</v>
      </c>
      <c r="L29" s="67">
        <v>33440</v>
      </c>
    </row>
    <row r="30" spans="1:12">
      <c r="A30" s="66" t="s">
        <v>237</v>
      </c>
      <c r="B30" s="66" t="s">
        <v>238</v>
      </c>
      <c r="C30" s="66" t="s">
        <v>306</v>
      </c>
      <c r="D30" s="66" t="s">
        <v>307</v>
      </c>
      <c r="E30" s="66" t="s">
        <v>318</v>
      </c>
      <c r="F30" s="66" t="s">
        <v>319</v>
      </c>
      <c r="G30" s="66" t="s">
        <v>320</v>
      </c>
      <c r="H30" s="66" t="s">
        <v>321</v>
      </c>
      <c r="I30" s="66" t="s">
        <v>322</v>
      </c>
      <c r="J30" s="66" t="s">
        <v>323</v>
      </c>
      <c r="K30" s="67">
        <v>52</v>
      </c>
      <c r="L30" s="67">
        <v>15980</v>
      </c>
    </row>
    <row r="31" spans="1:12">
      <c r="A31" s="66" t="s">
        <v>237</v>
      </c>
      <c r="B31" s="66" t="s">
        <v>238</v>
      </c>
      <c r="C31" s="66" t="s">
        <v>306</v>
      </c>
      <c r="D31" s="66" t="s">
        <v>307</v>
      </c>
      <c r="E31" s="66" t="s">
        <v>318</v>
      </c>
      <c r="F31" s="66" t="s">
        <v>319</v>
      </c>
      <c r="G31" s="66" t="s">
        <v>324</v>
      </c>
      <c r="H31" s="66" t="s">
        <v>325</v>
      </c>
      <c r="I31" s="66" t="s">
        <v>326</v>
      </c>
      <c r="J31" s="66" t="s">
        <v>327</v>
      </c>
      <c r="K31" s="67">
        <v>5</v>
      </c>
      <c r="L31" s="67">
        <v>5950</v>
      </c>
    </row>
    <row r="32" spans="1:12">
      <c r="A32" s="66" t="s">
        <v>237</v>
      </c>
      <c r="B32" s="66" t="s">
        <v>238</v>
      </c>
      <c r="C32" s="66" t="s">
        <v>306</v>
      </c>
      <c r="D32" s="66" t="s">
        <v>307</v>
      </c>
      <c r="E32" s="66" t="s">
        <v>318</v>
      </c>
      <c r="F32" s="66" t="s">
        <v>319</v>
      </c>
      <c r="G32" s="66" t="s">
        <v>324</v>
      </c>
      <c r="H32" s="66" t="s">
        <v>325</v>
      </c>
      <c r="I32" s="66" t="s">
        <v>328</v>
      </c>
      <c r="J32" s="66" t="s">
        <v>329</v>
      </c>
      <c r="K32" s="67">
        <v>3</v>
      </c>
      <c r="L32" s="67">
        <v>3970</v>
      </c>
    </row>
    <row r="33" spans="1:12">
      <c r="A33" s="66" t="s">
        <v>237</v>
      </c>
      <c r="B33" s="66" t="s">
        <v>238</v>
      </c>
      <c r="C33" s="66" t="s">
        <v>306</v>
      </c>
      <c r="D33" s="66" t="s">
        <v>307</v>
      </c>
      <c r="E33" s="66" t="s">
        <v>330</v>
      </c>
      <c r="F33" s="66" t="s">
        <v>331</v>
      </c>
      <c r="G33" s="66" t="s">
        <v>320</v>
      </c>
      <c r="H33" s="66" t="s">
        <v>321</v>
      </c>
      <c r="I33" s="66" t="s">
        <v>332</v>
      </c>
      <c r="J33" s="66" t="s">
        <v>333</v>
      </c>
      <c r="K33" s="67">
        <v>17</v>
      </c>
      <c r="L33" s="67">
        <v>28430</v>
      </c>
    </row>
    <row r="34" spans="1:12">
      <c r="A34" s="66" t="s">
        <v>237</v>
      </c>
      <c r="B34" s="66" t="s">
        <v>238</v>
      </c>
      <c r="C34" s="66" t="s">
        <v>306</v>
      </c>
      <c r="D34" s="66" t="s">
        <v>307</v>
      </c>
      <c r="E34" s="66" t="s">
        <v>330</v>
      </c>
      <c r="F34" s="66" t="s">
        <v>331</v>
      </c>
      <c r="G34" s="66" t="s">
        <v>334</v>
      </c>
      <c r="H34" s="66" t="s">
        <v>335</v>
      </c>
      <c r="I34" s="66" t="s">
        <v>336</v>
      </c>
      <c r="J34" s="66" t="s">
        <v>337</v>
      </c>
      <c r="K34" s="67">
        <v>15</v>
      </c>
      <c r="L34" s="67">
        <v>52035</v>
      </c>
    </row>
    <row r="35" spans="1:12">
      <c r="A35" s="66" t="s">
        <v>237</v>
      </c>
      <c r="B35" s="66" t="s">
        <v>238</v>
      </c>
      <c r="C35" s="66" t="s">
        <v>306</v>
      </c>
      <c r="D35" s="66" t="s">
        <v>307</v>
      </c>
      <c r="E35" s="66" t="s">
        <v>338</v>
      </c>
      <c r="F35" s="66" t="s">
        <v>339</v>
      </c>
      <c r="G35" s="66" t="s">
        <v>292</v>
      </c>
      <c r="H35" s="66" t="s">
        <v>293</v>
      </c>
      <c r="I35" s="66" t="s">
        <v>340</v>
      </c>
      <c r="J35" s="66" t="s">
        <v>341</v>
      </c>
      <c r="K35" s="67">
        <v>11</v>
      </c>
      <c r="L35" s="67">
        <v>63090</v>
      </c>
    </row>
    <row r="36" spans="1:12">
      <c r="A36" s="66" t="s">
        <v>237</v>
      </c>
      <c r="B36" s="66" t="s">
        <v>238</v>
      </c>
      <c r="C36" s="66" t="s">
        <v>306</v>
      </c>
      <c r="D36" s="66" t="s">
        <v>307</v>
      </c>
      <c r="E36" s="66" t="s">
        <v>338</v>
      </c>
      <c r="F36" s="66" t="s">
        <v>339</v>
      </c>
      <c r="G36" s="66" t="s">
        <v>314</v>
      </c>
      <c r="H36" s="66" t="s">
        <v>315</v>
      </c>
      <c r="I36" s="66" t="s">
        <v>316</v>
      </c>
      <c r="J36" s="66" t="s">
        <v>317</v>
      </c>
      <c r="K36" s="67">
        <v>33</v>
      </c>
      <c r="L36" s="67">
        <v>23070</v>
      </c>
    </row>
    <row r="37" spans="1:12">
      <c r="A37" s="66" t="s">
        <v>237</v>
      </c>
      <c r="B37" s="66" t="s">
        <v>238</v>
      </c>
      <c r="C37" s="66" t="s">
        <v>306</v>
      </c>
      <c r="D37" s="66" t="s">
        <v>307</v>
      </c>
      <c r="E37" s="66" t="s">
        <v>338</v>
      </c>
      <c r="F37" s="66" t="s">
        <v>339</v>
      </c>
      <c r="G37" s="66" t="s">
        <v>320</v>
      </c>
      <c r="H37" s="66" t="s">
        <v>321</v>
      </c>
      <c r="I37" s="66" t="s">
        <v>322</v>
      </c>
      <c r="J37" s="66" t="s">
        <v>323</v>
      </c>
      <c r="K37" s="67">
        <v>102</v>
      </c>
      <c r="L37" s="67">
        <v>65880</v>
      </c>
    </row>
    <row r="38" spans="1:12">
      <c r="A38" s="66" t="s">
        <v>237</v>
      </c>
      <c r="B38" s="66" t="s">
        <v>238</v>
      </c>
      <c r="C38" s="66" t="s">
        <v>306</v>
      </c>
      <c r="D38" s="66" t="s">
        <v>307</v>
      </c>
      <c r="E38" s="66" t="s">
        <v>338</v>
      </c>
      <c r="F38" s="66" t="s">
        <v>339</v>
      </c>
      <c r="G38" s="66" t="s">
        <v>320</v>
      </c>
      <c r="H38" s="66" t="s">
        <v>321</v>
      </c>
      <c r="I38" s="66" t="s">
        <v>332</v>
      </c>
      <c r="J38" s="66" t="s">
        <v>333</v>
      </c>
      <c r="K38" s="67">
        <v>3</v>
      </c>
      <c r="L38" s="67">
        <v>1770</v>
      </c>
    </row>
    <row r="39" spans="1:12">
      <c r="A39" s="66" t="s">
        <v>237</v>
      </c>
      <c r="B39" s="66" t="s">
        <v>238</v>
      </c>
      <c r="C39" s="66" t="s">
        <v>306</v>
      </c>
      <c r="D39" s="66" t="s">
        <v>307</v>
      </c>
      <c r="E39" s="66" t="s">
        <v>342</v>
      </c>
      <c r="F39" s="66" t="s">
        <v>343</v>
      </c>
      <c r="G39" s="66" t="s">
        <v>292</v>
      </c>
      <c r="H39" s="66" t="s">
        <v>293</v>
      </c>
      <c r="I39" s="66" t="s">
        <v>344</v>
      </c>
      <c r="J39" s="66" t="s">
        <v>345</v>
      </c>
      <c r="K39" s="67">
        <v>54</v>
      </c>
      <c r="L39" s="67">
        <v>279660</v>
      </c>
    </row>
    <row r="40" spans="1:12">
      <c r="A40" s="66" t="s">
        <v>237</v>
      </c>
      <c r="B40" s="66" t="s">
        <v>238</v>
      </c>
      <c r="C40" s="66" t="s">
        <v>306</v>
      </c>
      <c r="D40" s="66" t="s">
        <v>307</v>
      </c>
      <c r="E40" s="66" t="s">
        <v>342</v>
      </c>
      <c r="F40" s="66" t="s">
        <v>343</v>
      </c>
      <c r="G40" s="66" t="s">
        <v>346</v>
      </c>
      <c r="H40" s="66" t="s">
        <v>347</v>
      </c>
      <c r="I40" s="66" t="s">
        <v>348</v>
      </c>
      <c r="J40" s="66" t="s">
        <v>349</v>
      </c>
      <c r="K40" s="67">
        <v>43</v>
      </c>
      <c r="L40" s="67">
        <v>42570</v>
      </c>
    </row>
    <row r="41" spans="1:12">
      <c r="A41" s="66" t="s">
        <v>237</v>
      </c>
      <c r="B41" s="66" t="s">
        <v>238</v>
      </c>
      <c r="C41" s="66" t="s">
        <v>306</v>
      </c>
      <c r="D41" s="66" t="s">
        <v>307</v>
      </c>
      <c r="E41" s="66" t="s">
        <v>350</v>
      </c>
      <c r="F41" s="66" t="s">
        <v>351</v>
      </c>
      <c r="G41" s="66" t="s">
        <v>346</v>
      </c>
      <c r="H41" s="66" t="s">
        <v>347</v>
      </c>
      <c r="I41" s="66" t="s">
        <v>352</v>
      </c>
      <c r="J41" s="66" t="s">
        <v>353</v>
      </c>
      <c r="K41" s="67">
        <v>1</v>
      </c>
      <c r="L41" s="67">
        <v>7990</v>
      </c>
    </row>
    <row r="42" spans="1:12">
      <c r="A42" s="66" t="s">
        <v>237</v>
      </c>
      <c r="B42" s="66" t="s">
        <v>238</v>
      </c>
      <c r="C42" s="66" t="s">
        <v>306</v>
      </c>
      <c r="D42" s="66" t="s">
        <v>307</v>
      </c>
      <c r="E42" s="66" t="s">
        <v>350</v>
      </c>
      <c r="F42" s="66" t="s">
        <v>351</v>
      </c>
      <c r="G42" s="66" t="s">
        <v>346</v>
      </c>
      <c r="H42" s="66" t="s">
        <v>347</v>
      </c>
      <c r="I42" s="66" t="s">
        <v>354</v>
      </c>
      <c r="J42" s="66" t="s">
        <v>355</v>
      </c>
      <c r="K42" s="67">
        <v>2</v>
      </c>
      <c r="L42" s="67">
        <v>5280</v>
      </c>
    </row>
    <row r="43" spans="1:12">
      <c r="A43" s="66" t="s">
        <v>237</v>
      </c>
      <c r="B43" s="66" t="s">
        <v>238</v>
      </c>
      <c r="C43" s="66" t="s">
        <v>306</v>
      </c>
      <c r="D43" s="66" t="s">
        <v>307</v>
      </c>
      <c r="E43" s="66" t="s">
        <v>356</v>
      </c>
      <c r="F43" s="66" t="s">
        <v>357</v>
      </c>
      <c r="G43" s="66" t="s">
        <v>358</v>
      </c>
      <c r="H43" s="66" t="s">
        <v>359</v>
      </c>
      <c r="I43" s="66" t="s">
        <v>336</v>
      </c>
      <c r="J43" s="66" t="s">
        <v>337</v>
      </c>
      <c r="K43" s="67">
        <v>9</v>
      </c>
      <c r="L43" s="67">
        <v>48810</v>
      </c>
    </row>
    <row r="44" spans="1:12">
      <c r="A44" s="66" t="s">
        <v>237</v>
      </c>
      <c r="B44" s="66" t="s">
        <v>238</v>
      </c>
      <c r="C44" s="66" t="s">
        <v>306</v>
      </c>
      <c r="D44" s="66" t="s">
        <v>307</v>
      </c>
      <c r="E44" s="66" t="s">
        <v>360</v>
      </c>
      <c r="F44" s="66" t="s">
        <v>361</v>
      </c>
      <c r="G44" s="66" t="s">
        <v>362</v>
      </c>
      <c r="H44" s="66" t="s">
        <v>363</v>
      </c>
      <c r="I44" s="66" t="s">
        <v>364</v>
      </c>
      <c r="J44" s="66" t="s">
        <v>365</v>
      </c>
      <c r="K44" s="67">
        <v>5</v>
      </c>
      <c r="L44" s="67">
        <v>8000</v>
      </c>
    </row>
    <row r="45" spans="1:12">
      <c r="A45" s="66" t="s">
        <v>237</v>
      </c>
      <c r="B45" s="66" t="s">
        <v>238</v>
      </c>
      <c r="C45" s="66" t="s">
        <v>306</v>
      </c>
      <c r="D45" s="66" t="s">
        <v>307</v>
      </c>
      <c r="E45" s="66" t="s">
        <v>360</v>
      </c>
      <c r="F45" s="66" t="s">
        <v>361</v>
      </c>
      <c r="G45" s="66" t="s">
        <v>366</v>
      </c>
      <c r="H45" s="66" t="s">
        <v>367</v>
      </c>
      <c r="I45" s="66" t="s">
        <v>368</v>
      </c>
      <c r="J45" s="66" t="s">
        <v>297</v>
      </c>
      <c r="K45" s="67">
        <v>6</v>
      </c>
      <c r="L45" s="67">
        <v>5940</v>
      </c>
    </row>
    <row r="46" spans="1:12">
      <c r="A46" s="66" t="s">
        <v>369</v>
      </c>
      <c r="B46" s="66" t="s">
        <v>370</v>
      </c>
      <c r="C46" s="66" t="s">
        <v>371</v>
      </c>
      <c r="D46" s="66" t="s">
        <v>372</v>
      </c>
      <c r="E46" s="66" t="s">
        <v>308</v>
      </c>
      <c r="F46" s="66" t="s">
        <v>309</v>
      </c>
      <c r="G46" s="66" t="s">
        <v>373</v>
      </c>
      <c r="H46" s="66" t="s">
        <v>374</v>
      </c>
      <c r="I46" s="66" t="s">
        <v>375</v>
      </c>
      <c r="J46" s="66" t="s">
        <v>376</v>
      </c>
      <c r="K46" s="67">
        <v>2</v>
      </c>
      <c r="L46" s="67">
        <v>8380</v>
      </c>
    </row>
    <row r="47" spans="1:12">
      <c r="A47" s="66" t="s">
        <v>369</v>
      </c>
      <c r="B47" s="66" t="s">
        <v>370</v>
      </c>
      <c r="C47" s="66" t="s">
        <v>371</v>
      </c>
      <c r="D47" s="66" t="s">
        <v>372</v>
      </c>
      <c r="E47" s="66" t="s">
        <v>308</v>
      </c>
      <c r="F47" s="66" t="s">
        <v>309</v>
      </c>
      <c r="G47" s="66" t="s">
        <v>373</v>
      </c>
      <c r="H47" s="66" t="s">
        <v>374</v>
      </c>
      <c r="I47" s="66" t="s">
        <v>377</v>
      </c>
      <c r="J47" s="66" t="s">
        <v>378</v>
      </c>
      <c r="K47" s="67">
        <v>4</v>
      </c>
      <c r="L47" s="67">
        <v>8076</v>
      </c>
    </row>
    <row r="48" spans="1:12">
      <c r="A48" s="66" t="s">
        <v>369</v>
      </c>
      <c r="B48" s="66" t="s">
        <v>370</v>
      </c>
      <c r="C48" s="66" t="s">
        <v>371</v>
      </c>
      <c r="D48" s="66" t="s">
        <v>372</v>
      </c>
      <c r="E48" s="66" t="s">
        <v>308</v>
      </c>
      <c r="F48" s="66" t="s">
        <v>309</v>
      </c>
      <c r="G48" s="66" t="s">
        <v>379</v>
      </c>
      <c r="H48" s="66" t="s">
        <v>380</v>
      </c>
      <c r="I48" s="66" t="s">
        <v>381</v>
      </c>
      <c r="J48" s="66" t="s">
        <v>382</v>
      </c>
      <c r="K48" s="67">
        <v>2</v>
      </c>
      <c r="L48" s="67">
        <v>3698</v>
      </c>
    </row>
    <row r="49" spans="1:12">
      <c r="A49" s="66" t="s">
        <v>369</v>
      </c>
      <c r="B49" s="66" t="s">
        <v>370</v>
      </c>
      <c r="C49" s="66" t="s">
        <v>371</v>
      </c>
      <c r="D49" s="66" t="s">
        <v>372</v>
      </c>
      <c r="E49" s="66" t="s">
        <v>308</v>
      </c>
      <c r="F49" s="66" t="s">
        <v>309</v>
      </c>
      <c r="G49" s="66" t="s">
        <v>346</v>
      </c>
      <c r="H49" s="66" t="s">
        <v>347</v>
      </c>
      <c r="I49" s="66" t="s">
        <v>383</v>
      </c>
      <c r="J49" s="66" t="s">
        <v>384</v>
      </c>
      <c r="K49" s="67">
        <v>1</v>
      </c>
      <c r="L49" s="67">
        <v>888</v>
      </c>
    </row>
    <row r="50" spans="1:12">
      <c r="A50" s="66" t="s">
        <v>369</v>
      </c>
      <c r="B50" s="66" t="s">
        <v>370</v>
      </c>
      <c r="C50" s="66" t="s">
        <v>371</v>
      </c>
      <c r="D50" s="66" t="s">
        <v>372</v>
      </c>
      <c r="E50" s="66" t="s">
        <v>308</v>
      </c>
      <c r="F50" s="66" t="s">
        <v>309</v>
      </c>
      <c r="G50" s="66" t="s">
        <v>314</v>
      </c>
      <c r="H50" s="66" t="s">
        <v>315</v>
      </c>
      <c r="I50" s="66" t="s">
        <v>316</v>
      </c>
      <c r="J50" s="66" t="s">
        <v>317</v>
      </c>
      <c r="K50" s="67">
        <v>5</v>
      </c>
      <c r="L50" s="67">
        <v>7350</v>
      </c>
    </row>
    <row r="51" spans="1:12">
      <c r="A51" s="66" t="s">
        <v>369</v>
      </c>
      <c r="B51" s="66" t="s">
        <v>370</v>
      </c>
      <c r="C51" s="66" t="s">
        <v>371</v>
      </c>
      <c r="D51" s="66" t="s">
        <v>372</v>
      </c>
      <c r="E51" s="66" t="s">
        <v>308</v>
      </c>
      <c r="F51" s="66" t="s">
        <v>309</v>
      </c>
      <c r="G51" s="66" t="s">
        <v>320</v>
      </c>
      <c r="H51" s="66" t="s">
        <v>321</v>
      </c>
      <c r="I51" s="66" t="s">
        <v>322</v>
      </c>
      <c r="J51" s="66" t="s">
        <v>323</v>
      </c>
      <c r="K51" s="67">
        <v>27</v>
      </c>
      <c r="L51" s="67">
        <v>34240</v>
      </c>
    </row>
    <row r="52" spans="1:12">
      <c r="A52" s="66" t="s">
        <v>369</v>
      </c>
      <c r="B52" s="66" t="s">
        <v>370</v>
      </c>
      <c r="C52" s="66" t="s">
        <v>371</v>
      </c>
      <c r="D52" s="66" t="s">
        <v>372</v>
      </c>
      <c r="E52" s="66" t="s">
        <v>308</v>
      </c>
      <c r="F52" s="66" t="s">
        <v>309</v>
      </c>
      <c r="G52" s="66" t="s">
        <v>320</v>
      </c>
      <c r="H52" s="66" t="s">
        <v>321</v>
      </c>
      <c r="I52" s="66" t="s">
        <v>332</v>
      </c>
      <c r="J52" s="66" t="s">
        <v>333</v>
      </c>
      <c r="K52" s="67">
        <v>5</v>
      </c>
      <c r="L52" s="67">
        <v>5450</v>
      </c>
    </row>
    <row r="53" spans="1:12">
      <c r="A53" s="66" t="s">
        <v>369</v>
      </c>
      <c r="B53" s="66" t="s">
        <v>370</v>
      </c>
      <c r="C53" s="66" t="s">
        <v>371</v>
      </c>
      <c r="D53" s="66" t="s">
        <v>372</v>
      </c>
      <c r="E53" s="66" t="s">
        <v>308</v>
      </c>
      <c r="F53" s="66" t="s">
        <v>309</v>
      </c>
      <c r="G53" s="66" t="s">
        <v>320</v>
      </c>
      <c r="H53" s="66" t="s">
        <v>321</v>
      </c>
      <c r="I53" s="66" t="s">
        <v>385</v>
      </c>
      <c r="J53" s="66" t="s">
        <v>386</v>
      </c>
      <c r="K53" s="67">
        <v>2</v>
      </c>
      <c r="L53" s="67">
        <v>398</v>
      </c>
    </row>
    <row r="54" spans="1:12">
      <c r="A54" s="66" t="s">
        <v>369</v>
      </c>
      <c r="B54" s="66" t="s">
        <v>370</v>
      </c>
      <c r="C54" s="66" t="s">
        <v>371</v>
      </c>
      <c r="D54" s="66" t="s">
        <v>372</v>
      </c>
      <c r="E54" s="66" t="s">
        <v>308</v>
      </c>
      <c r="F54" s="66" t="s">
        <v>309</v>
      </c>
      <c r="G54" s="66" t="s">
        <v>387</v>
      </c>
      <c r="H54" s="66" t="s">
        <v>388</v>
      </c>
      <c r="I54" s="66" t="s">
        <v>328</v>
      </c>
      <c r="J54" s="66" t="s">
        <v>329</v>
      </c>
      <c r="K54" s="67">
        <v>1</v>
      </c>
      <c r="L54" s="67">
        <v>2090</v>
      </c>
    </row>
    <row r="55" spans="1:12">
      <c r="A55" s="66" t="s">
        <v>369</v>
      </c>
      <c r="B55" s="66" t="s">
        <v>370</v>
      </c>
      <c r="C55" s="66" t="s">
        <v>371</v>
      </c>
      <c r="D55" s="66" t="s">
        <v>372</v>
      </c>
      <c r="E55" s="66" t="s">
        <v>308</v>
      </c>
      <c r="F55" s="66" t="s">
        <v>309</v>
      </c>
      <c r="G55" s="66" t="s">
        <v>387</v>
      </c>
      <c r="H55" s="66" t="s">
        <v>388</v>
      </c>
      <c r="I55" s="66" t="s">
        <v>389</v>
      </c>
      <c r="J55" s="66" t="s">
        <v>390</v>
      </c>
      <c r="K55" s="67">
        <v>5</v>
      </c>
      <c r="L55" s="67">
        <v>5432</v>
      </c>
    </row>
    <row r="56" spans="1:12">
      <c r="A56" s="66" t="s">
        <v>369</v>
      </c>
      <c r="B56" s="66" t="s">
        <v>370</v>
      </c>
      <c r="C56" s="66" t="s">
        <v>371</v>
      </c>
      <c r="D56" s="66" t="s">
        <v>372</v>
      </c>
      <c r="E56" s="66" t="s">
        <v>308</v>
      </c>
      <c r="F56" s="66" t="s">
        <v>309</v>
      </c>
      <c r="G56" s="66" t="s">
        <v>387</v>
      </c>
      <c r="H56" s="66" t="s">
        <v>388</v>
      </c>
      <c r="I56" s="66" t="s">
        <v>391</v>
      </c>
      <c r="J56" s="66" t="s">
        <v>392</v>
      </c>
      <c r="K56" s="67">
        <v>12</v>
      </c>
      <c r="L56" s="67">
        <v>14303</v>
      </c>
    </row>
    <row r="57" spans="1:12">
      <c r="A57" s="66" t="s">
        <v>369</v>
      </c>
      <c r="B57" s="66" t="s">
        <v>370</v>
      </c>
      <c r="C57" s="66" t="s">
        <v>371</v>
      </c>
      <c r="D57" s="66" t="s">
        <v>372</v>
      </c>
      <c r="E57" s="66" t="s">
        <v>308</v>
      </c>
      <c r="F57" s="66" t="s">
        <v>309</v>
      </c>
      <c r="G57" s="66" t="s">
        <v>387</v>
      </c>
      <c r="H57" s="66" t="s">
        <v>388</v>
      </c>
      <c r="I57" s="66" t="s">
        <v>393</v>
      </c>
      <c r="J57" s="66" t="s">
        <v>394</v>
      </c>
      <c r="K57" s="67">
        <v>11</v>
      </c>
      <c r="L57" s="67">
        <v>6280</v>
      </c>
    </row>
    <row r="58" spans="1:12">
      <c r="A58" s="66" t="s">
        <v>369</v>
      </c>
      <c r="B58" s="66" t="s">
        <v>370</v>
      </c>
      <c r="C58" s="66" t="s">
        <v>371</v>
      </c>
      <c r="D58" s="66" t="s">
        <v>372</v>
      </c>
      <c r="E58" s="66" t="s">
        <v>308</v>
      </c>
      <c r="F58" s="66" t="s">
        <v>309</v>
      </c>
      <c r="G58" s="66" t="s">
        <v>387</v>
      </c>
      <c r="H58" s="66" t="s">
        <v>388</v>
      </c>
      <c r="I58" s="66" t="s">
        <v>395</v>
      </c>
      <c r="J58" s="66" t="s">
        <v>396</v>
      </c>
      <c r="K58" s="67">
        <v>4</v>
      </c>
      <c r="L58" s="67">
        <v>5920</v>
      </c>
    </row>
    <row r="59" spans="1:12">
      <c r="A59" s="66" t="s">
        <v>369</v>
      </c>
      <c r="B59" s="66" t="s">
        <v>370</v>
      </c>
      <c r="C59" s="66" t="s">
        <v>371</v>
      </c>
      <c r="D59" s="66" t="s">
        <v>372</v>
      </c>
      <c r="E59" s="66" t="s">
        <v>308</v>
      </c>
      <c r="F59" s="66" t="s">
        <v>309</v>
      </c>
      <c r="G59" s="66" t="s">
        <v>397</v>
      </c>
      <c r="H59" s="66" t="s">
        <v>398</v>
      </c>
      <c r="I59" s="66" t="s">
        <v>399</v>
      </c>
      <c r="J59" s="66" t="s">
        <v>400</v>
      </c>
      <c r="K59" s="67">
        <v>5</v>
      </c>
      <c r="L59" s="67">
        <v>1450</v>
      </c>
    </row>
    <row r="60" spans="1:12">
      <c r="A60" s="66" t="s">
        <v>369</v>
      </c>
      <c r="B60" s="66" t="s">
        <v>370</v>
      </c>
      <c r="C60" s="66" t="s">
        <v>371</v>
      </c>
      <c r="D60" s="66" t="s">
        <v>372</v>
      </c>
      <c r="E60" s="66" t="s">
        <v>318</v>
      </c>
      <c r="F60" s="66" t="s">
        <v>319</v>
      </c>
      <c r="G60" s="66" t="s">
        <v>314</v>
      </c>
      <c r="H60" s="66" t="s">
        <v>315</v>
      </c>
      <c r="I60" s="66" t="s">
        <v>401</v>
      </c>
      <c r="J60" s="66" t="s">
        <v>402</v>
      </c>
      <c r="K60" s="67">
        <v>35</v>
      </c>
      <c r="L60" s="67">
        <v>23990</v>
      </c>
    </row>
    <row r="61" spans="1:12">
      <c r="A61" s="66" t="s">
        <v>369</v>
      </c>
      <c r="B61" s="66" t="s">
        <v>370</v>
      </c>
      <c r="C61" s="66" t="s">
        <v>371</v>
      </c>
      <c r="D61" s="66" t="s">
        <v>372</v>
      </c>
      <c r="E61" s="66" t="s">
        <v>318</v>
      </c>
      <c r="F61" s="66" t="s">
        <v>319</v>
      </c>
      <c r="G61" s="66" t="s">
        <v>403</v>
      </c>
      <c r="H61" s="66" t="s">
        <v>404</v>
      </c>
      <c r="I61" s="66" t="s">
        <v>405</v>
      </c>
      <c r="J61" s="66" t="s">
        <v>406</v>
      </c>
      <c r="K61" s="67">
        <v>3</v>
      </c>
      <c r="L61" s="67">
        <v>1237</v>
      </c>
    </row>
    <row r="62" spans="1:12">
      <c r="A62" s="66" t="s">
        <v>369</v>
      </c>
      <c r="B62" s="66" t="s">
        <v>370</v>
      </c>
      <c r="C62" s="66" t="s">
        <v>371</v>
      </c>
      <c r="D62" s="66" t="s">
        <v>372</v>
      </c>
      <c r="E62" s="66" t="s">
        <v>318</v>
      </c>
      <c r="F62" s="66" t="s">
        <v>319</v>
      </c>
      <c r="G62" s="66" t="s">
        <v>407</v>
      </c>
      <c r="H62" s="66" t="s">
        <v>408</v>
      </c>
      <c r="I62" s="66" t="s">
        <v>409</v>
      </c>
      <c r="J62" s="66" t="s">
        <v>410</v>
      </c>
      <c r="K62" s="67">
        <v>1</v>
      </c>
      <c r="L62" s="67">
        <v>990</v>
      </c>
    </row>
    <row r="63" spans="1:12">
      <c r="A63" s="66" t="s">
        <v>369</v>
      </c>
      <c r="B63" s="66" t="s">
        <v>370</v>
      </c>
      <c r="C63" s="66" t="s">
        <v>371</v>
      </c>
      <c r="D63" s="66" t="s">
        <v>372</v>
      </c>
      <c r="E63" s="66" t="s">
        <v>318</v>
      </c>
      <c r="F63" s="66" t="s">
        <v>319</v>
      </c>
      <c r="G63" s="66" t="s">
        <v>411</v>
      </c>
      <c r="H63" s="66" t="s">
        <v>412</v>
      </c>
      <c r="I63" s="66" t="s">
        <v>409</v>
      </c>
      <c r="J63" s="66" t="s">
        <v>410</v>
      </c>
      <c r="K63" s="67">
        <v>1</v>
      </c>
      <c r="L63" s="67">
        <v>990</v>
      </c>
    </row>
    <row r="64" spans="1:12">
      <c r="A64" s="66" t="s">
        <v>369</v>
      </c>
      <c r="B64" s="66" t="s">
        <v>370</v>
      </c>
      <c r="C64" s="66" t="s">
        <v>371</v>
      </c>
      <c r="D64" s="66" t="s">
        <v>372</v>
      </c>
      <c r="E64" s="66" t="s">
        <v>318</v>
      </c>
      <c r="F64" s="66" t="s">
        <v>319</v>
      </c>
      <c r="G64" s="66" t="s">
        <v>413</v>
      </c>
      <c r="H64" s="66" t="s">
        <v>414</v>
      </c>
      <c r="I64" s="66" t="s">
        <v>409</v>
      </c>
      <c r="J64" s="66" t="s">
        <v>410</v>
      </c>
      <c r="K64" s="67">
        <v>1</v>
      </c>
      <c r="L64" s="67">
        <v>1190</v>
      </c>
    </row>
    <row r="65" spans="1:12">
      <c r="A65" s="66" t="s">
        <v>369</v>
      </c>
      <c r="B65" s="66" t="s">
        <v>370</v>
      </c>
      <c r="C65" s="66" t="s">
        <v>371</v>
      </c>
      <c r="D65" s="66" t="s">
        <v>372</v>
      </c>
      <c r="E65" s="66" t="s">
        <v>318</v>
      </c>
      <c r="F65" s="66" t="s">
        <v>319</v>
      </c>
      <c r="G65" s="66" t="s">
        <v>415</v>
      </c>
      <c r="H65" s="66" t="s">
        <v>416</v>
      </c>
      <c r="I65" s="66" t="s">
        <v>328</v>
      </c>
      <c r="J65" s="66" t="s">
        <v>329</v>
      </c>
      <c r="K65" s="67">
        <v>4</v>
      </c>
      <c r="L65" s="67">
        <v>4112</v>
      </c>
    </row>
    <row r="66" spans="1:12">
      <c r="A66" s="66" t="s">
        <v>369</v>
      </c>
      <c r="B66" s="66" t="s">
        <v>370</v>
      </c>
      <c r="C66" s="66" t="s">
        <v>371</v>
      </c>
      <c r="D66" s="66" t="s">
        <v>372</v>
      </c>
      <c r="E66" s="66" t="s">
        <v>318</v>
      </c>
      <c r="F66" s="66" t="s">
        <v>319</v>
      </c>
      <c r="G66" s="66" t="s">
        <v>415</v>
      </c>
      <c r="H66" s="66" t="s">
        <v>416</v>
      </c>
      <c r="I66" s="66" t="s">
        <v>409</v>
      </c>
      <c r="J66" s="66" t="s">
        <v>410</v>
      </c>
      <c r="K66" s="67">
        <v>2</v>
      </c>
      <c r="L66" s="67">
        <v>2580</v>
      </c>
    </row>
    <row r="67" spans="1:12">
      <c r="A67" s="66" t="s">
        <v>369</v>
      </c>
      <c r="B67" s="66" t="s">
        <v>370</v>
      </c>
      <c r="C67" s="66" t="s">
        <v>371</v>
      </c>
      <c r="D67" s="66" t="s">
        <v>372</v>
      </c>
      <c r="E67" s="66" t="s">
        <v>318</v>
      </c>
      <c r="F67" s="66" t="s">
        <v>319</v>
      </c>
      <c r="G67" s="66" t="s">
        <v>417</v>
      </c>
      <c r="H67" s="66" t="s">
        <v>418</v>
      </c>
      <c r="I67" s="66" t="s">
        <v>328</v>
      </c>
      <c r="J67" s="66" t="s">
        <v>329</v>
      </c>
      <c r="K67" s="67">
        <v>1</v>
      </c>
      <c r="L67" s="67">
        <v>800</v>
      </c>
    </row>
    <row r="68" spans="1:12">
      <c r="A68" s="66" t="s">
        <v>369</v>
      </c>
      <c r="B68" s="66" t="s">
        <v>370</v>
      </c>
      <c r="C68" s="66" t="s">
        <v>371</v>
      </c>
      <c r="D68" s="66" t="s">
        <v>372</v>
      </c>
      <c r="E68" s="66" t="s">
        <v>318</v>
      </c>
      <c r="F68" s="66" t="s">
        <v>319</v>
      </c>
      <c r="G68" s="66" t="s">
        <v>417</v>
      </c>
      <c r="H68" s="66" t="s">
        <v>418</v>
      </c>
      <c r="I68" s="66" t="s">
        <v>409</v>
      </c>
      <c r="J68" s="66" t="s">
        <v>410</v>
      </c>
      <c r="K68" s="67">
        <v>3</v>
      </c>
      <c r="L68" s="67">
        <v>4031</v>
      </c>
    </row>
    <row r="69" spans="1:12">
      <c r="A69" s="66" t="s">
        <v>369</v>
      </c>
      <c r="B69" s="66" t="s">
        <v>370</v>
      </c>
      <c r="C69" s="66" t="s">
        <v>371</v>
      </c>
      <c r="D69" s="66" t="s">
        <v>372</v>
      </c>
      <c r="E69" s="66" t="s">
        <v>318</v>
      </c>
      <c r="F69" s="66" t="s">
        <v>319</v>
      </c>
      <c r="G69" s="66" t="s">
        <v>419</v>
      </c>
      <c r="H69" s="66" t="s">
        <v>420</v>
      </c>
      <c r="I69" s="66" t="s">
        <v>328</v>
      </c>
      <c r="J69" s="66" t="s">
        <v>329</v>
      </c>
      <c r="K69" s="67">
        <v>3</v>
      </c>
      <c r="L69" s="67">
        <v>3328</v>
      </c>
    </row>
    <row r="70" spans="1:12">
      <c r="A70" s="66" t="s">
        <v>369</v>
      </c>
      <c r="B70" s="66" t="s">
        <v>370</v>
      </c>
      <c r="C70" s="66" t="s">
        <v>371</v>
      </c>
      <c r="D70" s="66" t="s">
        <v>372</v>
      </c>
      <c r="E70" s="66" t="s">
        <v>318</v>
      </c>
      <c r="F70" s="66" t="s">
        <v>319</v>
      </c>
      <c r="G70" s="66" t="s">
        <v>421</v>
      </c>
      <c r="H70" s="66" t="s">
        <v>422</v>
      </c>
      <c r="I70" s="66" t="s">
        <v>328</v>
      </c>
      <c r="J70" s="66" t="s">
        <v>329</v>
      </c>
      <c r="K70" s="67">
        <v>2</v>
      </c>
      <c r="L70" s="67">
        <v>1904</v>
      </c>
    </row>
    <row r="71" spans="1:12">
      <c r="A71" s="66" t="s">
        <v>369</v>
      </c>
      <c r="B71" s="66" t="s">
        <v>370</v>
      </c>
      <c r="C71" s="66" t="s">
        <v>371</v>
      </c>
      <c r="D71" s="66" t="s">
        <v>372</v>
      </c>
      <c r="E71" s="66" t="s">
        <v>318</v>
      </c>
      <c r="F71" s="66" t="s">
        <v>319</v>
      </c>
      <c r="G71" s="66" t="s">
        <v>421</v>
      </c>
      <c r="H71" s="66" t="s">
        <v>422</v>
      </c>
      <c r="I71" s="66" t="s">
        <v>409</v>
      </c>
      <c r="J71" s="66" t="s">
        <v>410</v>
      </c>
      <c r="K71" s="67">
        <v>2</v>
      </c>
      <c r="L71" s="67">
        <v>2682</v>
      </c>
    </row>
    <row r="72" spans="1:12">
      <c r="A72" s="66" t="s">
        <v>369</v>
      </c>
      <c r="B72" s="66" t="s">
        <v>370</v>
      </c>
      <c r="C72" s="66" t="s">
        <v>371</v>
      </c>
      <c r="D72" s="66" t="s">
        <v>372</v>
      </c>
      <c r="E72" s="66" t="s">
        <v>318</v>
      </c>
      <c r="F72" s="66" t="s">
        <v>319</v>
      </c>
      <c r="G72" s="66" t="s">
        <v>423</v>
      </c>
      <c r="H72" s="66" t="s">
        <v>424</v>
      </c>
      <c r="I72" s="66" t="s">
        <v>328</v>
      </c>
      <c r="J72" s="66" t="s">
        <v>329</v>
      </c>
      <c r="K72" s="67">
        <v>5</v>
      </c>
      <c r="L72" s="67">
        <v>4405</v>
      </c>
    </row>
    <row r="73" spans="1:12">
      <c r="A73" s="66" t="s">
        <v>369</v>
      </c>
      <c r="B73" s="66" t="s">
        <v>370</v>
      </c>
      <c r="C73" s="66" t="s">
        <v>371</v>
      </c>
      <c r="D73" s="66" t="s">
        <v>372</v>
      </c>
      <c r="E73" s="66" t="s">
        <v>318</v>
      </c>
      <c r="F73" s="66" t="s">
        <v>319</v>
      </c>
      <c r="G73" s="66" t="s">
        <v>423</v>
      </c>
      <c r="H73" s="66" t="s">
        <v>424</v>
      </c>
      <c r="I73" s="66" t="s">
        <v>409</v>
      </c>
      <c r="J73" s="66" t="s">
        <v>410</v>
      </c>
      <c r="K73" s="67">
        <v>2</v>
      </c>
      <c r="L73" s="67">
        <v>2641</v>
      </c>
    </row>
    <row r="74" spans="1:12">
      <c r="A74" s="66" t="s">
        <v>369</v>
      </c>
      <c r="B74" s="66" t="s">
        <v>370</v>
      </c>
      <c r="C74" s="66" t="s">
        <v>371</v>
      </c>
      <c r="D74" s="66" t="s">
        <v>372</v>
      </c>
      <c r="E74" s="66" t="s">
        <v>318</v>
      </c>
      <c r="F74" s="66" t="s">
        <v>319</v>
      </c>
      <c r="G74" s="66" t="s">
        <v>425</v>
      </c>
      <c r="H74" s="66" t="s">
        <v>426</v>
      </c>
      <c r="I74" s="66" t="s">
        <v>326</v>
      </c>
      <c r="J74" s="66" t="s">
        <v>327</v>
      </c>
      <c r="K74" s="67">
        <v>4</v>
      </c>
      <c r="L74" s="67">
        <v>2886</v>
      </c>
    </row>
    <row r="75" spans="1:12">
      <c r="A75" s="66" t="s">
        <v>369</v>
      </c>
      <c r="B75" s="66" t="s">
        <v>370</v>
      </c>
      <c r="C75" s="66" t="s">
        <v>371</v>
      </c>
      <c r="D75" s="66" t="s">
        <v>372</v>
      </c>
      <c r="E75" s="66" t="s">
        <v>318</v>
      </c>
      <c r="F75" s="66" t="s">
        <v>319</v>
      </c>
      <c r="G75" s="66" t="s">
        <v>425</v>
      </c>
      <c r="H75" s="66" t="s">
        <v>426</v>
      </c>
      <c r="I75" s="66" t="s">
        <v>328</v>
      </c>
      <c r="J75" s="66" t="s">
        <v>329</v>
      </c>
      <c r="K75" s="67">
        <v>59</v>
      </c>
      <c r="L75" s="67">
        <v>50122</v>
      </c>
    </row>
    <row r="76" spans="1:12">
      <c r="A76" s="66" t="s">
        <v>369</v>
      </c>
      <c r="B76" s="66" t="s">
        <v>370</v>
      </c>
      <c r="C76" s="66" t="s">
        <v>371</v>
      </c>
      <c r="D76" s="66" t="s">
        <v>372</v>
      </c>
      <c r="E76" s="66" t="s">
        <v>318</v>
      </c>
      <c r="F76" s="66" t="s">
        <v>319</v>
      </c>
      <c r="G76" s="66" t="s">
        <v>425</v>
      </c>
      <c r="H76" s="66" t="s">
        <v>426</v>
      </c>
      <c r="I76" s="66" t="s">
        <v>427</v>
      </c>
      <c r="J76" s="66" t="s">
        <v>428</v>
      </c>
      <c r="K76" s="67">
        <v>2</v>
      </c>
      <c r="L76" s="67">
        <v>1680</v>
      </c>
    </row>
    <row r="77" spans="1:12">
      <c r="A77" s="66" t="s">
        <v>369</v>
      </c>
      <c r="B77" s="66" t="s">
        <v>370</v>
      </c>
      <c r="C77" s="66" t="s">
        <v>371</v>
      </c>
      <c r="D77" s="66" t="s">
        <v>372</v>
      </c>
      <c r="E77" s="66" t="s">
        <v>318</v>
      </c>
      <c r="F77" s="66" t="s">
        <v>319</v>
      </c>
      <c r="G77" s="66" t="s">
        <v>425</v>
      </c>
      <c r="H77" s="66" t="s">
        <v>426</v>
      </c>
      <c r="I77" s="66" t="s">
        <v>409</v>
      </c>
      <c r="J77" s="66" t="s">
        <v>410</v>
      </c>
      <c r="K77" s="67">
        <v>39</v>
      </c>
      <c r="L77" s="67">
        <v>46202</v>
      </c>
    </row>
    <row r="78" spans="1:12">
      <c r="A78" s="66" t="s">
        <v>369</v>
      </c>
      <c r="B78" s="66" t="s">
        <v>370</v>
      </c>
      <c r="C78" s="66" t="s">
        <v>371</v>
      </c>
      <c r="D78" s="66" t="s">
        <v>372</v>
      </c>
      <c r="E78" s="66" t="s">
        <v>318</v>
      </c>
      <c r="F78" s="66" t="s">
        <v>319</v>
      </c>
      <c r="G78" s="66" t="s">
        <v>429</v>
      </c>
      <c r="H78" s="66" t="s">
        <v>430</v>
      </c>
      <c r="I78" s="66" t="s">
        <v>326</v>
      </c>
      <c r="J78" s="66" t="s">
        <v>327</v>
      </c>
      <c r="K78" s="67">
        <v>3</v>
      </c>
      <c r="L78" s="67">
        <v>2262</v>
      </c>
    </row>
    <row r="79" spans="1:12">
      <c r="A79" s="66" t="s">
        <v>369</v>
      </c>
      <c r="B79" s="66" t="s">
        <v>370</v>
      </c>
      <c r="C79" s="66" t="s">
        <v>371</v>
      </c>
      <c r="D79" s="66" t="s">
        <v>372</v>
      </c>
      <c r="E79" s="66" t="s">
        <v>318</v>
      </c>
      <c r="F79" s="66" t="s">
        <v>319</v>
      </c>
      <c r="G79" s="66" t="s">
        <v>429</v>
      </c>
      <c r="H79" s="66" t="s">
        <v>430</v>
      </c>
      <c r="I79" s="66" t="s">
        <v>328</v>
      </c>
      <c r="J79" s="66" t="s">
        <v>329</v>
      </c>
      <c r="K79" s="67">
        <v>38</v>
      </c>
      <c r="L79" s="67">
        <v>34266</v>
      </c>
    </row>
    <row r="80" spans="1:12">
      <c r="A80" s="66" t="s">
        <v>369</v>
      </c>
      <c r="B80" s="66" t="s">
        <v>370</v>
      </c>
      <c r="C80" s="66" t="s">
        <v>371</v>
      </c>
      <c r="D80" s="66" t="s">
        <v>372</v>
      </c>
      <c r="E80" s="66" t="s">
        <v>318</v>
      </c>
      <c r="F80" s="66" t="s">
        <v>319</v>
      </c>
      <c r="G80" s="66" t="s">
        <v>429</v>
      </c>
      <c r="H80" s="66" t="s">
        <v>430</v>
      </c>
      <c r="I80" s="66" t="s">
        <v>427</v>
      </c>
      <c r="J80" s="66" t="s">
        <v>428</v>
      </c>
      <c r="K80" s="67">
        <v>2</v>
      </c>
      <c r="L80" s="67">
        <v>2641</v>
      </c>
    </row>
    <row r="81" spans="1:12">
      <c r="A81" s="66" t="s">
        <v>369</v>
      </c>
      <c r="B81" s="66" t="s">
        <v>370</v>
      </c>
      <c r="C81" s="66" t="s">
        <v>371</v>
      </c>
      <c r="D81" s="66" t="s">
        <v>372</v>
      </c>
      <c r="E81" s="66" t="s">
        <v>318</v>
      </c>
      <c r="F81" s="66" t="s">
        <v>319</v>
      </c>
      <c r="G81" s="66" t="s">
        <v>429</v>
      </c>
      <c r="H81" s="66" t="s">
        <v>430</v>
      </c>
      <c r="I81" s="66" t="s">
        <v>395</v>
      </c>
      <c r="J81" s="66" t="s">
        <v>396</v>
      </c>
      <c r="K81" s="67">
        <v>1</v>
      </c>
      <c r="L81" s="67">
        <v>680</v>
      </c>
    </row>
    <row r="82" spans="1:12">
      <c r="A82" s="66" t="s">
        <v>369</v>
      </c>
      <c r="B82" s="66" t="s">
        <v>370</v>
      </c>
      <c r="C82" s="66" t="s">
        <v>371</v>
      </c>
      <c r="D82" s="66" t="s">
        <v>372</v>
      </c>
      <c r="E82" s="66" t="s">
        <v>318</v>
      </c>
      <c r="F82" s="66" t="s">
        <v>319</v>
      </c>
      <c r="G82" s="66" t="s">
        <v>429</v>
      </c>
      <c r="H82" s="66" t="s">
        <v>430</v>
      </c>
      <c r="I82" s="66" t="s">
        <v>409</v>
      </c>
      <c r="J82" s="66" t="s">
        <v>410</v>
      </c>
      <c r="K82" s="67">
        <v>36</v>
      </c>
      <c r="L82" s="67">
        <v>42212</v>
      </c>
    </row>
    <row r="83" spans="1:12">
      <c r="A83" s="66" t="s">
        <v>369</v>
      </c>
      <c r="B83" s="66" t="s">
        <v>370</v>
      </c>
      <c r="C83" s="66" t="s">
        <v>371</v>
      </c>
      <c r="D83" s="66" t="s">
        <v>372</v>
      </c>
      <c r="E83" s="66" t="s">
        <v>318</v>
      </c>
      <c r="F83" s="66" t="s">
        <v>319</v>
      </c>
      <c r="G83" s="66" t="s">
        <v>431</v>
      </c>
      <c r="H83" s="66" t="s">
        <v>432</v>
      </c>
      <c r="I83" s="66" t="s">
        <v>326</v>
      </c>
      <c r="J83" s="66" t="s">
        <v>327</v>
      </c>
      <c r="K83" s="67">
        <v>3</v>
      </c>
      <c r="L83" s="67">
        <v>2184</v>
      </c>
    </row>
    <row r="84" spans="1:12">
      <c r="A84" s="66" t="s">
        <v>369</v>
      </c>
      <c r="B84" s="66" t="s">
        <v>370</v>
      </c>
      <c r="C84" s="66" t="s">
        <v>371</v>
      </c>
      <c r="D84" s="66" t="s">
        <v>372</v>
      </c>
      <c r="E84" s="66" t="s">
        <v>318</v>
      </c>
      <c r="F84" s="66" t="s">
        <v>319</v>
      </c>
      <c r="G84" s="66" t="s">
        <v>431</v>
      </c>
      <c r="H84" s="66" t="s">
        <v>432</v>
      </c>
      <c r="I84" s="66" t="s">
        <v>328</v>
      </c>
      <c r="J84" s="66" t="s">
        <v>329</v>
      </c>
      <c r="K84" s="67">
        <v>35</v>
      </c>
      <c r="L84" s="67">
        <v>35915</v>
      </c>
    </row>
    <row r="85" spans="1:12">
      <c r="A85" s="66" t="s">
        <v>369</v>
      </c>
      <c r="B85" s="66" t="s">
        <v>370</v>
      </c>
      <c r="C85" s="66" t="s">
        <v>371</v>
      </c>
      <c r="D85" s="66" t="s">
        <v>372</v>
      </c>
      <c r="E85" s="66" t="s">
        <v>318</v>
      </c>
      <c r="F85" s="66" t="s">
        <v>319</v>
      </c>
      <c r="G85" s="66" t="s">
        <v>431</v>
      </c>
      <c r="H85" s="66" t="s">
        <v>432</v>
      </c>
      <c r="I85" s="66" t="s">
        <v>427</v>
      </c>
      <c r="J85" s="66" t="s">
        <v>428</v>
      </c>
      <c r="K85" s="67">
        <v>3</v>
      </c>
      <c r="L85" s="67">
        <v>3870</v>
      </c>
    </row>
    <row r="86" spans="1:12">
      <c r="A86" s="66" t="s">
        <v>369</v>
      </c>
      <c r="B86" s="66" t="s">
        <v>370</v>
      </c>
      <c r="C86" s="66" t="s">
        <v>371</v>
      </c>
      <c r="D86" s="66" t="s">
        <v>372</v>
      </c>
      <c r="E86" s="66" t="s">
        <v>318</v>
      </c>
      <c r="F86" s="66" t="s">
        <v>319</v>
      </c>
      <c r="G86" s="66" t="s">
        <v>431</v>
      </c>
      <c r="H86" s="66" t="s">
        <v>432</v>
      </c>
      <c r="I86" s="66" t="s">
        <v>409</v>
      </c>
      <c r="J86" s="66" t="s">
        <v>410</v>
      </c>
      <c r="K86" s="67">
        <v>32</v>
      </c>
      <c r="L86" s="67">
        <v>38027</v>
      </c>
    </row>
    <row r="87" spans="1:12">
      <c r="A87" s="66" t="s">
        <v>369</v>
      </c>
      <c r="B87" s="66" t="s">
        <v>370</v>
      </c>
      <c r="C87" s="66" t="s">
        <v>371</v>
      </c>
      <c r="D87" s="66" t="s">
        <v>372</v>
      </c>
      <c r="E87" s="66" t="s">
        <v>330</v>
      </c>
      <c r="F87" s="66" t="s">
        <v>331</v>
      </c>
      <c r="G87" s="66" t="s">
        <v>433</v>
      </c>
      <c r="H87" s="66" t="s">
        <v>434</v>
      </c>
      <c r="I87" s="66" t="s">
        <v>328</v>
      </c>
      <c r="J87" s="66" t="s">
        <v>329</v>
      </c>
      <c r="K87" s="67">
        <v>2</v>
      </c>
      <c r="L87" s="67">
        <v>3160</v>
      </c>
    </row>
    <row r="88" spans="1:12">
      <c r="A88" s="66" t="s">
        <v>369</v>
      </c>
      <c r="B88" s="66" t="s">
        <v>370</v>
      </c>
      <c r="C88" s="66" t="s">
        <v>371</v>
      </c>
      <c r="D88" s="66" t="s">
        <v>372</v>
      </c>
      <c r="E88" s="66" t="s">
        <v>330</v>
      </c>
      <c r="F88" s="66" t="s">
        <v>331</v>
      </c>
      <c r="G88" s="66" t="s">
        <v>435</v>
      </c>
      <c r="H88" s="66" t="s">
        <v>436</v>
      </c>
      <c r="I88" s="66" t="s">
        <v>328</v>
      </c>
      <c r="J88" s="66" t="s">
        <v>329</v>
      </c>
      <c r="K88" s="67">
        <v>1</v>
      </c>
      <c r="L88" s="67">
        <v>1692</v>
      </c>
    </row>
    <row r="89" spans="1:12">
      <c r="A89" s="66" t="s">
        <v>369</v>
      </c>
      <c r="B89" s="66" t="s">
        <v>370</v>
      </c>
      <c r="C89" s="66" t="s">
        <v>371</v>
      </c>
      <c r="D89" s="66" t="s">
        <v>372</v>
      </c>
      <c r="E89" s="66" t="s">
        <v>330</v>
      </c>
      <c r="F89" s="66" t="s">
        <v>331</v>
      </c>
      <c r="G89" s="66" t="s">
        <v>435</v>
      </c>
      <c r="H89" s="66" t="s">
        <v>436</v>
      </c>
      <c r="I89" s="66" t="s">
        <v>427</v>
      </c>
      <c r="J89" s="66" t="s">
        <v>428</v>
      </c>
      <c r="K89" s="67">
        <v>3</v>
      </c>
      <c r="L89" s="67">
        <v>4093</v>
      </c>
    </row>
    <row r="90" spans="1:12">
      <c r="A90" s="66" t="s">
        <v>369</v>
      </c>
      <c r="B90" s="66" t="s">
        <v>370</v>
      </c>
      <c r="C90" s="66" t="s">
        <v>371</v>
      </c>
      <c r="D90" s="66" t="s">
        <v>372</v>
      </c>
      <c r="E90" s="66" t="s">
        <v>330</v>
      </c>
      <c r="F90" s="66" t="s">
        <v>331</v>
      </c>
      <c r="G90" s="66" t="s">
        <v>435</v>
      </c>
      <c r="H90" s="66" t="s">
        <v>436</v>
      </c>
      <c r="I90" s="66" t="s">
        <v>395</v>
      </c>
      <c r="J90" s="66" t="s">
        <v>396</v>
      </c>
      <c r="K90" s="67">
        <v>2</v>
      </c>
      <c r="L90" s="67">
        <v>1580</v>
      </c>
    </row>
    <row r="91" spans="1:12">
      <c r="A91" s="66" t="s">
        <v>369</v>
      </c>
      <c r="B91" s="66" t="s">
        <v>370</v>
      </c>
      <c r="C91" s="66" t="s">
        <v>371</v>
      </c>
      <c r="D91" s="66" t="s">
        <v>372</v>
      </c>
      <c r="E91" s="66" t="s">
        <v>330</v>
      </c>
      <c r="F91" s="66" t="s">
        <v>331</v>
      </c>
      <c r="G91" s="66" t="s">
        <v>435</v>
      </c>
      <c r="H91" s="66" t="s">
        <v>436</v>
      </c>
      <c r="I91" s="66" t="s">
        <v>437</v>
      </c>
      <c r="J91" s="66" t="s">
        <v>438</v>
      </c>
      <c r="K91" s="67">
        <v>2</v>
      </c>
      <c r="L91" s="67">
        <v>1500</v>
      </c>
    </row>
    <row r="92" spans="1:12">
      <c r="A92" s="66" t="s">
        <v>369</v>
      </c>
      <c r="B92" s="66" t="s">
        <v>370</v>
      </c>
      <c r="C92" s="66" t="s">
        <v>371</v>
      </c>
      <c r="D92" s="66" t="s">
        <v>372</v>
      </c>
      <c r="E92" s="66" t="s">
        <v>330</v>
      </c>
      <c r="F92" s="66" t="s">
        <v>331</v>
      </c>
      <c r="G92" s="66" t="s">
        <v>439</v>
      </c>
      <c r="H92" s="66" t="s">
        <v>440</v>
      </c>
      <c r="I92" s="66" t="s">
        <v>328</v>
      </c>
      <c r="J92" s="66" t="s">
        <v>329</v>
      </c>
      <c r="K92" s="67">
        <v>1</v>
      </c>
      <c r="L92" s="67">
        <v>1690</v>
      </c>
    </row>
    <row r="93" spans="1:12">
      <c r="A93" s="66" t="s">
        <v>369</v>
      </c>
      <c r="B93" s="66" t="s">
        <v>370</v>
      </c>
      <c r="C93" s="66" t="s">
        <v>371</v>
      </c>
      <c r="D93" s="66" t="s">
        <v>372</v>
      </c>
      <c r="E93" s="66" t="s">
        <v>330</v>
      </c>
      <c r="F93" s="66" t="s">
        <v>331</v>
      </c>
      <c r="G93" s="66" t="s">
        <v>439</v>
      </c>
      <c r="H93" s="66" t="s">
        <v>440</v>
      </c>
      <c r="I93" s="66" t="s">
        <v>427</v>
      </c>
      <c r="J93" s="66" t="s">
        <v>428</v>
      </c>
      <c r="K93" s="67">
        <v>3</v>
      </c>
      <c r="L93" s="67">
        <v>4812</v>
      </c>
    </row>
    <row r="94" spans="1:12">
      <c r="A94" s="66" t="s">
        <v>369</v>
      </c>
      <c r="B94" s="66" t="s">
        <v>370</v>
      </c>
      <c r="C94" s="66" t="s">
        <v>371</v>
      </c>
      <c r="D94" s="66" t="s">
        <v>372</v>
      </c>
      <c r="E94" s="66" t="s">
        <v>330</v>
      </c>
      <c r="F94" s="66" t="s">
        <v>331</v>
      </c>
      <c r="G94" s="66" t="s">
        <v>439</v>
      </c>
      <c r="H94" s="66" t="s">
        <v>440</v>
      </c>
      <c r="I94" s="66" t="s">
        <v>395</v>
      </c>
      <c r="J94" s="66" t="s">
        <v>396</v>
      </c>
      <c r="K94" s="67">
        <v>2</v>
      </c>
      <c r="L94" s="67">
        <v>1501</v>
      </c>
    </row>
    <row r="95" spans="1:12">
      <c r="A95" s="66" t="s">
        <v>369</v>
      </c>
      <c r="B95" s="66" t="s">
        <v>370</v>
      </c>
      <c r="C95" s="66" t="s">
        <v>371</v>
      </c>
      <c r="D95" s="66" t="s">
        <v>372</v>
      </c>
      <c r="E95" s="66" t="s">
        <v>330</v>
      </c>
      <c r="F95" s="66" t="s">
        <v>331</v>
      </c>
      <c r="G95" s="66" t="s">
        <v>439</v>
      </c>
      <c r="H95" s="66" t="s">
        <v>440</v>
      </c>
      <c r="I95" s="66" t="s">
        <v>437</v>
      </c>
      <c r="J95" s="66" t="s">
        <v>438</v>
      </c>
      <c r="K95" s="67">
        <v>0</v>
      </c>
      <c r="L95" s="67">
        <v>0</v>
      </c>
    </row>
    <row r="96" spans="1:12">
      <c r="A96" s="66" t="s">
        <v>369</v>
      </c>
      <c r="B96" s="66" t="s">
        <v>370</v>
      </c>
      <c r="C96" s="66" t="s">
        <v>371</v>
      </c>
      <c r="D96" s="66" t="s">
        <v>372</v>
      </c>
      <c r="E96" s="66" t="s">
        <v>330</v>
      </c>
      <c r="F96" s="66" t="s">
        <v>331</v>
      </c>
      <c r="G96" s="66" t="s">
        <v>439</v>
      </c>
      <c r="H96" s="66" t="s">
        <v>440</v>
      </c>
      <c r="I96" s="66" t="s">
        <v>409</v>
      </c>
      <c r="J96" s="66" t="s">
        <v>410</v>
      </c>
      <c r="K96" s="67">
        <v>2</v>
      </c>
      <c r="L96" s="67">
        <v>2812</v>
      </c>
    </row>
    <row r="97" spans="1:12">
      <c r="A97" s="66" t="s">
        <v>369</v>
      </c>
      <c r="B97" s="66" t="s">
        <v>370</v>
      </c>
      <c r="C97" s="66" t="s">
        <v>371</v>
      </c>
      <c r="D97" s="66" t="s">
        <v>372</v>
      </c>
      <c r="E97" s="66" t="s">
        <v>330</v>
      </c>
      <c r="F97" s="66" t="s">
        <v>331</v>
      </c>
      <c r="G97" s="66" t="s">
        <v>441</v>
      </c>
      <c r="H97" s="66" t="s">
        <v>442</v>
      </c>
      <c r="I97" s="66" t="s">
        <v>427</v>
      </c>
      <c r="J97" s="66" t="s">
        <v>428</v>
      </c>
      <c r="K97" s="67">
        <v>2</v>
      </c>
      <c r="L97" s="67">
        <v>5403</v>
      </c>
    </row>
    <row r="98" spans="1:12">
      <c r="A98" s="66" t="s">
        <v>369</v>
      </c>
      <c r="B98" s="66" t="s">
        <v>370</v>
      </c>
      <c r="C98" s="66" t="s">
        <v>371</v>
      </c>
      <c r="D98" s="66" t="s">
        <v>372</v>
      </c>
      <c r="E98" s="66" t="s">
        <v>330</v>
      </c>
      <c r="F98" s="66" t="s">
        <v>331</v>
      </c>
      <c r="G98" s="66" t="s">
        <v>441</v>
      </c>
      <c r="H98" s="66" t="s">
        <v>442</v>
      </c>
      <c r="I98" s="66" t="s">
        <v>409</v>
      </c>
      <c r="J98" s="66" t="s">
        <v>410</v>
      </c>
      <c r="K98" s="67">
        <v>2</v>
      </c>
      <c r="L98" s="67">
        <v>4704</v>
      </c>
    </row>
    <row r="99" spans="1:12">
      <c r="A99" s="66" t="s">
        <v>369</v>
      </c>
      <c r="B99" s="66" t="s">
        <v>370</v>
      </c>
      <c r="C99" s="66" t="s">
        <v>371</v>
      </c>
      <c r="D99" s="66" t="s">
        <v>372</v>
      </c>
      <c r="E99" s="66" t="s">
        <v>330</v>
      </c>
      <c r="F99" s="66" t="s">
        <v>331</v>
      </c>
      <c r="G99" s="66" t="s">
        <v>443</v>
      </c>
      <c r="H99" s="66" t="s">
        <v>444</v>
      </c>
      <c r="I99" s="66" t="s">
        <v>328</v>
      </c>
      <c r="J99" s="66" t="s">
        <v>329</v>
      </c>
      <c r="K99" s="67">
        <v>5</v>
      </c>
      <c r="L99" s="67">
        <v>7703</v>
      </c>
    </row>
    <row r="100" spans="1:12">
      <c r="A100" s="66" t="s">
        <v>369</v>
      </c>
      <c r="B100" s="66" t="s">
        <v>370</v>
      </c>
      <c r="C100" s="66" t="s">
        <v>371</v>
      </c>
      <c r="D100" s="66" t="s">
        <v>372</v>
      </c>
      <c r="E100" s="66" t="s">
        <v>330</v>
      </c>
      <c r="F100" s="66" t="s">
        <v>331</v>
      </c>
      <c r="G100" s="66" t="s">
        <v>443</v>
      </c>
      <c r="H100" s="66" t="s">
        <v>444</v>
      </c>
      <c r="I100" s="66" t="s">
        <v>427</v>
      </c>
      <c r="J100" s="66" t="s">
        <v>428</v>
      </c>
      <c r="K100" s="67">
        <v>1</v>
      </c>
      <c r="L100" s="67">
        <v>880</v>
      </c>
    </row>
    <row r="101" spans="1:12">
      <c r="A101" s="66" t="s">
        <v>369</v>
      </c>
      <c r="B101" s="66" t="s">
        <v>370</v>
      </c>
      <c r="C101" s="66" t="s">
        <v>371</v>
      </c>
      <c r="D101" s="66" t="s">
        <v>372</v>
      </c>
      <c r="E101" s="66" t="s">
        <v>330</v>
      </c>
      <c r="F101" s="66" t="s">
        <v>331</v>
      </c>
      <c r="G101" s="66" t="s">
        <v>443</v>
      </c>
      <c r="H101" s="66" t="s">
        <v>444</v>
      </c>
      <c r="I101" s="66" t="s">
        <v>395</v>
      </c>
      <c r="J101" s="66" t="s">
        <v>396</v>
      </c>
      <c r="K101" s="67">
        <v>2</v>
      </c>
      <c r="L101" s="67">
        <v>1311</v>
      </c>
    </row>
    <row r="102" spans="1:12">
      <c r="A102" s="66" t="s">
        <v>369</v>
      </c>
      <c r="B102" s="66" t="s">
        <v>370</v>
      </c>
      <c r="C102" s="66" t="s">
        <v>371</v>
      </c>
      <c r="D102" s="66" t="s">
        <v>372</v>
      </c>
      <c r="E102" s="66" t="s">
        <v>330</v>
      </c>
      <c r="F102" s="66" t="s">
        <v>331</v>
      </c>
      <c r="G102" s="66" t="s">
        <v>443</v>
      </c>
      <c r="H102" s="66" t="s">
        <v>444</v>
      </c>
      <c r="I102" s="66" t="s">
        <v>409</v>
      </c>
      <c r="J102" s="66" t="s">
        <v>410</v>
      </c>
      <c r="K102" s="67">
        <v>2</v>
      </c>
      <c r="L102" s="67">
        <v>2622</v>
      </c>
    </row>
    <row r="103" spans="1:12">
      <c r="A103" s="66" t="s">
        <v>369</v>
      </c>
      <c r="B103" s="66" t="s">
        <v>370</v>
      </c>
      <c r="C103" s="66" t="s">
        <v>371</v>
      </c>
      <c r="D103" s="66" t="s">
        <v>372</v>
      </c>
      <c r="E103" s="66" t="s">
        <v>330</v>
      </c>
      <c r="F103" s="66" t="s">
        <v>331</v>
      </c>
      <c r="G103" s="66" t="s">
        <v>445</v>
      </c>
      <c r="H103" s="66" t="s">
        <v>446</v>
      </c>
      <c r="I103" s="66" t="s">
        <v>328</v>
      </c>
      <c r="J103" s="66" t="s">
        <v>329</v>
      </c>
      <c r="K103" s="67">
        <v>2</v>
      </c>
      <c r="L103" s="67">
        <v>3380</v>
      </c>
    </row>
    <row r="104" spans="1:12">
      <c r="A104" s="66" t="s">
        <v>369</v>
      </c>
      <c r="B104" s="66" t="s">
        <v>370</v>
      </c>
      <c r="C104" s="66" t="s">
        <v>371</v>
      </c>
      <c r="D104" s="66" t="s">
        <v>372</v>
      </c>
      <c r="E104" s="66" t="s">
        <v>330</v>
      </c>
      <c r="F104" s="66" t="s">
        <v>331</v>
      </c>
      <c r="G104" s="66" t="s">
        <v>445</v>
      </c>
      <c r="H104" s="66" t="s">
        <v>446</v>
      </c>
      <c r="I104" s="66" t="s">
        <v>427</v>
      </c>
      <c r="J104" s="66" t="s">
        <v>428</v>
      </c>
      <c r="K104" s="67">
        <v>1</v>
      </c>
      <c r="L104" s="67">
        <v>1280</v>
      </c>
    </row>
    <row r="105" spans="1:12">
      <c r="A105" s="66" t="s">
        <v>369</v>
      </c>
      <c r="B105" s="66" t="s">
        <v>370</v>
      </c>
      <c r="C105" s="66" t="s">
        <v>371</v>
      </c>
      <c r="D105" s="66" t="s">
        <v>372</v>
      </c>
      <c r="E105" s="66" t="s">
        <v>330</v>
      </c>
      <c r="F105" s="66" t="s">
        <v>331</v>
      </c>
      <c r="G105" s="66" t="s">
        <v>445</v>
      </c>
      <c r="H105" s="66" t="s">
        <v>446</v>
      </c>
      <c r="I105" s="66" t="s">
        <v>395</v>
      </c>
      <c r="J105" s="66" t="s">
        <v>396</v>
      </c>
      <c r="K105" s="67">
        <v>1</v>
      </c>
      <c r="L105" s="67">
        <v>711</v>
      </c>
    </row>
    <row r="106" spans="1:12">
      <c r="A106" s="66" t="s">
        <v>369</v>
      </c>
      <c r="B106" s="66" t="s">
        <v>370</v>
      </c>
      <c r="C106" s="66" t="s">
        <v>371</v>
      </c>
      <c r="D106" s="66" t="s">
        <v>372</v>
      </c>
      <c r="E106" s="66" t="s">
        <v>330</v>
      </c>
      <c r="F106" s="66" t="s">
        <v>331</v>
      </c>
      <c r="G106" s="66" t="s">
        <v>445</v>
      </c>
      <c r="H106" s="66" t="s">
        <v>446</v>
      </c>
      <c r="I106" s="66" t="s">
        <v>409</v>
      </c>
      <c r="J106" s="66" t="s">
        <v>410</v>
      </c>
      <c r="K106" s="67">
        <v>3</v>
      </c>
      <c r="L106" s="67">
        <v>3996</v>
      </c>
    </row>
    <row r="107" spans="1:12">
      <c r="A107" s="66" t="s">
        <v>369</v>
      </c>
      <c r="B107" s="66" t="s">
        <v>370</v>
      </c>
      <c r="C107" s="66" t="s">
        <v>371</v>
      </c>
      <c r="D107" s="66" t="s">
        <v>372</v>
      </c>
      <c r="E107" s="66" t="s">
        <v>330</v>
      </c>
      <c r="F107" s="66" t="s">
        <v>331</v>
      </c>
      <c r="G107" s="66" t="s">
        <v>447</v>
      </c>
      <c r="H107" s="66" t="s">
        <v>448</v>
      </c>
      <c r="I107" s="66" t="s">
        <v>328</v>
      </c>
      <c r="J107" s="66" t="s">
        <v>329</v>
      </c>
      <c r="K107" s="67">
        <v>1</v>
      </c>
      <c r="L107" s="67">
        <v>1390</v>
      </c>
    </row>
    <row r="108" spans="1:12">
      <c r="A108" s="66" t="s">
        <v>369</v>
      </c>
      <c r="B108" s="66" t="s">
        <v>370</v>
      </c>
      <c r="C108" s="66" t="s">
        <v>371</v>
      </c>
      <c r="D108" s="66" t="s">
        <v>372</v>
      </c>
      <c r="E108" s="66" t="s">
        <v>338</v>
      </c>
      <c r="F108" s="66" t="s">
        <v>339</v>
      </c>
      <c r="G108" s="66" t="s">
        <v>292</v>
      </c>
      <c r="H108" s="66" t="s">
        <v>293</v>
      </c>
      <c r="I108" s="66" t="s">
        <v>310</v>
      </c>
      <c r="J108" s="66" t="s">
        <v>311</v>
      </c>
      <c r="K108" s="67">
        <v>6</v>
      </c>
      <c r="L108" s="67">
        <v>1290</v>
      </c>
    </row>
    <row r="109" spans="1:12">
      <c r="A109" s="66" t="s">
        <v>369</v>
      </c>
      <c r="B109" s="66" t="s">
        <v>370</v>
      </c>
      <c r="C109" s="66" t="s">
        <v>371</v>
      </c>
      <c r="D109" s="66" t="s">
        <v>372</v>
      </c>
      <c r="E109" s="66" t="s">
        <v>338</v>
      </c>
      <c r="F109" s="66" t="s">
        <v>339</v>
      </c>
      <c r="G109" s="66" t="s">
        <v>346</v>
      </c>
      <c r="H109" s="66" t="s">
        <v>347</v>
      </c>
      <c r="I109" s="66" t="s">
        <v>322</v>
      </c>
      <c r="J109" s="66" t="s">
        <v>323</v>
      </c>
      <c r="K109" s="67">
        <v>2</v>
      </c>
      <c r="L109" s="67">
        <v>5380</v>
      </c>
    </row>
    <row r="110" spans="1:12">
      <c r="A110" s="66" t="s">
        <v>369</v>
      </c>
      <c r="B110" s="66" t="s">
        <v>370</v>
      </c>
      <c r="C110" s="66" t="s">
        <v>371</v>
      </c>
      <c r="D110" s="66" t="s">
        <v>372</v>
      </c>
      <c r="E110" s="66" t="s">
        <v>338</v>
      </c>
      <c r="F110" s="66" t="s">
        <v>339</v>
      </c>
      <c r="G110" s="66" t="s">
        <v>314</v>
      </c>
      <c r="H110" s="66" t="s">
        <v>315</v>
      </c>
      <c r="I110" s="66" t="s">
        <v>449</v>
      </c>
      <c r="J110" s="66" t="s">
        <v>450</v>
      </c>
      <c r="K110" s="67">
        <v>10</v>
      </c>
      <c r="L110" s="67">
        <v>16388</v>
      </c>
    </row>
    <row r="111" spans="1:12">
      <c r="A111" s="66" t="s">
        <v>369</v>
      </c>
      <c r="B111" s="66" t="s">
        <v>370</v>
      </c>
      <c r="C111" s="66" t="s">
        <v>371</v>
      </c>
      <c r="D111" s="66" t="s">
        <v>372</v>
      </c>
      <c r="E111" s="66" t="s">
        <v>338</v>
      </c>
      <c r="F111" s="66" t="s">
        <v>339</v>
      </c>
      <c r="G111" s="66" t="s">
        <v>314</v>
      </c>
      <c r="H111" s="66" t="s">
        <v>315</v>
      </c>
      <c r="I111" s="66" t="s">
        <v>316</v>
      </c>
      <c r="J111" s="66" t="s">
        <v>317</v>
      </c>
      <c r="K111" s="67">
        <v>24</v>
      </c>
      <c r="L111" s="67">
        <v>2750</v>
      </c>
    </row>
    <row r="112" spans="1:12">
      <c r="A112" s="66" t="s">
        <v>369</v>
      </c>
      <c r="B112" s="66" t="s">
        <v>370</v>
      </c>
      <c r="C112" s="66" t="s">
        <v>371</v>
      </c>
      <c r="D112" s="66" t="s">
        <v>372</v>
      </c>
      <c r="E112" s="66" t="s">
        <v>338</v>
      </c>
      <c r="F112" s="66" t="s">
        <v>339</v>
      </c>
      <c r="G112" s="66" t="s">
        <v>314</v>
      </c>
      <c r="H112" s="66" t="s">
        <v>315</v>
      </c>
      <c r="I112" s="66" t="s">
        <v>451</v>
      </c>
      <c r="J112" s="66" t="s">
        <v>452</v>
      </c>
      <c r="K112" s="67">
        <v>2</v>
      </c>
      <c r="L112" s="67">
        <v>1880</v>
      </c>
    </row>
    <row r="113" spans="1:12">
      <c r="A113" s="66" t="s">
        <v>369</v>
      </c>
      <c r="B113" s="66" t="s">
        <v>370</v>
      </c>
      <c r="C113" s="66" t="s">
        <v>371</v>
      </c>
      <c r="D113" s="66" t="s">
        <v>372</v>
      </c>
      <c r="E113" s="66" t="s">
        <v>338</v>
      </c>
      <c r="F113" s="66" t="s">
        <v>339</v>
      </c>
      <c r="G113" s="66" t="s">
        <v>314</v>
      </c>
      <c r="H113" s="66" t="s">
        <v>315</v>
      </c>
      <c r="I113" s="66" t="s">
        <v>322</v>
      </c>
      <c r="J113" s="66" t="s">
        <v>323</v>
      </c>
      <c r="K113" s="67">
        <v>5</v>
      </c>
      <c r="L113" s="67">
        <v>3450</v>
      </c>
    </row>
    <row r="114" spans="1:12">
      <c r="A114" s="66" t="s">
        <v>369</v>
      </c>
      <c r="B114" s="66" t="s">
        <v>370</v>
      </c>
      <c r="C114" s="66" t="s">
        <v>371</v>
      </c>
      <c r="D114" s="66" t="s">
        <v>372</v>
      </c>
      <c r="E114" s="66" t="s">
        <v>338</v>
      </c>
      <c r="F114" s="66" t="s">
        <v>339</v>
      </c>
      <c r="G114" s="66" t="s">
        <v>320</v>
      </c>
      <c r="H114" s="66" t="s">
        <v>321</v>
      </c>
      <c r="I114" s="66" t="s">
        <v>322</v>
      </c>
      <c r="J114" s="66" t="s">
        <v>323</v>
      </c>
      <c r="K114" s="67">
        <v>72</v>
      </c>
      <c r="L114" s="67">
        <v>39467</v>
      </c>
    </row>
    <row r="115" spans="1:12">
      <c r="A115" s="66" t="s">
        <v>369</v>
      </c>
      <c r="B115" s="66" t="s">
        <v>370</v>
      </c>
      <c r="C115" s="66" t="s">
        <v>371</v>
      </c>
      <c r="D115" s="66" t="s">
        <v>372</v>
      </c>
      <c r="E115" s="66" t="s">
        <v>338</v>
      </c>
      <c r="F115" s="66" t="s">
        <v>339</v>
      </c>
      <c r="G115" s="66" t="s">
        <v>320</v>
      </c>
      <c r="H115" s="66" t="s">
        <v>321</v>
      </c>
      <c r="I115" s="66" t="s">
        <v>332</v>
      </c>
      <c r="J115" s="66" t="s">
        <v>333</v>
      </c>
      <c r="K115" s="67">
        <v>1</v>
      </c>
      <c r="L115" s="67">
        <v>690</v>
      </c>
    </row>
    <row r="116" spans="1:12">
      <c r="A116" s="66" t="s">
        <v>369</v>
      </c>
      <c r="B116" s="66" t="s">
        <v>370</v>
      </c>
      <c r="C116" s="66" t="s">
        <v>371</v>
      </c>
      <c r="D116" s="66" t="s">
        <v>372</v>
      </c>
      <c r="E116" s="66" t="s">
        <v>338</v>
      </c>
      <c r="F116" s="66" t="s">
        <v>339</v>
      </c>
      <c r="G116" s="66" t="s">
        <v>397</v>
      </c>
      <c r="H116" s="66" t="s">
        <v>398</v>
      </c>
      <c r="I116" s="66" t="s">
        <v>453</v>
      </c>
      <c r="J116" s="66" t="s">
        <v>454</v>
      </c>
      <c r="K116" s="67">
        <v>2</v>
      </c>
      <c r="L116" s="67">
        <v>1513</v>
      </c>
    </row>
    <row r="117" spans="1:12">
      <c r="A117" s="66" t="s">
        <v>369</v>
      </c>
      <c r="B117" s="66" t="s">
        <v>370</v>
      </c>
      <c r="C117" s="66" t="s">
        <v>371</v>
      </c>
      <c r="D117" s="66" t="s">
        <v>372</v>
      </c>
      <c r="E117" s="66" t="s">
        <v>338</v>
      </c>
      <c r="F117" s="66" t="s">
        <v>339</v>
      </c>
      <c r="G117" s="66" t="s">
        <v>397</v>
      </c>
      <c r="H117" s="66" t="s">
        <v>398</v>
      </c>
      <c r="I117" s="66" t="s">
        <v>405</v>
      </c>
      <c r="J117" s="66" t="s">
        <v>406</v>
      </c>
      <c r="K117" s="67">
        <v>1</v>
      </c>
      <c r="L117" s="67">
        <v>880</v>
      </c>
    </row>
    <row r="118" spans="1:12">
      <c r="A118" s="66" t="s">
        <v>369</v>
      </c>
      <c r="B118" s="66" t="s">
        <v>370</v>
      </c>
      <c r="C118" s="66" t="s">
        <v>371</v>
      </c>
      <c r="D118" s="66" t="s">
        <v>372</v>
      </c>
      <c r="E118" s="66" t="s">
        <v>338</v>
      </c>
      <c r="F118" s="66" t="s">
        <v>339</v>
      </c>
      <c r="G118" s="66" t="s">
        <v>455</v>
      </c>
      <c r="H118" s="66" t="s">
        <v>456</v>
      </c>
      <c r="I118" s="66" t="s">
        <v>326</v>
      </c>
      <c r="J118" s="66" t="s">
        <v>327</v>
      </c>
      <c r="K118" s="67">
        <v>19</v>
      </c>
      <c r="L118" s="67">
        <v>11385</v>
      </c>
    </row>
    <row r="119" spans="1:12">
      <c r="A119" s="66" t="s">
        <v>369</v>
      </c>
      <c r="B119" s="66" t="s">
        <v>370</v>
      </c>
      <c r="C119" s="66" t="s">
        <v>371</v>
      </c>
      <c r="D119" s="66" t="s">
        <v>372</v>
      </c>
      <c r="E119" s="66" t="s">
        <v>338</v>
      </c>
      <c r="F119" s="66" t="s">
        <v>339</v>
      </c>
      <c r="G119" s="66" t="s">
        <v>455</v>
      </c>
      <c r="H119" s="66" t="s">
        <v>456</v>
      </c>
      <c r="I119" s="66" t="s">
        <v>328</v>
      </c>
      <c r="J119" s="66" t="s">
        <v>329</v>
      </c>
      <c r="K119" s="67">
        <v>2</v>
      </c>
      <c r="L119" s="67">
        <v>1730</v>
      </c>
    </row>
    <row r="120" spans="1:12">
      <c r="A120" s="66" t="s">
        <v>369</v>
      </c>
      <c r="B120" s="66" t="s">
        <v>370</v>
      </c>
      <c r="C120" s="66" t="s">
        <v>371</v>
      </c>
      <c r="D120" s="66" t="s">
        <v>372</v>
      </c>
      <c r="E120" s="66" t="s">
        <v>338</v>
      </c>
      <c r="F120" s="66" t="s">
        <v>339</v>
      </c>
      <c r="G120" s="66" t="s">
        <v>455</v>
      </c>
      <c r="H120" s="66" t="s">
        <v>456</v>
      </c>
      <c r="I120" s="66" t="s">
        <v>427</v>
      </c>
      <c r="J120" s="66" t="s">
        <v>428</v>
      </c>
      <c r="K120" s="67">
        <v>9</v>
      </c>
      <c r="L120" s="67">
        <v>8920</v>
      </c>
    </row>
    <row r="121" spans="1:12">
      <c r="A121" s="66" t="s">
        <v>369</v>
      </c>
      <c r="B121" s="66" t="s">
        <v>370</v>
      </c>
      <c r="C121" s="66" t="s">
        <v>371</v>
      </c>
      <c r="D121" s="66" t="s">
        <v>372</v>
      </c>
      <c r="E121" s="66" t="s">
        <v>338</v>
      </c>
      <c r="F121" s="66" t="s">
        <v>339</v>
      </c>
      <c r="G121" s="66" t="s">
        <v>455</v>
      </c>
      <c r="H121" s="66" t="s">
        <v>456</v>
      </c>
      <c r="I121" s="66" t="s">
        <v>457</v>
      </c>
      <c r="J121" s="66" t="s">
        <v>458</v>
      </c>
      <c r="K121" s="67">
        <v>1</v>
      </c>
      <c r="L121" s="67">
        <v>199</v>
      </c>
    </row>
    <row r="122" spans="1:12">
      <c r="A122" s="66" t="s">
        <v>369</v>
      </c>
      <c r="B122" s="66" t="s">
        <v>370</v>
      </c>
      <c r="C122" s="66" t="s">
        <v>371</v>
      </c>
      <c r="D122" s="66" t="s">
        <v>372</v>
      </c>
      <c r="E122" s="66" t="s">
        <v>290</v>
      </c>
      <c r="F122" s="66" t="s">
        <v>291</v>
      </c>
      <c r="G122" s="66" t="s">
        <v>292</v>
      </c>
      <c r="H122" s="66" t="s">
        <v>293</v>
      </c>
      <c r="I122" s="66" t="s">
        <v>294</v>
      </c>
      <c r="J122" s="66" t="s">
        <v>295</v>
      </c>
      <c r="K122" s="67">
        <v>1</v>
      </c>
      <c r="L122" s="67">
        <v>12800</v>
      </c>
    </row>
    <row r="123" spans="1:12">
      <c r="A123" s="66" t="s">
        <v>369</v>
      </c>
      <c r="B123" s="66" t="s">
        <v>370</v>
      </c>
      <c r="C123" s="66" t="s">
        <v>371</v>
      </c>
      <c r="D123" s="66" t="s">
        <v>372</v>
      </c>
      <c r="E123" s="66" t="s">
        <v>342</v>
      </c>
      <c r="F123" s="66" t="s">
        <v>343</v>
      </c>
      <c r="G123" s="66" t="s">
        <v>292</v>
      </c>
      <c r="H123" s="66" t="s">
        <v>293</v>
      </c>
      <c r="I123" s="66" t="s">
        <v>344</v>
      </c>
      <c r="J123" s="66" t="s">
        <v>345</v>
      </c>
      <c r="K123" s="67">
        <v>5</v>
      </c>
      <c r="L123" s="67">
        <v>16350</v>
      </c>
    </row>
    <row r="124" spans="1:12">
      <c r="A124" s="66" t="s">
        <v>369</v>
      </c>
      <c r="B124" s="66" t="s">
        <v>370</v>
      </c>
      <c r="C124" s="66" t="s">
        <v>371</v>
      </c>
      <c r="D124" s="66" t="s">
        <v>372</v>
      </c>
      <c r="E124" s="66" t="s">
        <v>459</v>
      </c>
      <c r="F124" s="66" t="s">
        <v>460</v>
      </c>
      <c r="G124" s="66" t="s">
        <v>320</v>
      </c>
      <c r="H124" s="66" t="s">
        <v>321</v>
      </c>
      <c r="I124" s="66" t="s">
        <v>332</v>
      </c>
      <c r="J124" s="66" t="s">
        <v>333</v>
      </c>
      <c r="K124" s="67">
        <v>4</v>
      </c>
      <c r="L124" s="67">
        <v>1596</v>
      </c>
    </row>
    <row r="125" spans="1:12">
      <c r="A125" s="66" t="s">
        <v>369</v>
      </c>
      <c r="B125" s="66" t="s">
        <v>370</v>
      </c>
      <c r="C125" s="66" t="s">
        <v>371</v>
      </c>
      <c r="D125" s="66" t="s">
        <v>372</v>
      </c>
      <c r="E125" s="66" t="s">
        <v>459</v>
      </c>
      <c r="F125" s="66" t="s">
        <v>460</v>
      </c>
      <c r="G125" s="66" t="s">
        <v>397</v>
      </c>
      <c r="H125" s="66" t="s">
        <v>398</v>
      </c>
      <c r="I125" s="66" t="s">
        <v>461</v>
      </c>
      <c r="J125" s="66" t="s">
        <v>462</v>
      </c>
      <c r="K125" s="67">
        <v>1</v>
      </c>
      <c r="L125" s="67">
        <v>0</v>
      </c>
    </row>
    <row r="126" spans="1:12">
      <c r="A126" s="66" t="s">
        <v>369</v>
      </c>
      <c r="B126" s="66" t="s">
        <v>370</v>
      </c>
      <c r="C126" s="66" t="s">
        <v>371</v>
      </c>
      <c r="D126" s="66" t="s">
        <v>372</v>
      </c>
      <c r="E126" s="66" t="s">
        <v>463</v>
      </c>
      <c r="F126" s="66" t="s">
        <v>464</v>
      </c>
      <c r="G126" s="66" t="s">
        <v>465</v>
      </c>
      <c r="H126" s="66" t="s">
        <v>464</v>
      </c>
      <c r="I126" s="66" t="s">
        <v>466</v>
      </c>
      <c r="J126" s="66" t="s">
        <v>467</v>
      </c>
      <c r="K126" s="67">
        <v>3</v>
      </c>
      <c r="L126" s="67">
        <v>3552</v>
      </c>
    </row>
    <row r="127" spans="1:12">
      <c r="A127" s="66" t="s">
        <v>369</v>
      </c>
      <c r="B127" s="66" t="s">
        <v>370</v>
      </c>
      <c r="C127" s="66" t="s">
        <v>371</v>
      </c>
      <c r="D127" s="66" t="s">
        <v>372</v>
      </c>
      <c r="E127" s="66" t="s">
        <v>356</v>
      </c>
      <c r="F127" s="66" t="s">
        <v>357</v>
      </c>
      <c r="G127" s="66" t="s">
        <v>468</v>
      </c>
      <c r="H127" s="66" t="s">
        <v>469</v>
      </c>
      <c r="I127" s="66" t="s">
        <v>470</v>
      </c>
      <c r="J127" s="66" t="s">
        <v>471</v>
      </c>
      <c r="K127" s="67">
        <v>3</v>
      </c>
      <c r="L127" s="67">
        <v>7670</v>
      </c>
    </row>
    <row r="128" spans="1:12">
      <c r="A128" s="66" t="s">
        <v>369</v>
      </c>
      <c r="B128" s="66" t="s">
        <v>370</v>
      </c>
      <c r="C128" s="66" t="s">
        <v>371</v>
      </c>
      <c r="D128" s="66" t="s">
        <v>372</v>
      </c>
      <c r="E128" s="66" t="s">
        <v>472</v>
      </c>
      <c r="F128" s="66" t="s">
        <v>473</v>
      </c>
      <c r="G128" s="66" t="s">
        <v>314</v>
      </c>
      <c r="H128" s="66" t="s">
        <v>315</v>
      </c>
      <c r="I128" s="66" t="s">
        <v>474</v>
      </c>
      <c r="J128" s="66" t="s">
        <v>475</v>
      </c>
      <c r="K128" s="67">
        <v>4</v>
      </c>
      <c r="L128" s="67">
        <v>4255</v>
      </c>
    </row>
    <row r="129" spans="1:12">
      <c r="A129" s="66" t="s">
        <v>369</v>
      </c>
      <c r="B129" s="66" t="s">
        <v>370</v>
      </c>
      <c r="C129" s="66" t="s">
        <v>371</v>
      </c>
      <c r="D129" s="66" t="s">
        <v>372</v>
      </c>
      <c r="E129" s="66" t="s">
        <v>472</v>
      </c>
      <c r="F129" s="66" t="s">
        <v>473</v>
      </c>
      <c r="G129" s="66" t="s">
        <v>397</v>
      </c>
      <c r="H129" s="66" t="s">
        <v>398</v>
      </c>
      <c r="I129" s="66" t="s">
        <v>340</v>
      </c>
      <c r="J129" s="66" t="s">
        <v>341</v>
      </c>
      <c r="K129" s="67">
        <v>3</v>
      </c>
      <c r="L129" s="67">
        <v>13080</v>
      </c>
    </row>
    <row r="130" spans="1:12">
      <c r="A130" s="66" t="s">
        <v>369</v>
      </c>
      <c r="B130" s="66" t="s">
        <v>370</v>
      </c>
      <c r="C130" s="66" t="s">
        <v>371</v>
      </c>
      <c r="D130" s="66" t="s">
        <v>372</v>
      </c>
      <c r="E130" s="66" t="s">
        <v>360</v>
      </c>
      <c r="F130" s="66" t="s">
        <v>361</v>
      </c>
      <c r="G130" s="66" t="s">
        <v>362</v>
      </c>
      <c r="H130" s="66" t="s">
        <v>363</v>
      </c>
      <c r="I130" s="66" t="s">
        <v>364</v>
      </c>
      <c r="J130" s="66" t="s">
        <v>365</v>
      </c>
      <c r="K130" s="67">
        <v>1</v>
      </c>
      <c r="L130" s="67">
        <v>1504</v>
      </c>
    </row>
    <row r="131" spans="1:12">
      <c r="A131" s="66" t="s">
        <v>369</v>
      </c>
      <c r="B131" s="66" t="s">
        <v>370</v>
      </c>
      <c r="C131" s="66" t="s">
        <v>371</v>
      </c>
      <c r="D131" s="66" t="s">
        <v>372</v>
      </c>
      <c r="E131" s="66" t="s">
        <v>360</v>
      </c>
      <c r="F131" s="66" t="s">
        <v>361</v>
      </c>
      <c r="G131" s="66" t="s">
        <v>476</v>
      </c>
      <c r="H131" s="66" t="s">
        <v>477</v>
      </c>
      <c r="I131" s="66" t="s">
        <v>326</v>
      </c>
      <c r="J131" s="66" t="s">
        <v>327</v>
      </c>
      <c r="K131" s="67">
        <v>1</v>
      </c>
      <c r="L131" s="67">
        <v>490</v>
      </c>
    </row>
    <row r="132" spans="1:12">
      <c r="A132" s="66" t="s">
        <v>369</v>
      </c>
      <c r="B132" s="66" t="s">
        <v>370</v>
      </c>
      <c r="C132" s="66" t="s">
        <v>371</v>
      </c>
      <c r="D132" s="66" t="s">
        <v>372</v>
      </c>
      <c r="E132" s="66" t="s">
        <v>360</v>
      </c>
      <c r="F132" s="66" t="s">
        <v>361</v>
      </c>
      <c r="G132" s="66" t="s">
        <v>476</v>
      </c>
      <c r="H132" s="66" t="s">
        <v>477</v>
      </c>
      <c r="I132" s="66" t="s">
        <v>328</v>
      </c>
      <c r="J132" s="66" t="s">
        <v>329</v>
      </c>
      <c r="K132" s="67">
        <v>10</v>
      </c>
      <c r="L132" s="67">
        <v>6234</v>
      </c>
    </row>
    <row r="133" spans="1:12">
      <c r="A133" s="66" t="s">
        <v>369</v>
      </c>
      <c r="B133" s="66" t="s">
        <v>370</v>
      </c>
      <c r="C133" s="66" t="s">
        <v>371</v>
      </c>
      <c r="D133" s="66" t="s">
        <v>372</v>
      </c>
      <c r="E133" s="66" t="s">
        <v>478</v>
      </c>
      <c r="F133" s="66" t="s">
        <v>479</v>
      </c>
      <c r="G133" s="66" t="s">
        <v>480</v>
      </c>
      <c r="H133" s="66" t="s">
        <v>479</v>
      </c>
      <c r="I133" s="66" t="s">
        <v>481</v>
      </c>
      <c r="J133" s="66" t="s">
        <v>482</v>
      </c>
      <c r="K133" s="67">
        <v>15</v>
      </c>
      <c r="L133" s="67">
        <v>11985</v>
      </c>
    </row>
    <row r="134" spans="1:12">
      <c r="A134" s="66" t="s">
        <v>369</v>
      </c>
      <c r="B134" s="66" t="s">
        <v>370</v>
      </c>
      <c r="C134" s="66" t="s">
        <v>483</v>
      </c>
      <c r="D134" s="66" t="s">
        <v>484</v>
      </c>
      <c r="E134" s="66" t="s">
        <v>485</v>
      </c>
      <c r="F134" s="66" t="s">
        <v>484</v>
      </c>
      <c r="G134" s="66" t="s">
        <v>486</v>
      </c>
      <c r="H134" s="66" t="s">
        <v>484</v>
      </c>
      <c r="I134" s="66" t="s">
        <v>51</v>
      </c>
      <c r="J134" s="66" t="s">
        <v>50</v>
      </c>
      <c r="K134" s="67">
        <v>31</v>
      </c>
      <c r="L134" s="67">
        <v>0</v>
      </c>
    </row>
    <row r="135" spans="1:12">
      <c r="A135" s="66" t="s">
        <v>369</v>
      </c>
      <c r="B135" s="66" t="s">
        <v>370</v>
      </c>
      <c r="C135" s="66" t="s">
        <v>483</v>
      </c>
      <c r="D135" s="66" t="s">
        <v>484</v>
      </c>
      <c r="E135" s="66" t="s">
        <v>485</v>
      </c>
      <c r="F135" s="66" t="s">
        <v>484</v>
      </c>
      <c r="G135" s="66" t="s">
        <v>486</v>
      </c>
      <c r="H135" s="66" t="s">
        <v>484</v>
      </c>
      <c r="I135" s="66" t="s">
        <v>52</v>
      </c>
      <c r="J135" s="66" t="s">
        <v>49</v>
      </c>
      <c r="K135" s="67">
        <v>6</v>
      </c>
      <c r="L135" s="67">
        <v>0</v>
      </c>
    </row>
    <row r="136" spans="1:12">
      <c r="A136" s="66" t="s">
        <v>369</v>
      </c>
      <c r="B136" s="66" t="s">
        <v>370</v>
      </c>
      <c r="C136" s="66" t="s">
        <v>483</v>
      </c>
      <c r="D136" s="66" t="s">
        <v>484</v>
      </c>
      <c r="E136" s="66" t="s">
        <v>485</v>
      </c>
      <c r="F136" s="66" t="s">
        <v>484</v>
      </c>
      <c r="G136" s="66" t="s">
        <v>486</v>
      </c>
      <c r="H136" s="66" t="s">
        <v>484</v>
      </c>
      <c r="I136" s="66" t="s">
        <v>487</v>
      </c>
      <c r="J136" s="66" t="s">
        <v>488</v>
      </c>
      <c r="K136" s="67">
        <v>1</v>
      </c>
      <c r="L136" s="67">
        <v>0</v>
      </c>
    </row>
    <row r="137" spans="1:12">
      <c r="A137" s="66" t="s">
        <v>489</v>
      </c>
      <c r="B137" s="66" t="s">
        <v>464</v>
      </c>
      <c r="C137" s="66" t="s">
        <v>490</v>
      </c>
      <c r="D137" s="66" t="s">
        <v>464</v>
      </c>
      <c r="E137" s="66" t="s">
        <v>463</v>
      </c>
      <c r="F137" s="66" t="s">
        <v>464</v>
      </c>
      <c r="G137" s="66" t="s">
        <v>465</v>
      </c>
      <c r="H137" s="66" t="s">
        <v>464</v>
      </c>
      <c r="I137" s="66" t="s">
        <v>466</v>
      </c>
      <c r="J137" s="66" t="s">
        <v>467</v>
      </c>
      <c r="K137" s="67">
        <v>646</v>
      </c>
      <c r="L137" s="67">
        <v>-172</v>
      </c>
    </row>
    <row r="138" spans="1:12">
      <c r="A138" s="66" t="s">
        <v>489</v>
      </c>
      <c r="B138" s="66" t="s">
        <v>464</v>
      </c>
      <c r="C138" s="66" t="s">
        <v>490</v>
      </c>
      <c r="D138" s="66" t="s">
        <v>464</v>
      </c>
      <c r="E138" s="66" t="s">
        <v>491</v>
      </c>
      <c r="F138" s="66" t="s">
        <v>492</v>
      </c>
      <c r="G138" s="66" t="s">
        <v>493</v>
      </c>
      <c r="H138" s="66" t="s">
        <v>492</v>
      </c>
      <c r="I138" s="66" t="s">
        <v>494</v>
      </c>
      <c r="J138" s="66" t="s">
        <v>492</v>
      </c>
      <c r="K138" s="67">
        <v>13</v>
      </c>
      <c r="L138" s="67">
        <v>-1300</v>
      </c>
    </row>
    <row r="139" spans="1:12">
      <c r="A139" s="66" t="s">
        <v>489</v>
      </c>
      <c r="B139" s="66" t="s">
        <v>464</v>
      </c>
      <c r="C139" s="66" t="s">
        <v>495</v>
      </c>
      <c r="D139" s="66" t="s">
        <v>495</v>
      </c>
      <c r="E139" s="66" t="s">
        <v>495</v>
      </c>
      <c r="F139" s="66" t="s">
        <v>495</v>
      </c>
      <c r="G139" s="66" t="s">
        <v>495</v>
      </c>
      <c r="H139" s="66" t="s">
        <v>495</v>
      </c>
      <c r="I139" s="66" t="s">
        <v>495</v>
      </c>
      <c r="J139" s="66" t="s">
        <v>495</v>
      </c>
      <c r="K139" s="67">
        <v>-2</v>
      </c>
      <c r="L139" s="67">
        <v>-100</v>
      </c>
    </row>
    <row r="140" spans="1:12">
      <c r="A140" s="66" t="s">
        <v>496</v>
      </c>
      <c r="B140" s="66" t="s">
        <v>497</v>
      </c>
      <c r="C140" s="66" t="s">
        <v>371</v>
      </c>
      <c r="D140" s="66" t="s">
        <v>372</v>
      </c>
      <c r="E140" s="66" t="s">
        <v>463</v>
      </c>
      <c r="F140" s="66" t="s">
        <v>464</v>
      </c>
      <c r="G140" s="66" t="s">
        <v>465</v>
      </c>
      <c r="H140" s="66" t="s">
        <v>464</v>
      </c>
      <c r="I140" s="66" t="s">
        <v>466</v>
      </c>
      <c r="J140" s="66" t="s">
        <v>467</v>
      </c>
      <c r="K140" s="67">
        <v>3</v>
      </c>
      <c r="L140" s="67">
        <v>1588</v>
      </c>
    </row>
    <row r="141" spans="1:12">
      <c r="A141" s="66" t="s">
        <v>498</v>
      </c>
      <c r="B141" s="66" t="s">
        <v>499</v>
      </c>
      <c r="C141" s="66" t="s">
        <v>500</v>
      </c>
      <c r="D141" s="66" t="s">
        <v>499</v>
      </c>
      <c r="E141" s="66" t="s">
        <v>501</v>
      </c>
      <c r="F141" s="66" t="s">
        <v>502</v>
      </c>
      <c r="G141" s="66" t="s">
        <v>503</v>
      </c>
      <c r="H141" s="66" t="s">
        <v>504</v>
      </c>
      <c r="I141" s="66" t="s">
        <v>505</v>
      </c>
      <c r="J141" s="66" t="s">
        <v>506</v>
      </c>
      <c r="K141" s="67">
        <v>1</v>
      </c>
      <c r="L141" s="67">
        <v>4816</v>
      </c>
    </row>
    <row r="142" spans="1:12">
      <c r="A142" s="66" t="s">
        <v>507</v>
      </c>
      <c r="B142" s="66" t="s">
        <v>508</v>
      </c>
      <c r="C142" s="66" t="s">
        <v>509</v>
      </c>
      <c r="D142" s="66" t="s">
        <v>508</v>
      </c>
      <c r="E142" s="66" t="s">
        <v>510</v>
      </c>
      <c r="F142" s="66" t="s">
        <v>511</v>
      </c>
      <c r="G142" s="66" t="s">
        <v>512</v>
      </c>
      <c r="H142" s="66" t="s">
        <v>513</v>
      </c>
      <c r="I142" s="66" t="s">
        <v>514</v>
      </c>
      <c r="J142" s="66" t="s">
        <v>508</v>
      </c>
      <c r="K142" s="67">
        <v>-1</v>
      </c>
      <c r="L142" s="67">
        <v>-8000</v>
      </c>
    </row>
    <row r="143" spans="1:12">
      <c r="A143" s="66" t="s">
        <v>507</v>
      </c>
      <c r="B143" s="66" t="s">
        <v>508</v>
      </c>
      <c r="C143" s="66" t="s">
        <v>509</v>
      </c>
      <c r="D143" s="66" t="s">
        <v>508</v>
      </c>
      <c r="E143" s="66" t="s">
        <v>515</v>
      </c>
      <c r="F143" s="66" t="s">
        <v>516</v>
      </c>
      <c r="G143" s="66" t="s">
        <v>517</v>
      </c>
      <c r="H143" s="66" t="s">
        <v>518</v>
      </c>
      <c r="I143" s="66" t="s">
        <v>514</v>
      </c>
      <c r="J143" s="66" t="s">
        <v>508</v>
      </c>
      <c r="K143" s="67">
        <v>-2</v>
      </c>
      <c r="L143" s="67">
        <v>-6900</v>
      </c>
    </row>
    <row r="144" spans="1:12">
      <c r="A144" s="66" t="s">
        <v>507</v>
      </c>
      <c r="B144" s="66" t="s">
        <v>508</v>
      </c>
      <c r="C144" s="66" t="s">
        <v>509</v>
      </c>
      <c r="D144" s="66" t="s">
        <v>508</v>
      </c>
      <c r="E144" s="66" t="s">
        <v>515</v>
      </c>
      <c r="F144" s="66" t="s">
        <v>516</v>
      </c>
      <c r="G144" s="66" t="s">
        <v>519</v>
      </c>
      <c r="H144" s="66" t="s">
        <v>520</v>
      </c>
      <c r="I144" s="66" t="s">
        <v>514</v>
      </c>
      <c r="J144" s="66" t="s">
        <v>508</v>
      </c>
      <c r="K144" s="67">
        <v>-1</v>
      </c>
      <c r="L144" s="67">
        <v>-5000</v>
      </c>
    </row>
    <row r="145" spans="1:12">
      <c r="A145" s="66" t="s">
        <v>507</v>
      </c>
      <c r="B145" s="66" t="s">
        <v>508</v>
      </c>
      <c r="C145" s="66" t="s">
        <v>509</v>
      </c>
      <c r="D145" s="66" t="s">
        <v>508</v>
      </c>
      <c r="E145" s="66" t="s">
        <v>521</v>
      </c>
      <c r="F145" s="66" t="s">
        <v>522</v>
      </c>
      <c r="G145" s="66" t="s">
        <v>523</v>
      </c>
      <c r="H145" s="66" t="s">
        <v>524</v>
      </c>
      <c r="I145" s="66" t="s">
        <v>514</v>
      </c>
      <c r="J145" s="66" t="s">
        <v>508</v>
      </c>
      <c r="K145" s="67">
        <v>-1</v>
      </c>
      <c r="L145" s="67">
        <v>-450</v>
      </c>
    </row>
    <row r="146" spans="1:12">
      <c r="A146" s="66" t="s">
        <v>507</v>
      </c>
      <c r="B146" s="66" t="s">
        <v>508</v>
      </c>
      <c r="C146" s="66" t="s">
        <v>509</v>
      </c>
      <c r="D146" s="66" t="s">
        <v>508</v>
      </c>
      <c r="E146" s="66" t="s">
        <v>521</v>
      </c>
      <c r="F146" s="66" t="s">
        <v>522</v>
      </c>
      <c r="G146" s="66" t="s">
        <v>525</v>
      </c>
      <c r="H146" s="66" t="s">
        <v>526</v>
      </c>
      <c r="I146" s="66" t="s">
        <v>514</v>
      </c>
      <c r="J146" s="66" t="s">
        <v>508</v>
      </c>
      <c r="K146" s="67">
        <v>-3</v>
      </c>
      <c r="L146" s="67">
        <v>-7905</v>
      </c>
    </row>
    <row r="147" spans="1:12">
      <c r="A147" s="66" t="s">
        <v>507</v>
      </c>
      <c r="B147" s="66" t="s">
        <v>508</v>
      </c>
      <c r="C147" s="66" t="s">
        <v>509</v>
      </c>
      <c r="D147" s="66" t="s">
        <v>508</v>
      </c>
      <c r="E147" s="66" t="s">
        <v>521</v>
      </c>
      <c r="F147" s="66" t="s">
        <v>522</v>
      </c>
      <c r="G147" s="66" t="s">
        <v>527</v>
      </c>
      <c r="H147" s="66" t="s">
        <v>528</v>
      </c>
      <c r="I147" s="66" t="s">
        <v>514</v>
      </c>
      <c r="J147" s="66" t="s">
        <v>508</v>
      </c>
      <c r="K147" s="67">
        <v>-1</v>
      </c>
      <c r="L147" s="67">
        <v>-3990</v>
      </c>
    </row>
    <row r="148" spans="1:12">
      <c r="A148" s="66" t="s">
        <v>507</v>
      </c>
      <c r="B148" s="66" t="s">
        <v>508</v>
      </c>
      <c r="C148" s="66" t="s">
        <v>509</v>
      </c>
      <c r="D148" s="66" t="s">
        <v>508</v>
      </c>
      <c r="E148" s="66" t="s">
        <v>521</v>
      </c>
      <c r="F148" s="66" t="s">
        <v>522</v>
      </c>
      <c r="G148" s="66" t="s">
        <v>529</v>
      </c>
      <c r="H148" s="66" t="s">
        <v>530</v>
      </c>
      <c r="I148" s="66" t="s">
        <v>514</v>
      </c>
      <c r="J148" s="66" t="s">
        <v>508</v>
      </c>
      <c r="K148" s="67">
        <v>-1</v>
      </c>
      <c r="L148" s="67">
        <v>-6630</v>
      </c>
    </row>
    <row r="149" spans="1:12">
      <c r="A149" s="66" t="s">
        <v>507</v>
      </c>
      <c r="B149" s="66" t="s">
        <v>508</v>
      </c>
      <c r="C149" s="66" t="s">
        <v>509</v>
      </c>
      <c r="D149" s="66" t="s">
        <v>508</v>
      </c>
      <c r="E149" s="66" t="s">
        <v>521</v>
      </c>
      <c r="F149" s="66" t="s">
        <v>522</v>
      </c>
      <c r="G149" s="66" t="s">
        <v>531</v>
      </c>
      <c r="H149" s="66" t="s">
        <v>532</v>
      </c>
      <c r="I149" s="66" t="s">
        <v>514</v>
      </c>
      <c r="J149" s="66" t="s">
        <v>508</v>
      </c>
      <c r="K149" s="67">
        <v>-1</v>
      </c>
      <c r="L149" s="67">
        <v>-7800</v>
      </c>
    </row>
    <row r="150" spans="1:12">
      <c r="A150" s="66" t="s">
        <v>533</v>
      </c>
      <c r="B150" s="66" t="s">
        <v>534</v>
      </c>
      <c r="C150" s="66" t="s">
        <v>535</v>
      </c>
      <c r="D150" s="66" t="s">
        <v>492</v>
      </c>
      <c r="E150" s="66" t="s">
        <v>491</v>
      </c>
      <c r="F150" s="66" t="s">
        <v>492</v>
      </c>
      <c r="G150" s="66" t="s">
        <v>493</v>
      </c>
      <c r="H150" s="66" t="s">
        <v>492</v>
      </c>
      <c r="I150" s="66" t="s">
        <v>494</v>
      </c>
      <c r="J150" s="66" t="s">
        <v>492</v>
      </c>
      <c r="K150" s="67">
        <v>7</v>
      </c>
      <c r="L150" s="67">
        <v>-18108</v>
      </c>
    </row>
    <row r="151" spans="1:12">
      <c r="A151" s="66" t="s">
        <v>536</v>
      </c>
      <c r="B151" s="66" t="s">
        <v>537</v>
      </c>
      <c r="C151" s="66" t="s">
        <v>538</v>
      </c>
      <c r="D151" s="66" t="s">
        <v>537</v>
      </c>
      <c r="E151" s="66" t="s">
        <v>539</v>
      </c>
      <c r="F151" s="66" t="s">
        <v>537</v>
      </c>
      <c r="G151" s="66" t="s">
        <v>540</v>
      </c>
      <c r="H151" s="66" t="s">
        <v>537</v>
      </c>
      <c r="I151" s="66" t="s">
        <v>541</v>
      </c>
      <c r="J151" s="66" t="s">
        <v>537</v>
      </c>
      <c r="K151" s="67">
        <v>8</v>
      </c>
      <c r="L151" s="67">
        <v>-4200</v>
      </c>
    </row>
    <row r="152" spans="1:12">
      <c r="A152" s="66" t="s">
        <v>542</v>
      </c>
      <c r="B152" s="66" t="s">
        <v>543</v>
      </c>
      <c r="C152" s="66" t="s">
        <v>544</v>
      </c>
      <c r="D152" s="66" t="s">
        <v>543</v>
      </c>
      <c r="E152" s="66" t="s">
        <v>545</v>
      </c>
      <c r="F152" s="66" t="s">
        <v>546</v>
      </c>
      <c r="G152" s="66" t="s">
        <v>547</v>
      </c>
      <c r="H152" s="66" t="s">
        <v>546</v>
      </c>
      <c r="I152" s="66" t="s">
        <v>548</v>
      </c>
      <c r="J152" s="66" t="s">
        <v>549</v>
      </c>
      <c r="K152" s="67">
        <v>2</v>
      </c>
      <c r="L152" s="67">
        <v>19180</v>
      </c>
    </row>
    <row r="153" spans="1:12">
      <c r="A153" s="66" t="s">
        <v>542</v>
      </c>
      <c r="B153" s="66" t="s">
        <v>543</v>
      </c>
      <c r="C153" s="66" t="s">
        <v>544</v>
      </c>
      <c r="D153" s="66" t="s">
        <v>543</v>
      </c>
      <c r="E153" s="66" t="s">
        <v>545</v>
      </c>
      <c r="F153" s="66" t="s">
        <v>546</v>
      </c>
      <c r="G153" s="66" t="s">
        <v>547</v>
      </c>
      <c r="H153" s="66" t="s">
        <v>546</v>
      </c>
      <c r="I153" s="66" t="s">
        <v>550</v>
      </c>
      <c r="J153" s="66" t="s">
        <v>551</v>
      </c>
      <c r="K153" s="67">
        <v>2</v>
      </c>
      <c r="L153" s="67">
        <v>2000</v>
      </c>
    </row>
    <row r="154" spans="1:12">
      <c r="A154" s="66" t="s">
        <v>495</v>
      </c>
      <c r="B154" s="66" t="s">
        <v>495</v>
      </c>
      <c r="C154" s="66" t="s">
        <v>495</v>
      </c>
      <c r="D154" s="66" t="s">
        <v>495</v>
      </c>
      <c r="E154" s="66" t="s">
        <v>495</v>
      </c>
      <c r="F154" s="66" t="s">
        <v>495</v>
      </c>
      <c r="G154" s="66" t="s">
        <v>495</v>
      </c>
      <c r="H154" s="66" t="s">
        <v>495</v>
      </c>
      <c r="I154" s="66" t="s">
        <v>495</v>
      </c>
      <c r="J154" s="66" t="s">
        <v>495</v>
      </c>
      <c r="K154" s="67">
        <v>-23908</v>
      </c>
      <c r="L154" s="67">
        <v>-11954</v>
      </c>
    </row>
    <row r="155" spans="1:12">
      <c r="A155" s="68" t="s">
        <v>552</v>
      </c>
      <c r="B155" s="68" t="s">
        <v>495</v>
      </c>
      <c r="C155" s="68" t="s">
        <v>495</v>
      </c>
      <c r="D155" s="68" t="s">
        <v>495</v>
      </c>
      <c r="E155" s="68" t="s">
        <v>495</v>
      </c>
      <c r="F155" s="68" t="s">
        <v>495</v>
      </c>
      <c r="G155" s="68" t="s">
        <v>495</v>
      </c>
      <c r="H155" s="68" t="s">
        <v>495</v>
      </c>
      <c r="I155" s="68" t="s">
        <v>495</v>
      </c>
      <c r="J155" s="68" t="s">
        <v>495</v>
      </c>
      <c r="K155" s="69">
        <v>-21921</v>
      </c>
      <c r="L155" s="69">
        <v>8422720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每月累積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800100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monthly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2:L10"/>
  <sheetViews>
    <sheetView workbookViewId="0">
      <selection activeCell="F13" sqref="F13"/>
    </sheetView>
  </sheetViews>
  <sheetFormatPr baseColWidth="10" defaultRowHeight="15"/>
  <sheetData>
    <row r="2" spans="2:12">
      <c r="B2" s="41">
        <v>1</v>
      </c>
      <c r="G2" t="s">
        <v>78</v>
      </c>
      <c r="H2" s="42">
        <v>0</v>
      </c>
    </row>
    <row r="3" spans="2:12">
      <c r="G3" t="s">
        <v>236</v>
      </c>
      <c r="I3" s="42">
        <v>0</v>
      </c>
      <c r="K3" t="s">
        <v>76</v>
      </c>
      <c r="L3" s="42">
        <v>0</v>
      </c>
    </row>
    <row r="10" spans="2:12" s="44" customFormat="1"/>
  </sheetData>
  <phoneticPr fontId="2" type="noConversion"/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同期比較">
                <anchor moveWithCells="1" sizeWithCells="1">
                  <from>
                    <xdr:col>1</xdr:col>
                    <xdr:colOff>25400</xdr:colOff>
                    <xdr:row>1</xdr:row>
                    <xdr:rowOff>38100</xdr:rowOff>
                  </from>
                  <to>
                    <xdr:col>4</xdr:col>
                    <xdr:colOff>800100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rsamemonth">
                <anchor moveWithCells="1" sizeWithCells="1">
                  <from>
                    <xdr:col>6</xdr:col>
                    <xdr:colOff>50800</xdr:colOff>
                    <xdr:row>4</xdr:row>
                    <xdr:rowOff>25400</xdr:rowOff>
                  </from>
                  <to>
                    <xdr:col>8</xdr:col>
                    <xdr:colOff>723900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9:G40"/>
  <sheetViews>
    <sheetView workbookViewId="0">
      <selection activeCell="I14" sqref="I14"/>
    </sheetView>
  </sheetViews>
  <sheetFormatPr baseColWidth="10" defaultRowHeight="15"/>
  <sheetData>
    <row r="9" spans="1:7" s="42" customFormat="1">
      <c r="A9" s="42" t="s">
        <v>56</v>
      </c>
    </row>
    <row r="10" spans="1:7">
      <c r="A10" s="70" t="s">
        <v>571</v>
      </c>
      <c r="B10" s="70" t="s">
        <v>572</v>
      </c>
      <c r="C10" s="70" t="s">
        <v>51</v>
      </c>
      <c r="D10" s="70" t="s">
        <v>50</v>
      </c>
      <c r="E10" s="67">
        <v>72</v>
      </c>
      <c r="F10">
        <f>IFERROR(VLOOKUP(A10,SACare價目表!A:C,3,FALSE),0)</f>
        <v>4690</v>
      </c>
      <c r="G10">
        <v>337680</v>
      </c>
    </row>
    <row r="11" spans="1:7">
      <c r="A11" s="70" t="s">
        <v>573</v>
      </c>
      <c r="B11" s="70" t="s">
        <v>574</v>
      </c>
      <c r="C11" s="70" t="s">
        <v>51</v>
      </c>
      <c r="D11" s="70" t="s">
        <v>50</v>
      </c>
      <c r="E11" s="67">
        <v>11</v>
      </c>
      <c r="F11">
        <f>IFERROR(VLOOKUP(A11,SACare價目表!A:C,3,FALSE),0)</f>
        <v>6590</v>
      </c>
      <c r="G11">
        <v>72490</v>
      </c>
    </row>
    <row r="12" spans="1:7">
      <c r="A12" s="70" t="s">
        <v>575</v>
      </c>
      <c r="B12" s="70" t="s">
        <v>554</v>
      </c>
      <c r="C12" s="70" t="s">
        <v>51</v>
      </c>
      <c r="D12" s="70" t="s">
        <v>50</v>
      </c>
      <c r="E12" s="67">
        <v>126</v>
      </c>
      <c r="F12">
        <f>IFERROR(VLOOKUP(A12,SACare價目表!A:C,3,FALSE),0)</f>
        <v>1990</v>
      </c>
      <c r="G12">
        <v>250740</v>
      </c>
    </row>
    <row r="13" spans="1:7">
      <c r="A13" s="70" t="s">
        <v>576</v>
      </c>
      <c r="B13" s="70" t="s">
        <v>140</v>
      </c>
      <c r="C13" s="70" t="s">
        <v>51</v>
      </c>
      <c r="D13" s="70" t="s">
        <v>50</v>
      </c>
      <c r="E13" s="67">
        <v>48</v>
      </c>
      <c r="F13">
        <f>IFERROR(VLOOKUP(A13,SACare價目表!A:C,3,FALSE),0)</f>
        <v>3490</v>
      </c>
      <c r="G13">
        <v>167520</v>
      </c>
    </row>
    <row r="14" spans="1:7">
      <c r="A14" s="70" t="s">
        <v>577</v>
      </c>
      <c r="B14" s="70" t="s">
        <v>578</v>
      </c>
      <c r="C14" s="70" t="s">
        <v>487</v>
      </c>
      <c r="D14" s="70" t="s">
        <v>488</v>
      </c>
      <c r="E14" s="67">
        <v>75</v>
      </c>
      <c r="F14">
        <f>IFERROR(VLOOKUP(A14,SACare價目表!A:C,3,FALSE),0)</f>
        <v>2390</v>
      </c>
      <c r="G14">
        <v>179250</v>
      </c>
    </row>
    <row r="15" spans="1:7">
      <c r="A15" s="70" t="s">
        <v>579</v>
      </c>
      <c r="B15" s="70" t="s">
        <v>143</v>
      </c>
      <c r="C15" s="70" t="s">
        <v>52</v>
      </c>
      <c r="D15" s="70" t="s">
        <v>49</v>
      </c>
      <c r="E15" s="67">
        <v>77</v>
      </c>
      <c r="F15">
        <f>IFERROR(VLOOKUP(A15,SACare價目表!A:C,3,FALSE),0)</f>
        <v>7190</v>
      </c>
      <c r="G15">
        <v>553630</v>
      </c>
    </row>
    <row r="16" spans="1:7">
      <c r="A16" s="70" t="s">
        <v>580</v>
      </c>
      <c r="B16" s="70" t="s">
        <v>581</v>
      </c>
      <c r="C16" s="70" t="s">
        <v>52</v>
      </c>
      <c r="D16" s="70" t="s">
        <v>49</v>
      </c>
      <c r="E16" s="67">
        <v>6</v>
      </c>
      <c r="F16">
        <f>IFERROR(VLOOKUP(A16,SACare價目表!A:C,3,FALSE),0)</f>
        <v>11090</v>
      </c>
      <c r="G16">
        <v>66540</v>
      </c>
    </row>
    <row r="17" spans="1:7">
      <c r="A17" s="70" t="s">
        <v>582</v>
      </c>
      <c r="B17" s="70" t="s">
        <v>583</v>
      </c>
      <c r="C17" s="70" t="s">
        <v>51</v>
      </c>
      <c r="D17" s="70" t="s">
        <v>50</v>
      </c>
      <c r="E17" s="67">
        <v>2</v>
      </c>
      <c r="F17">
        <f>IFERROR(VLOOKUP(A17,SACare價目表!A:C,3,FALSE),0)</f>
        <v>4690</v>
      </c>
      <c r="G17">
        <v>9380</v>
      </c>
    </row>
    <row r="18" spans="1:7">
      <c r="A18" s="70" t="s">
        <v>584</v>
      </c>
      <c r="B18" s="70" t="s">
        <v>559</v>
      </c>
      <c r="C18" s="70" t="s">
        <v>51</v>
      </c>
      <c r="D18" s="70" t="s">
        <v>50</v>
      </c>
      <c r="E18" s="67">
        <v>4</v>
      </c>
      <c r="F18">
        <f>IFERROR(VLOOKUP(A18,SACare價目表!A:C,3,FALSE),0)</f>
        <v>1990</v>
      </c>
      <c r="G18">
        <v>7960</v>
      </c>
    </row>
    <row r="19" spans="1:7">
      <c r="A19" s="70" t="s">
        <v>585</v>
      </c>
      <c r="B19" s="70" t="s">
        <v>150</v>
      </c>
      <c r="C19" s="70" t="s">
        <v>51</v>
      </c>
      <c r="D19" s="70" t="s">
        <v>50</v>
      </c>
      <c r="E19" s="67">
        <v>7</v>
      </c>
      <c r="F19">
        <f>IFERROR(VLOOKUP(A19,SACare價目表!A:C,3,FALSE),0)</f>
        <v>3490</v>
      </c>
      <c r="G19">
        <v>24430</v>
      </c>
    </row>
    <row r="20" spans="1:7">
      <c r="A20" s="70" t="s">
        <v>586</v>
      </c>
      <c r="B20" s="70" t="s">
        <v>587</v>
      </c>
      <c r="C20" s="70" t="s">
        <v>51</v>
      </c>
      <c r="D20" s="70" t="s">
        <v>50</v>
      </c>
      <c r="E20" s="67">
        <v>9</v>
      </c>
      <c r="F20">
        <f>IFERROR(VLOOKUP(A20,SACare價目表!A:C,3,FALSE),0)</f>
        <v>0</v>
      </c>
      <c r="G20">
        <v>0</v>
      </c>
    </row>
    <row r="21" spans="1:7">
      <c r="A21" s="70" t="s">
        <v>588</v>
      </c>
      <c r="B21" s="70" t="s">
        <v>589</v>
      </c>
      <c r="C21" s="70" t="s">
        <v>51</v>
      </c>
      <c r="D21" s="70" t="s">
        <v>50</v>
      </c>
      <c r="E21" s="67">
        <v>1</v>
      </c>
      <c r="F21">
        <f>IFERROR(VLOOKUP(A21,SACare價目表!A:C,3,FALSE),0)</f>
        <v>0</v>
      </c>
      <c r="G21">
        <v>0</v>
      </c>
    </row>
    <row r="22" spans="1:7">
      <c r="A22" s="70" t="s">
        <v>590</v>
      </c>
      <c r="B22" s="70" t="s">
        <v>591</v>
      </c>
      <c r="C22" s="70" t="s">
        <v>487</v>
      </c>
      <c r="D22" s="70" t="s">
        <v>488</v>
      </c>
      <c r="E22" s="67">
        <v>1</v>
      </c>
      <c r="F22">
        <f>IFERROR(VLOOKUP(A22,SACare價目表!A:C,3,FALSE),0)</f>
        <v>0</v>
      </c>
      <c r="G22">
        <v>0</v>
      </c>
    </row>
    <row r="23" spans="1:7">
      <c r="A23" s="70" t="s">
        <v>592</v>
      </c>
      <c r="B23" s="70" t="s">
        <v>593</v>
      </c>
      <c r="C23" s="70" t="s">
        <v>52</v>
      </c>
      <c r="D23" s="70" t="s">
        <v>49</v>
      </c>
      <c r="E23" s="67">
        <v>1</v>
      </c>
      <c r="F23">
        <f>IFERROR(VLOOKUP(A23,SACare價目表!A:C,3,FALSE),0)</f>
        <v>4690</v>
      </c>
      <c r="G23">
        <v>4690</v>
      </c>
    </row>
    <row r="24" spans="1:7">
      <c r="A24" s="70" t="s">
        <v>594</v>
      </c>
      <c r="B24" s="70" t="s">
        <v>595</v>
      </c>
      <c r="C24" s="70" t="s">
        <v>52</v>
      </c>
      <c r="D24" s="70" t="s">
        <v>49</v>
      </c>
      <c r="E24" s="67">
        <v>3</v>
      </c>
      <c r="F24">
        <f>IFERROR(VLOOKUP(A24,SACare價目表!A:C,3,FALSE),0)</f>
        <v>0</v>
      </c>
      <c r="G24">
        <v>0</v>
      </c>
    </row>
    <row r="25" spans="1:7">
      <c r="A25" s="70" t="s">
        <v>168</v>
      </c>
      <c r="B25" s="70" t="s">
        <v>596</v>
      </c>
      <c r="C25" s="70" t="s">
        <v>487</v>
      </c>
      <c r="D25" s="70" t="s">
        <v>488</v>
      </c>
      <c r="E25" s="67">
        <v>1</v>
      </c>
      <c r="F25">
        <f>IFERROR(VLOOKUP(A25,SACare價目表!A:C,3,FALSE),0)</f>
        <v>2390</v>
      </c>
      <c r="G25">
        <v>2390</v>
      </c>
    </row>
    <row r="26" spans="1:7">
      <c r="A26" s="70" t="s">
        <v>170</v>
      </c>
      <c r="B26" s="70" t="s">
        <v>597</v>
      </c>
      <c r="C26" s="70" t="s">
        <v>52</v>
      </c>
      <c r="D26" s="70" t="s">
        <v>49</v>
      </c>
      <c r="E26" s="67">
        <v>1</v>
      </c>
      <c r="F26">
        <f>IFERROR(VLOOKUP(A26,SACare價目表!A:C,3,FALSE),0)</f>
        <v>7190</v>
      </c>
      <c r="G26">
        <v>7190</v>
      </c>
    </row>
    <row r="27" spans="1:7">
      <c r="A27" s="70" t="s">
        <v>174</v>
      </c>
      <c r="B27" s="70" t="s">
        <v>598</v>
      </c>
      <c r="C27" s="70" t="s">
        <v>52</v>
      </c>
      <c r="D27" s="70" t="s">
        <v>49</v>
      </c>
      <c r="E27" s="67">
        <v>1</v>
      </c>
      <c r="F27">
        <f>IFERROR(VLOOKUP(A27,SACare價目表!A:C,3,FALSE),0)</f>
        <v>11090</v>
      </c>
      <c r="G27">
        <v>11090</v>
      </c>
    </row>
    <row r="28" spans="1:7">
      <c r="A28" s="70" t="s">
        <v>188</v>
      </c>
      <c r="B28" s="70" t="s">
        <v>599</v>
      </c>
      <c r="C28" s="70" t="s">
        <v>51</v>
      </c>
      <c r="D28" s="70" t="s">
        <v>50</v>
      </c>
      <c r="E28" s="67">
        <v>4</v>
      </c>
      <c r="F28">
        <f>IFERROR(VLOOKUP(A28,SACare價目表!A:C,3,FALSE),0)</f>
        <v>3290</v>
      </c>
      <c r="G28">
        <v>13160</v>
      </c>
    </row>
    <row r="29" spans="1:7">
      <c r="A29" s="70" t="s">
        <v>190</v>
      </c>
      <c r="B29" s="70" t="s">
        <v>600</v>
      </c>
      <c r="C29" s="70" t="s">
        <v>51</v>
      </c>
      <c r="D29" s="70" t="s">
        <v>50</v>
      </c>
      <c r="E29" s="67">
        <v>5</v>
      </c>
      <c r="F29">
        <f>IFERROR(VLOOKUP(A29,SACare價目表!A:C,3,FALSE),0)</f>
        <v>4390</v>
      </c>
      <c r="G29">
        <v>21950</v>
      </c>
    </row>
    <row r="30" spans="1:7">
      <c r="A30" s="70" t="s">
        <v>192</v>
      </c>
      <c r="B30" s="70" t="s">
        <v>601</v>
      </c>
      <c r="C30" s="70" t="s">
        <v>51</v>
      </c>
      <c r="D30" s="70" t="s">
        <v>50</v>
      </c>
      <c r="E30" s="67">
        <v>6</v>
      </c>
      <c r="F30">
        <f>IFERROR(VLOOKUP(A30,SACare價目表!A:C,3,FALSE),0)</f>
        <v>1590</v>
      </c>
      <c r="G30">
        <v>9540</v>
      </c>
    </row>
    <row r="31" spans="1:7">
      <c r="A31" s="70" t="s">
        <v>194</v>
      </c>
      <c r="B31" s="70" t="s">
        <v>602</v>
      </c>
      <c r="C31" s="70" t="s">
        <v>51</v>
      </c>
      <c r="D31" s="70" t="s">
        <v>50</v>
      </c>
      <c r="E31" s="67">
        <v>5</v>
      </c>
      <c r="F31">
        <f>IFERROR(VLOOKUP(A31,SACare價目表!A:C,3,FALSE),0)</f>
        <v>2590</v>
      </c>
      <c r="G31">
        <v>12950</v>
      </c>
    </row>
    <row r="32" spans="1:7">
      <c r="A32" s="70" t="s">
        <v>196</v>
      </c>
      <c r="B32" s="70" t="s">
        <v>603</v>
      </c>
      <c r="C32" s="70" t="s">
        <v>487</v>
      </c>
      <c r="D32" s="70" t="s">
        <v>488</v>
      </c>
      <c r="E32" s="67">
        <v>1</v>
      </c>
      <c r="F32">
        <f>IFERROR(VLOOKUP(A32,SACare價目表!A:C,3,FALSE),0)</f>
        <v>1290</v>
      </c>
      <c r="G32">
        <v>1290</v>
      </c>
    </row>
    <row r="33" spans="1:7">
      <c r="A33" s="70" t="s">
        <v>198</v>
      </c>
      <c r="B33" s="70" t="s">
        <v>604</v>
      </c>
      <c r="C33" s="70" t="s">
        <v>487</v>
      </c>
      <c r="D33" s="70" t="s">
        <v>488</v>
      </c>
      <c r="E33" s="67">
        <v>2</v>
      </c>
      <c r="F33">
        <f>IFERROR(VLOOKUP(A33,SACare價目表!A:C,3,FALSE),0)</f>
        <v>1690</v>
      </c>
      <c r="G33">
        <v>3380</v>
      </c>
    </row>
    <row r="34" spans="1:7">
      <c r="A34" s="70" t="s">
        <v>605</v>
      </c>
      <c r="B34" s="70" t="s">
        <v>606</v>
      </c>
      <c r="C34" s="70" t="s">
        <v>52</v>
      </c>
      <c r="D34" s="70" t="s">
        <v>49</v>
      </c>
      <c r="E34" s="67">
        <v>1</v>
      </c>
      <c r="F34">
        <f>IFERROR(VLOOKUP(A34,SACare價目表!A:C,3,FALSE),0)</f>
        <v>0</v>
      </c>
      <c r="G34">
        <v>0</v>
      </c>
    </row>
    <row r="35" spans="1:7">
      <c r="A35" s="70" t="s">
        <v>607</v>
      </c>
      <c r="B35" s="70" t="s">
        <v>608</v>
      </c>
      <c r="C35" s="70" t="s">
        <v>52</v>
      </c>
      <c r="D35" s="70" t="s">
        <v>49</v>
      </c>
      <c r="E35" s="67">
        <v>1</v>
      </c>
      <c r="F35">
        <f>IFERROR(VLOOKUP(A35,SACare價目表!A:C,3,FALSE),0)</f>
        <v>0</v>
      </c>
      <c r="G35">
        <v>0</v>
      </c>
    </row>
    <row r="36" spans="1:7">
      <c r="A36" s="70" t="s">
        <v>564</v>
      </c>
      <c r="B36" s="70" t="s">
        <v>565</v>
      </c>
      <c r="C36" s="70" t="s">
        <v>51</v>
      </c>
      <c r="D36" s="70" t="s">
        <v>50</v>
      </c>
      <c r="E36" s="67">
        <v>189</v>
      </c>
      <c r="F36">
        <f>IFERROR(VLOOKUP(A36,SACare價目表!A:C,3,FALSE),0)</f>
        <v>799</v>
      </c>
      <c r="G36">
        <v>151011</v>
      </c>
    </row>
    <row r="37" spans="1:7">
      <c r="A37" s="70" t="s">
        <v>609</v>
      </c>
      <c r="B37" s="70" t="s">
        <v>610</v>
      </c>
      <c r="C37" s="70" t="s">
        <v>51</v>
      </c>
      <c r="D37" s="70" t="s">
        <v>50</v>
      </c>
      <c r="E37" s="67">
        <v>0</v>
      </c>
      <c r="F37">
        <f>IFERROR(VLOOKUP(A37,SACare價目表!A:C,3,FALSE),0)</f>
        <v>0</v>
      </c>
      <c r="G37">
        <v>0</v>
      </c>
    </row>
    <row r="38" spans="1:7">
      <c r="A38" s="70" t="s">
        <v>611</v>
      </c>
      <c r="B38" s="70" t="s">
        <v>612</v>
      </c>
      <c r="C38" s="70" t="s">
        <v>51</v>
      </c>
      <c r="D38" s="70" t="s">
        <v>50</v>
      </c>
      <c r="E38" s="67">
        <v>91</v>
      </c>
      <c r="F38">
        <f>IFERROR(VLOOKUP(A38,SACare價目表!A:C,3,FALSE),0)</f>
        <v>0</v>
      </c>
      <c r="G38">
        <v>0</v>
      </c>
    </row>
    <row r="39" spans="1:7">
      <c r="A39" s="70" t="s">
        <v>613</v>
      </c>
      <c r="B39" s="70" t="s">
        <v>614</v>
      </c>
      <c r="C39" s="70" t="s">
        <v>51</v>
      </c>
      <c r="D39" s="70" t="s">
        <v>50</v>
      </c>
      <c r="E39" s="67">
        <v>5</v>
      </c>
      <c r="F39">
        <f>IFERROR(VLOOKUP(A39,SACare價目表!A:C,3,FALSE),0)</f>
        <v>0</v>
      </c>
      <c r="G39">
        <v>0</v>
      </c>
    </row>
    <row r="40" spans="1:7">
      <c r="A40" s="95" t="s">
        <v>552</v>
      </c>
      <c r="B40" s="95" t="s">
        <v>495</v>
      </c>
      <c r="C40" s="95" t="s">
        <v>495</v>
      </c>
      <c r="D40" s="95" t="s">
        <v>495</v>
      </c>
      <c r="E40" s="96">
        <v>756</v>
      </c>
      <c r="F40">
        <f>IFERROR(VLOOKUP(A40,SACare價目表!A:C,3,FALSE),0)</f>
        <v>0</v>
      </c>
      <c r="G40">
        <v>0</v>
      </c>
    </row>
  </sheetData>
  <phoneticPr fontId="2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clearSacare">
                <anchor moveWithCells="1" sizeWithCells="1">
                  <from>
                    <xdr:col>1</xdr:col>
                    <xdr:colOff>723900</xdr:colOff>
                    <xdr:row>1</xdr:row>
                    <xdr:rowOff>165100</xdr:rowOff>
                  </from>
                  <to>
                    <xdr:col>3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autoFill="0" autoPict="0" macro="[0]!sacaremoney">
                <anchor moveWithCells="1" sizeWithCells="1">
                  <from>
                    <xdr:col>3</xdr:col>
                    <xdr:colOff>533400</xdr:colOff>
                    <xdr:row>1</xdr:row>
                    <xdr:rowOff>165100</xdr:rowOff>
                  </from>
                  <to>
                    <xdr:col>5</xdr:col>
                    <xdr:colOff>749300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autoFill="0" autoPict="0" macro="[0]!sacaremoney3">
                <anchor moveWithCells="1" sizeWithCells="1">
                  <from>
                    <xdr:col>9</xdr:col>
                    <xdr:colOff>317500</xdr:colOff>
                    <xdr:row>1</xdr:row>
                    <xdr:rowOff>165100</xdr:rowOff>
                  </from>
                  <to>
                    <xdr:col>11</xdr:col>
                    <xdr:colOff>533400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autoFill="0" autoPict="0" macro="[0]!sacaremoney2">
                <anchor moveWithCells="1" sizeWithCells="1">
                  <from>
                    <xdr:col>6</xdr:col>
                    <xdr:colOff>381000</xdr:colOff>
                    <xdr:row>1</xdr:row>
                    <xdr:rowOff>165100</xdr:rowOff>
                  </from>
                  <to>
                    <xdr:col>8</xdr:col>
                    <xdr:colOff>596900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C118"/>
  <sheetViews>
    <sheetView topLeftCell="A92" workbookViewId="0">
      <selection activeCell="G118" sqref="G118"/>
    </sheetView>
  </sheetViews>
  <sheetFormatPr baseColWidth="10" defaultRowHeight="15"/>
  <cols>
    <col min="1" max="1" width="10.83203125" style="57"/>
    <col min="2" max="2" width="40.33203125" bestFit="1" customWidth="1"/>
  </cols>
  <sheetData>
    <row r="1" spans="1:3">
      <c r="A1" s="57" t="s">
        <v>69</v>
      </c>
      <c r="B1" t="s">
        <v>70</v>
      </c>
      <c r="C1" t="s">
        <v>71</v>
      </c>
    </row>
    <row r="2" spans="1:3">
      <c r="A2" s="60" t="s">
        <v>83</v>
      </c>
      <c r="B2" s="61" t="s">
        <v>57</v>
      </c>
      <c r="C2" s="61">
        <v>2690</v>
      </c>
    </row>
    <row r="3" spans="1:3">
      <c r="A3" s="60" t="s">
        <v>84</v>
      </c>
      <c r="B3" s="61" t="s">
        <v>58</v>
      </c>
      <c r="C3" s="61">
        <v>3690</v>
      </c>
    </row>
    <row r="4" spans="1:3">
      <c r="A4" s="60" t="s">
        <v>85</v>
      </c>
      <c r="B4" s="61" t="s">
        <v>59</v>
      </c>
      <c r="C4" s="61">
        <v>3690</v>
      </c>
    </row>
    <row r="5" spans="1:3">
      <c r="A5" s="60" t="s">
        <v>86</v>
      </c>
      <c r="B5" s="61" t="s">
        <v>60</v>
      </c>
      <c r="C5" s="61">
        <v>2690</v>
      </c>
    </row>
    <row r="6" spans="1:3">
      <c r="A6" s="60" t="s">
        <v>87</v>
      </c>
      <c r="B6" s="61" t="s">
        <v>61</v>
      </c>
      <c r="C6" s="61">
        <v>3690</v>
      </c>
    </row>
    <row r="7" spans="1:3">
      <c r="A7" s="60" t="s">
        <v>88</v>
      </c>
      <c r="B7" s="61" t="s">
        <v>72</v>
      </c>
      <c r="C7" s="61">
        <v>3690</v>
      </c>
    </row>
    <row r="8" spans="1:3">
      <c r="A8" s="60" t="s">
        <v>89</v>
      </c>
      <c r="B8" s="61" t="s">
        <v>62</v>
      </c>
      <c r="C8" s="61">
        <v>3690</v>
      </c>
    </row>
    <row r="9" spans="1:3">
      <c r="A9" s="60" t="s">
        <v>90</v>
      </c>
      <c r="B9" s="61" t="s">
        <v>73</v>
      </c>
      <c r="C9" s="61">
        <v>2690</v>
      </c>
    </row>
    <row r="10" spans="1:3">
      <c r="A10" s="60" t="s">
        <v>91</v>
      </c>
      <c r="B10" s="61" t="s">
        <v>74</v>
      </c>
      <c r="C10" s="61">
        <v>3690</v>
      </c>
    </row>
    <row r="11" spans="1:3">
      <c r="A11" s="60" t="s">
        <v>92</v>
      </c>
      <c r="B11" s="61" t="s">
        <v>63</v>
      </c>
      <c r="C11" s="61">
        <v>3690</v>
      </c>
    </row>
    <row r="12" spans="1:3">
      <c r="A12" s="60" t="s">
        <v>93</v>
      </c>
      <c r="B12" s="61" t="s">
        <v>64</v>
      </c>
      <c r="C12" s="61">
        <v>4690</v>
      </c>
    </row>
    <row r="13" spans="1:3">
      <c r="A13" s="60" t="s">
        <v>94</v>
      </c>
      <c r="B13" s="61" t="s">
        <v>65</v>
      </c>
      <c r="C13" s="61">
        <v>6690</v>
      </c>
    </row>
    <row r="14" spans="1:3">
      <c r="A14" s="60" t="s">
        <v>95</v>
      </c>
      <c r="B14" s="61" t="s">
        <v>66</v>
      </c>
      <c r="C14" s="61">
        <v>1990</v>
      </c>
    </row>
    <row r="15" spans="1:3">
      <c r="A15" s="60" t="s">
        <v>96</v>
      </c>
      <c r="B15" s="61" t="s">
        <v>67</v>
      </c>
      <c r="C15" s="61">
        <v>4690</v>
      </c>
    </row>
    <row r="16" spans="1:3">
      <c r="A16" s="60" t="s">
        <v>97</v>
      </c>
      <c r="B16" s="61" t="s">
        <v>68</v>
      </c>
      <c r="C16" s="61">
        <v>4690</v>
      </c>
    </row>
    <row r="17" spans="1:3">
      <c r="A17" s="60" t="s">
        <v>98</v>
      </c>
      <c r="B17" s="61" t="s">
        <v>57</v>
      </c>
      <c r="C17" s="61">
        <v>2690</v>
      </c>
    </row>
    <row r="18" spans="1:3">
      <c r="A18" s="60" t="s">
        <v>99</v>
      </c>
      <c r="B18" s="61" t="s">
        <v>58</v>
      </c>
      <c r="C18" s="61">
        <v>3690</v>
      </c>
    </row>
    <row r="19" spans="1:3">
      <c r="A19" s="60" t="s">
        <v>100</v>
      </c>
      <c r="B19" s="61" t="s">
        <v>59</v>
      </c>
      <c r="C19" s="61">
        <v>3690</v>
      </c>
    </row>
    <row r="20" spans="1:3">
      <c r="A20" s="60" t="s">
        <v>101</v>
      </c>
      <c r="B20" s="61" t="s">
        <v>60</v>
      </c>
      <c r="C20" s="61">
        <v>2690</v>
      </c>
    </row>
    <row r="21" spans="1:3">
      <c r="A21" s="60" t="s">
        <v>102</v>
      </c>
      <c r="B21" s="61" t="s">
        <v>61</v>
      </c>
      <c r="C21" s="61">
        <v>3690</v>
      </c>
    </row>
    <row r="22" spans="1:3">
      <c r="A22" s="60" t="s">
        <v>103</v>
      </c>
      <c r="B22" s="61" t="s">
        <v>72</v>
      </c>
      <c r="C22" s="61">
        <v>3690</v>
      </c>
    </row>
    <row r="23" spans="1:3">
      <c r="A23" s="60" t="s">
        <v>104</v>
      </c>
      <c r="B23" s="61" t="s">
        <v>62</v>
      </c>
      <c r="C23" s="61">
        <v>3690</v>
      </c>
    </row>
    <row r="24" spans="1:3">
      <c r="A24" s="60" t="s">
        <v>105</v>
      </c>
      <c r="B24" s="61" t="s">
        <v>73</v>
      </c>
      <c r="C24" s="61">
        <v>2690</v>
      </c>
    </row>
    <row r="25" spans="1:3">
      <c r="A25" s="60" t="s">
        <v>106</v>
      </c>
      <c r="B25" s="61" t="s">
        <v>74</v>
      </c>
      <c r="C25" s="61">
        <v>3690</v>
      </c>
    </row>
    <row r="26" spans="1:3">
      <c r="A26" s="60" t="s">
        <v>107</v>
      </c>
      <c r="B26" s="61" t="s">
        <v>63</v>
      </c>
      <c r="C26" s="61">
        <v>3690</v>
      </c>
    </row>
    <row r="27" spans="1:3">
      <c r="A27" s="60" t="s">
        <v>108</v>
      </c>
      <c r="B27" s="61" t="s">
        <v>64</v>
      </c>
      <c r="C27" s="61">
        <v>4690</v>
      </c>
    </row>
    <row r="28" spans="1:3">
      <c r="A28" s="60" t="s">
        <v>109</v>
      </c>
      <c r="B28" s="61" t="s">
        <v>65</v>
      </c>
      <c r="C28" s="61">
        <v>6690</v>
      </c>
    </row>
    <row r="29" spans="1:3">
      <c r="A29" s="60" t="s">
        <v>110</v>
      </c>
      <c r="B29" s="61" t="s">
        <v>66</v>
      </c>
      <c r="C29" s="61">
        <v>1990</v>
      </c>
    </row>
    <row r="30" spans="1:3">
      <c r="A30" s="60" t="s">
        <v>111</v>
      </c>
      <c r="B30" s="61" t="s">
        <v>67</v>
      </c>
      <c r="C30" s="61">
        <v>4690</v>
      </c>
    </row>
    <row r="31" spans="1:3">
      <c r="A31" s="60" t="s">
        <v>112</v>
      </c>
      <c r="B31" s="61" t="s">
        <v>68</v>
      </c>
      <c r="C31" s="61">
        <v>4690</v>
      </c>
    </row>
    <row r="32" spans="1:3">
      <c r="A32" s="60" t="s">
        <v>113</v>
      </c>
      <c r="B32" s="61" t="s">
        <v>79</v>
      </c>
      <c r="C32" s="61">
        <v>3752</v>
      </c>
    </row>
    <row r="33" spans="1:3">
      <c r="A33" s="60" t="s">
        <v>114</v>
      </c>
      <c r="B33" s="61" t="s">
        <v>79</v>
      </c>
      <c r="C33" s="61">
        <v>3752</v>
      </c>
    </row>
    <row r="34" spans="1:3">
      <c r="A34" s="60" t="s">
        <v>115</v>
      </c>
      <c r="B34" s="61" t="s">
        <v>116</v>
      </c>
      <c r="C34" s="61">
        <v>3690</v>
      </c>
    </row>
    <row r="35" spans="1:3">
      <c r="A35" s="60" t="s">
        <v>117</v>
      </c>
      <c r="B35" s="61" t="s">
        <v>80</v>
      </c>
      <c r="C35" s="61">
        <v>4690</v>
      </c>
    </row>
    <row r="36" spans="1:3">
      <c r="A36" s="60" t="s">
        <v>118</v>
      </c>
      <c r="B36" s="61" t="s">
        <v>81</v>
      </c>
      <c r="C36" s="61">
        <v>2690</v>
      </c>
    </row>
    <row r="37" spans="1:3">
      <c r="A37" s="60" t="s">
        <v>119</v>
      </c>
      <c r="B37" s="61" t="s">
        <v>82</v>
      </c>
      <c r="C37" s="61">
        <v>3690</v>
      </c>
    </row>
    <row r="38" spans="1:3">
      <c r="A38" s="60" t="s">
        <v>120</v>
      </c>
      <c r="B38" s="61" t="s">
        <v>116</v>
      </c>
      <c r="C38" s="61">
        <v>3690</v>
      </c>
    </row>
    <row r="39" spans="1:3">
      <c r="A39" s="60" t="s">
        <v>121</v>
      </c>
      <c r="B39" s="61" t="s">
        <v>80</v>
      </c>
      <c r="C39" s="61">
        <v>4690</v>
      </c>
    </row>
    <row r="40" spans="1:3">
      <c r="A40" s="60" t="s">
        <v>122</v>
      </c>
      <c r="B40" s="61" t="s">
        <v>81</v>
      </c>
      <c r="C40" s="61">
        <v>2690</v>
      </c>
    </row>
    <row r="41" spans="1:3">
      <c r="A41" s="60" t="s">
        <v>123</v>
      </c>
      <c r="B41" s="61" t="s">
        <v>82</v>
      </c>
      <c r="C41" s="61">
        <v>3690</v>
      </c>
    </row>
    <row r="42" spans="1:3">
      <c r="A42" s="60" t="s">
        <v>124</v>
      </c>
      <c r="B42" s="61" t="s">
        <v>125</v>
      </c>
      <c r="C42" s="61">
        <v>2990</v>
      </c>
    </row>
    <row r="43" spans="1:3">
      <c r="A43" s="60" t="s">
        <v>126</v>
      </c>
      <c r="B43" s="61" t="s">
        <v>127</v>
      </c>
      <c r="C43" s="61">
        <v>2990</v>
      </c>
    </row>
    <row r="44" spans="1:3">
      <c r="A44" s="60" t="s">
        <v>128</v>
      </c>
      <c r="B44" s="61" t="s">
        <v>129</v>
      </c>
      <c r="C44" s="61">
        <v>2990</v>
      </c>
    </row>
    <row r="45" spans="1:3">
      <c r="A45" s="60" t="s">
        <v>130</v>
      </c>
      <c r="B45" s="61" t="s">
        <v>131</v>
      </c>
      <c r="C45" s="61">
        <v>2392</v>
      </c>
    </row>
    <row r="46" spans="1:3">
      <c r="A46" s="60" t="s">
        <v>132</v>
      </c>
      <c r="B46" s="61" t="s">
        <v>125</v>
      </c>
      <c r="C46" s="61">
        <v>2990</v>
      </c>
    </row>
    <row r="47" spans="1:3">
      <c r="A47" s="60" t="s">
        <v>133</v>
      </c>
      <c r="B47" s="61" t="s">
        <v>127</v>
      </c>
      <c r="C47" s="61">
        <v>2990</v>
      </c>
    </row>
    <row r="48" spans="1:3">
      <c r="A48" s="60" t="s">
        <v>134</v>
      </c>
      <c r="B48" s="61" t="s">
        <v>129</v>
      </c>
      <c r="C48" s="61">
        <v>2990</v>
      </c>
    </row>
    <row r="49" spans="1:3">
      <c r="A49" s="60" t="s">
        <v>135</v>
      </c>
      <c r="B49" s="61" t="s">
        <v>131</v>
      </c>
      <c r="C49" s="61">
        <v>2392</v>
      </c>
    </row>
    <row r="50" spans="1:3">
      <c r="A50" s="64" t="s">
        <v>206</v>
      </c>
      <c r="B50" s="61" t="s">
        <v>136</v>
      </c>
      <c r="C50" s="61">
        <v>3790</v>
      </c>
    </row>
    <row r="51" spans="1:3">
      <c r="A51" s="64" t="s">
        <v>207</v>
      </c>
      <c r="B51" s="61" t="s">
        <v>137</v>
      </c>
      <c r="C51" s="61">
        <v>4690</v>
      </c>
    </row>
    <row r="52" spans="1:3">
      <c r="A52" s="64" t="s">
        <v>208</v>
      </c>
      <c r="B52" s="61" t="s">
        <v>138</v>
      </c>
      <c r="C52" s="61">
        <v>6590</v>
      </c>
    </row>
    <row r="53" spans="1:3">
      <c r="A53" s="64" t="s">
        <v>209</v>
      </c>
      <c r="B53" s="61" t="s">
        <v>139</v>
      </c>
      <c r="C53" s="61">
        <v>1990</v>
      </c>
    </row>
    <row r="54" spans="1:3">
      <c r="A54" s="64" t="s">
        <v>210</v>
      </c>
      <c r="B54" s="61" t="s">
        <v>140</v>
      </c>
      <c r="C54" s="61">
        <v>3490</v>
      </c>
    </row>
    <row r="55" spans="1:3">
      <c r="A55" s="64" t="s">
        <v>211</v>
      </c>
      <c r="B55" s="61" t="s">
        <v>141</v>
      </c>
      <c r="C55" s="61">
        <v>1690</v>
      </c>
    </row>
    <row r="56" spans="1:3">
      <c r="A56" s="64" t="s">
        <v>212</v>
      </c>
      <c r="B56" s="61" t="s">
        <v>142</v>
      </c>
      <c r="C56" s="61">
        <v>2390</v>
      </c>
    </row>
    <row r="57" spans="1:3">
      <c r="A57" s="64" t="s">
        <v>213</v>
      </c>
      <c r="B57" s="61" t="s">
        <v>143</v>
      </c>
      <c r="C57" s="61">
        <v>7190</v>
      </c>
    </row>
    <row r="58" spans="1:3">
      <c r="A58" s="64" t="s">
        <v>214</v>
      </c>
      <c r="B58" s="61" t="s">
        <v>144</v>
      </c>
      <c r="C58" s="61">
        <v>8090</v>
      </c>
    </row>
    <row r="59" spans="1:3">
      <c r="A59" s="64" t="s">
        <v>215</v>
      </c>
      <c r="B59" s="61" t="s">
        <v>145</v>
      </c>
      <c r="C59" s="61">
        <v>11090</v>
      </c>
    </row>
    <row r="60" spans="1:3">
      <c r="A60" s="64" t="s">
        <v>216</v>
      </c>
      <c r="B60" s="61" t="s">
        <v>146</v>
      </c>
      <c r="C60" s="61">
        <v>3790</v>
      </c>
    </row>
    <row r="61" spans="1:3">
      <c r="A61" s="64" t="s">
        <v>217</v>
      </c>
      <c r="B61" s="61" t="s">
        <v>147</v>
      </c>
      <c r="C61" s="61">
        <v>4690</v>
      </c>
    </row>
    <row r="62" spans="1:3">
      <c r="A62" s="64" t="s">
        <v>218</v>
      </c>
      <c r="B62" s="61" t="s">
        <v>148</v>
      </c>
      <c r="C62" s="61">
        <v>6590</v>
      </c>
    </row>
    <row r="63" spans="1:3">
      <c r="A63" s="64" t="s">
        <v>219</v>
      </c>
      <c r="B63" s="62" t="s">
        <v>149</v>
      </c>
      <c r="C63" s="61">
        <v>1990</v>
      </c>
    </row>
    <row r="64" spans="1:3">
      <c r="A64" s="64" t="s">
        <v>220</v>
      </c>
      <c r="B64" s="61" t="s">
        <v>150</v>
      </c>
      <c r="C64" s="61">
        <v>3490</v>
      </c>
    </row>
    <row r="65" spans="1:3">
      <c r="A65" s="64" t="s">
        <v>221</v>
      </c>
      <c r="B65" s="61" t="s">
        <v>151</v>
      </c>
      <c r="C65" s="61">
        <v>2590</v>
      </c>
    </row>
    <row r="66" spans="1:3">
      <c r="A66" s="64" t="s">
        <v>222</v>
      </c>
      <c r="B66" s="61" t="s">
        <v>152</v>
      </c>
      <c r="C66" s="61">
        <v>3290</v>
      </c>
    </row>
    <row r="67" spans="1:3">
      <c r="A67" s="64" t="s">
        <v>223</v>
      </c>
      <c r="B67" s="61" t="s">
        <v>153</v>
      </c>
      <c r="C67" s="61">
        <v>4390</v>
      </c>
    </row>
    <row r="68" spans="1:3">
      <c r="A68" s="64" t="s">
        <v>224</v>
      </c>
      <c r="B68" s="61" t="s">
        <v>154</v>
      </c>
      <c r="C68" s="61">
        <v>1590</v>
      </c>
    </row>
    <row r="69" spans="1:3">
      <c r="A69" s="64" t="s">
        <v>225</v>
      </c>
      <c r="B69" s="61" t="s">
        <v>155</v>
      </c>
      <c r="C69" s="61">
        <v>2590</v>
      </c>
    </row>
    <row r="70" spans="1:3">
      <c r="A70" s="64" t="s">
        <v>226</v>
      </c>
      <c r="B70" s="61" t="s">
        <v>156</v>
      </c>
      <c r="C70" s="61">
        <v>1290</v>
      </c>
    </row>
    <row r="71" spans="1:3">
      <c r="A71" s="64" t="s">
        <v>227</v>
      </c>
      <c r="B71" s="61" t="s">
        <v>157</v>
      </c>
      <c r="C71" s="61">
        <v>1690</v>
      </c>
    </row>
    <row r="72" spans="1:3">
      <c r="A72" s="64" t="s">
        <v>228</v>
      </c>
      <c r="B72" s="61" t="s">
        <v>158</v>
      </c>
      <c r="C72" s="61">
        <v>4690</v>
      </c>
    </row>
    <row r="73" spans="1:3">
      <c r="A73" s="64" t="s">
        <v>229</v>
      </c>
      <c r="B73" s="61" t="s">
        <v>159</v>
      </c>
      <c r="C73" s="61">
        <v>5290</v>
      </c>
    </row>
    <row r="74" spans="1:3">
      <c r="A74" s="64" t="s">
        <v>230</v>
      </c>
      <c r="B74" s="61" t="s">
        <v>160</v>
      </c>
      <c r="C74" s="61">
        <v>6990</v>
      </c>
    </row>
    <row r="75" spans="1:3">
      <c r="A75" s="64" t="s">
        <v>231</v>
      </c>
      <c r="B75" s="61" t="s">
        <v>161</v>
      </c>
      <c r="C75" s="61">
        <v>2590</v>
      </c>
    </row>
    <row r="76" spans="1:3">
      <c r="A76" s="64" t="s">
        <v>232</v>
      </c>
      <c r="B76" s="61" t="s">
        <v>162</v>
      </c>
      <c r="C76" s="61">
        <v>3290</v>
      </c>
    </row>
    <row r="77" spans="1:3">
      <c r="A77" s="64" t="s">
        <v>233</v>
      </c>
      <c r="B77" s="61" t="s">
        <v>163</v>
      </c>
      <c r="C77" s="61">
        <v>4390</v>
      </c>
    </row>
    <row r="78" spans="1:3">
      <c r="A78" s="64" t="s">
        <v>234</v>
      </c>
      <c r="B78" s="61" t="s">
        <v>164</v>
      </c>
      <c r="C78" s="61">
        <v>1590</v>
      </c>
    </row>
    <row r="79" spans="1:3">
      <c r="A79" s="64" t="s">
        <v>235</v>
      </c>
      <c r="B79" s="61" t="s">
        <v>165</v>
      </c>
      <c r="C79" s="61">
        <v>2590</v>
      </c>
    </row>
    <row r="80" spans="1:3">
      <c r="A80" s="60" t="s">
        <v>166</v>
      </c>
      <c r="B80" s="61" t="s">
        <v>167</v>
      </c>
      <c r="C80" s="63">
        <v>1690</v>
      </c>
    </row>
    <row r="81" spans="1:3">
      <c r="A81" s="60" t="s">
        <v>168</v>
      </c>
      <c r="B81" s="61" t="s">
        <v>169</v>
      </c>
      <c r="C81" s="63">
        <v>2390</v>
      </c>
    </row>
    <row r="82" spans="1:3">
      <c r="A82" s="60" t="s">
        <v>170</v>
      </c>
      <c r="B82" s="61" t="s">
        <v>171</v>
      </c>
      <c r="C82" s="63">
        <v>7190</v>
      </c>
    </row>
    <row r="83" spans="1:3">
      <c r="A83" s="60" t="s">
        <v>172</v>
      </c>
      <c r="B83" s="61" t="s">
        <v>173</v>
      </c>
      <c r="C83" s="63">
        <v>8090</v>
      </c>
    </row>
    <row r="84" spans="1:3">
      <c r="A84" s="60" t="s">
        <v>174</v>
      </c>
      <c r="B84" s="61" t="s">
        <v>175</v>
      </c>
      <c r="C84" s="63">
        <v>11090</v>
      </c>
    </row>
    <row r="85" spans="1:3">
      <c r="A85" s="60" t="s">
        <v>176</v>
      </c>
      <c r="B85" s="61" t="s">
        <v>177</v>
      </c>
      <c r="C85" s="63">
        <v>1290</v>
      </c>
    </row>
    <row r="86" spans="1:3">
      <c r="A86" s="60" t="s">
        <v>178</v>
      </c>
      <c r="B86" s="61" t="s">
        <v>179</v>
      </c>
      <c r="C86" s="63">
        <v>1690</v>
      </c>
    </row>
    <row r="87" spans="1:3">
      <c r="A87" s="60" t="s">
        <v>180</v>
      </c>
      <c r="B87" s="61" t="s">
        <v>181</v>
      </c>
      <c r="C87" s="63">
        <v>4690</v>
      </c>
    </row>
    <row r="88" spans="1:3">
      <c r="A88" s="60" t="s">
        <v>182</v>
      </c>
      <c r="B88" s="61" t="s">
        <v>183</v>
      </c>
      <c r="C88" s="63">
        <v>5290</v>
      </c>
    </row>
    <row r="89" spans="1:3">
      <c r="A89" s="60" t="s">
        <v>184</v>
      </c>
      <c r="B89" s="61" t="s">
        <v>185</v>
      </c>
      <c r="C89" s="63">
        <v>6990</v>
      </c>
    </row>
    <row r="90" spans="1:3">
      <c r="A90" s="60" t="s">
        <v>186</v>
      </c>
      <c r="B90" s="61" t="s">
        <v>187</v>
      </c>
      <c r="C90" s="63">
        <v>2590</v>
      </c>
    </row>
    <row r="91" spans="1:3">
      <c r="A91" s="60" t="s">
        <v>188</v>
      </c>
      <c r="B91" s="61" t="s">
        <v>189</v>
      </c>
      <c r="C91" s="63">
        <v>3290</v>
      </c>
    </row>
    <row r="92" spans="1:3">
      <c r="A92" s="60" t="s">
        <v>190</v>
      </c>
      <c r="B92" s="61" t="s">
        <v>191</v>
      </c>
      <c r="C92" s="63">
        <v>4390</v>
      </c>
    </row>
    <row r="93" spans="1:3">
      <c r="A93" s="60" t="s">
        <v>192</v>
      </c>
      <c r="B93" s="61" t="s">
        <v>193</v>
      </c>
      <c r="C93" s="63">
        <v>1590</v>
      </c>
    </row>
    <row r="94" spans="1:3">
      <c r="A94" s="60" t="s">
        <v>194</v>
      </c>
      <c r="B94" s="61" t="s">
        <v>195</v>
      </c>
      <c r="C94" s="63">
        <v>2590</v>
      </c>
    </row>
    <row r="95" spans="1:3">
      <c r="A95" s="60" t="s">
        <v>196</v>
      </c>
      <c r="B95" s="61" t="s">
        <v>197</v>
      </c>
      <c r="C95" s="63">
        <v>1290</v>
      </c>
    </row>
    <row r="96" spans="1:3">
      <c r="A96" s="60" t="s">
        <v>198</v>
      </c>
      <c r="B96" s="61" t="s">
        <v>199</v>
      </c>
      <c r="C96" s="63">
        <v>1690</v>
      </c>
    </row>
    <row r="97" spans="1:3">
      <c r="A97" s="60" t="s">
        <v>200</v>
      </c>
      <c r="B97" s="61" t="s">
        <v>201</v>
      </c>
      <c r="C97" s="63">
        <v>4690</v>
      </c>
    </row>
    <row r="98" spans="1:3">
      <c r="A98" s="60" t="s">
        <v>202</v>
      </c>
      <c r="B98" s="61" t="s">
        <v>203</v>
      </c>
      <c r="C98" s="63">
        <v>5290</v>
      </c>
    </row>
    <row r="99" spans="1:3">
      <c r="A99" s="60" t="s">
        <v>204</v>
      </c>
      <c r="B99" s="61" t="s">
        <v>205</v>
      </c>
      <c r="C99" s="63">
        <v>6990</v>
      </c>
    </row>
    <row r="100" spans="1:3">
      <c r="A100" s="60" t="s">
        <v>204</v>
      </c>
      <c r="B100" s="61" t="s">
        <v>205</v>
      </c>
      <c r="C100" s="63">
        <v>6990</v>
      </c>
    </row>
    <row r="101" spans="1:3">
      <c r="A101" s="70" t="s">
        <v>553</v>
      </c>
      <c r="B101" s="70" t="s">
        <v>554</v>
      </c>
      <c r="C101" s="71">
        <v>1990</v>
      </c>
    </row>
    <row r="102" spans="1:3">
      <c r="A102" s="70" t="s">
        <v>555</v>
      </c>
      <c r="B102" s="70" t="s">
        <v>140</v>
      </c>
      <c r="C102" s="71">
        <v>3490</v>
      </c>
    </row>
    <row r="103" spans="1:3">
      <c r="A103" s="70" t="s">
        <v>556</v>
      </c>
      <c r="B103" s="70" t="s">
        <v>143</v>
      </c>
      <c r="C103" s="71">
        <v>7190</v>
      </c>
    </row>
    <row r="104" spans="1:3">
      <c r="A104" s="70" t="s">
        <v>557</v>
      </c>
      <c r="B104" s="70" t="s">
        <v>144</v>
      </c>
      <c r="C104" s="71">
        <v>8090</v>
      </c>
    </row>
    <row r="105" spans="1:3">
      <c r="A105" s="70" t="s">
        <v>558</v>
      </c>
      <c r="B105" s="70" t="s">
        <v>559</v>
      </c>
      <c r="C105" s="71">
        <v>1990</v>
      </c>
    </row>
    <row r="106" spans="1:3">
      <c r="A106" s="66" t="s">
        <v>553</v>
      </c>
      <c r="B106" s="66" t="s">
        <v>554</v>
      </c>
      <c r="C106" s="71">
        <v>1990</v>
      </c>
    </row>
    <row r="107" spans="1:3">
      <c r="A107" s="66" t="s">
        <v>555</v>
      </c>
      <c r="B107" s="66" t="s">
        <v>140</v>
      </c>
      <c r="C107" s="71">
        <v>3490</v>
      </c>
    </row>
    <row r="108" spans="1:3">
      <c r="A108" s="66" t="s">
        <v>556</v>
      </c>
      <c r="B108" s="66" t="s">
        <v>143</v>
      </c>
      <c r="C108" s="71">
        <v>7190</v>
      </c>
    </row>
    <row r="109" spans="1:3">
      <c r="A109" s="66" t="s">
        <v>557</v>
      </c>
      <c r="B109" s="66" t="s">
        <v>144</v>
      </c>
      <c r="C109" s="71">
        <v>8090</v>
      </c>
    </row>
    <row r="110" spans="1:3">
      <c r="A110" s="66" t="s">
        <v>560</v>
      </c>
      <c r="B110" s="66" t="s">
        <v>145</v>
      </c>
      <c r="C110" s="71">
        <v>11090</v>
      </c>
    </row>
    <row r="111" spans="1:3">
      <c r="A111" s="66" t="s">
        <v>556</v>
      </c>
      <c r="B111" s="66" t="s">
        <v>143</v>
      </c>
      <c r="C111" s="71">
        <v>7190</v>
      </c>
    </row>
    <row r="112" spans="1:3">
      <c r="A112" s="66" t="s">
        <v>557</v>
      </c>
      <c r="B112" s="66" t="s">
        <v>144</v>
      </c>
      <c r="C112" s="71">
        <v>8090</v>
      </c>
    </row>
    <row r="113" spans="1:3">
      <c r="A113" s="66" t="s">
        <v>560</v>
      </c>
      <c r="B113" s="66" t="s">
        <v>145</v>
      </c>
      <c r="C113" s="71">
        <v>11090</v>
      </c>
    </row>
    <row r="114" spans="1:3">
      <c r="A114" s="66" t="s">
        <v>558</v>
      </c>
      <c r="B114" s="66" t="s">
        <v>559</v>
      </c>
      <c r="C114" s="71">
        <v>1990</v>
      </c>
    </row>
    <row r="115" spans="1:3">
      <c r="A115" s="66" t="s">
        <v>561</v>
      </c>
      <c r="B115" s="66" t="s">
        <v>150</v>
      </c>
      <c r="C115" s="71">
        <v>3490</v>
      </c>
    </row>
    <row r="116" spans="1:3">
      <c r="A116" s="72" t="s">
        <v>562</v>
      </c>
      <c r="B116" s="61" t="s">
        <v>563</v>
      </c>
      <c r="C116" s="63">
        <v>699</v>
      </c>
    </row>
    <row r="117" spans="1:3">
      <c r="A117" s="72" t="s">
        <v>564</v>
      </c>
      <c r="B117" s="61" t="s">
        <v>565</v>
      </c>
      <c r="C117" s="63">
        <v>799</v>
      </c>
    </row>
    <row r="118" spans="1:3">
      <c r="A118" s="72" t="s">
        <v>566</v>
      </c>
      <c r="B118" s="61" t="s">
        <v>567</v>
      </c>
      <c r="C118" s="63">
        <v>900</v>
      </c>
    </row>
  </sheetData>
  <phoneticPr fontId="2" type="noConversion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日報</vt:lpstr>
      <vt:lpstr>每日營業</vt:lpstr>
      <vt:lpstr>每月累積</vt:lpstr>
      <vt:lpstr>同期比較</vt:lpstr>
      <vt:lpstr>SAcare</vt:lpstr>
      <vt:lpstr>SACare價目表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Steve</cp:lastModifiedBy>
  <dcterms:created xsi:type="dcterms:W3CDTF">2017-06-19T09:09:42Z</dcterms:created>
  <dcterms:modified xsi:type="dcterms:W3CDTF">2020-06-08T03:32:40Z</dcterms:modified>
</cp:coreProperties>
</file>