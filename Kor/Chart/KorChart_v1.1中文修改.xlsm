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Kor/"/>
    </mc:Choice>
  </mc:AlternateContent>
  <xr:revisionPtr revIDLastSave="0" documentId="8_{1C0DD738-C2BB-AF4A-B841-EA052C4D4A02}" xr6:coauthVersionLast="45" xr6:coauthVersionMax="45" xr10:uidLastSave="{00000000-0000-0000-0000-000000000000}"/>
  <bookViews>
    <workbookView xWindow="0" yWindow="460" windowWidth="33600" windowHeight="20540" activeTab="5" xr2:uid="{31BF1336-9A8E-4D4C-9A84-406840B84864}"/>
  </bookViews>
  <sheets>
    <sheet name="工作表1" sheetId="1" state="hidden" r:id="rId1"/>
    <sheet name="target" sheetId="2" r:id="rId2"/>
    <sheet name="A_SalesData" sheetId="3" r:id="rId3"/>
    <sheet name="B_ACPP+Data" sheetId="4" r:id="rId4"/>
    <sheet name="Shop_data_summary" sheetId="5" r:id="rId5"/>
    <sheet name="Staff_data_summary" sheetId="7" r:id="rId6"/>
    <sheet name="Chart" sheetId="42" r:id="rId7"/>
    <sheet name="testoo" sheetId="10" state="hidden" r:id="rId8"/>
  </sheets>
  <definedNames>
    <definedName name="_xlnm._FilterDatabase" localSheetId="2" hidden="1">A_SalesData!$C$10:$C$1033</definedName>
    <definedName name="_xlnm._FilterDatabase" localSheetId="3" hidden="1">'B_ACPP+Data'!$A$1:$J$1</definedName>
    <definedName name="_xlnm._FilterDatabase" localSheetId="4" hidden="1">Shop_data_summary!$C$1:$C$1</definedName>
    <definedName name="_xlnm._FilterDatabase" localSheetId="5" hidden="1">Staff_data_summary!$A$1:$A$63</definedName>
    <definedName name="_xlnm.Extract" localSheetId="4">Shop_data_summary!$A$1</definedName>
    <definedName name="_xlnm.Extract" localSheetId="5">Staff_data_summary!$C$1</definedName>
    <definedName name="_xlnm.Extract" localSheetId="7">testoo!$A$1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6" i="10" l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</calcChain>
</file>

<file path=xl/sharedStrings.xml><?xml version="1.0" encoding="utf-8"?>
<sst xmlns="http://schemas.openxmlformats.org/spreadsheetml/2006/main" count="11197" uniqueCount="334">
  <si>
    <t>JungD</t>
  </si>
  <si>
    <t>Ilsan</t>
  </si>
  <si>
    <t>MokD</t>
  </si>
  <si>
    <t>ShinC</t>
  </si>
  <si>
    <t>ShinD</t>
  </si>
  <si>
    <t>SogD</t>
  </si>
  <si>
    <t>ApguJ</t>
  </si>
  <si>
    <t>TOTAL</t>
  </si>
  <si>
    <t>門市</t>
    <phoneticPr fontId="3" type="noConversion"/>
  </si>
  <si>
    <t>Shop</t>
    <phoneticPr fontId="3" type="noConversion"/>
  </si>
  <si>
    <t>Target</t>
    <phoneticPr fontId="3" type="noConversion"/>
  </si>
  <si>
    <t>Target80%</t>
    <phoneticPr fontId="3" type="noConversion"/>
  </si>
  <si>
    <t>Result</t>
    <phoneticPr fontId="3" type="noConversion"/>
  </si>
  <si>
    <t>get%</t>
    <phoneticPr fontId="3" type="noConversion"/>
  </si>
  <si>
    <t>3ppAttachrate</t>
    <phoneticPr fontId="3" type="noConversion"/>
  </si>
  <si>
    <t>3ppTarget</t>
    <phoneticPr fontId="3" type="noConversion"/>
  </si>
  <si>
    <t>get3ppAttTargtRate</t>
    <phoneticPr fontId="3" type="noConversion"/>
  </si>
  <si>
    <t>Apple呆滯數</t>
    <phoneticPr fontId="3" type="noConversion"/>
  </si>
  <si>
    <t>呆滯目標數</t>
    <phoneticPr fontId="3" type="noConversion"/>
  </si>
  <si>
    <t>人員</t>
    <phoneticPr fontId="3" type="noConversion"/>
  </si>
  <si>
    <t>銷售額</t>
    <phoneticPr fontId="3" type="noConversion"/>
  </si>
  <si>
    <t>毛利額</t>
    <phoneticPr fontId="3" type="noConversion"/>
  </si>
  <si>
    <t>毛利額百分比</t>
    <phoneticPr fontId="3" type="noConversion"/>
  </si>
  <si>
    <t>cpu銷售數量</t>
    <phoneticPr fontId="3" type="noConversion"/>
  </si>
  <si>
    <t>cpu銷售目標</t>
    <phoneticPr fontId="3" type="noConversion"/>
  </si>
  <si>
    <t>cpu目標達成率</t>
    <phoneticPr fontId="3" type="noConversion"/>
  </si>
  <si>
    <t>cpu銷售量</t>
    <phoneticPr fontId="3" type="noConversion"/>
  </si>
  <si>
    <t>acpp cpu數量</t>
    <phoneticPr fontId="3" type="noConversion"/>
  </si>
  <si>
    <t>iPad</t>
  </si>
  <si>
    <t>iPad</t>
    <phoneticPr fontId="3" type="noConversion"/>
  </si>
  <si>
    <t>acpp ipad</t>
    <phoneticPr fontId="3" type="noConversion"/>
  </si>
  <si>
    <t>acpp cpu搭售率</t>
    <phoneticPr fontId="3" type="noConversion"/>
  </si>
  <si>
    <t>acpp ipad搭售</t>
    <phoneticPr fontId="3" type="noConversion"/>
  </si>
  <si>
    <t>watch</t>
    <phoneticPr fontId="3" type="noConversion"/>
  </si>
  <si>
    <t>acpp watch</t>
    <phoneticPr fontId="3" type="noConversion"/>
  </si>
  <si>
    <t>acpp watch att</t>
    <phoneticPr fontId="3" type="noConversion"/>
  </si>
  <si>
    <t>iPhone</t>
  </si>
  <si>
    <t>iPhone</t>
    <phoneticPr fontId="3" type="noConversion"/>
  </si>
  <si>
    <t>acpp iphone</t>
    <phoneticPr fontId="3" type="noConversion"/>
  </si>
  <si>
    <t>acpp iphone att</t>
    <phoneticPr fontId="3" type="noConversion"/>
  </si>
  <si>
    <t>airpod</t>
    <phoneticPr fontId="3" type="noConversion"/>
  </si>
  <si>
    <t>acpp airpod</t>
    <phoneticPr fontId="3" type="noConversion"/>
  </si>
  <si>
    <t>acpp airpod att</t>
    <phoneticPr fontId="3" type="noConversion"/>
  </si>
  <si>
    <t>裝置銷售</t>
    <phoneticPr fontId="3" type="noConversion"/>
  </si>
  <si>
    <t>acpp</t>
    <phoneticPr fontId="3" type="noConversion"/>
  </si>
  <si>
    <t>搭售率</t>
    <phoneticPr fontId="3" type="noConversion"/>
  </si>
  <si>
    <t>v</t>
    <phoneticPr fontId="3" type="noConversion"/>
  </si>
  <si>
    <t>3pp毛利額</t>
    <phoneticPr fontId="3" type="noConversion"/>
  </si>
  <si>
    <t>3pp銷售毛利</t>
    <phoneticPr fontId="3" type="noConversion"/>
  </si>
  <si>
    <t>acpp數量</t>
    <phoneticPr fontId="3" type="noConversion"/>
  </si>
  <si>
    <t>Margin Target</t>
    <phoneticPr fontId="3" type="noConversion"/>
  </si>
  <si>
    <t>3PP Attach rate Target</t>
    <phoneticPr fontId="3" type="noConversion"/>
  </si>
  <si>
    <t>門市代碼</t>
    <phoneticPr fontId="3" type="noConversion"/>
  </si>
  <si>
    <t>門市名稱</t>
    <phoneticPr fontId="3" type="noConversion"/>
  </si>
  <si>
    <t>毛利目標</t>
    <phoneticPr fontId="3" type="noConversion"/>
  </si>
  <si>
    <t>3pp搭售目標</t>
    <phoneticPr fontId="3" type="noConversion"/>
  </si>
  <si>
    <t>CPU_acpp</t>
    <phoneticPr fontId="3" type="noConversion"/>
  </si>
  <si>
    <t>毛利率</t>
    <phoneticPr fontId="3" type="noConversion"/>
  </si>
  <si>
    <t>Acpp裝置</t>
    <phoneticPr fontId="3" type="noConversion"/>
  </si>
  <si>
    <t>Acpp銷售</t>
    <phoneticPr fontId="3" type="noConversion"/>
  </si>
  <si>
    <t>ACPP搭配率</t>
    <phoneticPr fontId="3" type="noConversion"/>
  </si>
  <si>
    <t>K002</t>
  </si>
  <si>
    <t>코엑스점</t>
  </si>
  <si>
    <t>SAK0115</t>
  </si>
  <si>
    <t>박한희</t>
  </si>
  <si>
    <t>3001</t>
  </si>
  <si>
    <t>APL主機(APL본체</t>
  </si>
  <si>
    <t>4002</t>
  </si>
  <si>
    <t>NoteBook</t>
  </si>
  <si>
    <t>4004</t>
  </si>
  <si>
    <t>4005</t>
  </si>
  <si>
    <t>4038</t>
  </si>
  <si>
    <t>Apple Watch</t>
  </si>
  <si>
    <t>4041</t>
  </si>
  <si>
    <t>iPad Pro</t>
  </si>
  <si>
    <t>3002</t>
  </si>
  <si>
    <t>APL週邊配件(APL주변기기</t>
  </si>
  <si>
    <t>4007</t>
  </si>
  <si>
    <t>CPU週邊配件CPU주변기기</t>
  </si>
  <si>
    <t>4009</t>
  </si>
  <si>
    <t>iPhone週邊配件iPhone주변기기</t>
  </si>
  <si>
    <t>4010</t>
  </si>
  <si>
    <t>iPad週邊配件iPad주변기기</t>
  </si>
  <si>
    <t>3003</t>
  </si>
  <si>
    <t>3PP週邊配件(3PP주변기기</t>
  </si>
  <si>
    <t>4014</t>
  </si>
  <si>
    <t>耳機이어폰</t>
  </si>
  <si>
    <t>4039</t>
  </si>
  <si>
    <t>Apple Watch 周边配件Apple Watch 주변기기</t>
  </si>
  <si>
    <t>3006</t>
  </si>
  <si>
    <t>其他收入기타수익</t>
  </si>
  <si>
    <t>4021</t>
  </si>
  <si>
    <t/>
  </si>
  <si>
    <t>SAK0133</t>
  </si>
  <si>
    <t>남윤아</t>
  </si>
  <si>
    <t>4001</t>
  </si>
  <si>
    <t>Desktop</t>
  </si>
  <si>
    <t>4006</t>
  </si>
  <si>
    <t>iPad Mini</t>
  </si>
  <si>
    <t>4011</t>
  </si>
  <si>
    <t>iPad Mini 週邊配件iPad Mini 주변기기</t>
  </si>
  <si>
    <t>4013</t>
  </si>
  <si>
    <t>Speakers</t>
  </si>
  <si>
    <t>SAKJ168</t>
  </si>
  <si>
    <t>김진홍</t>
  </si>
  <si>
    <t>SAKJ185</t>
  </si>
  <si>
    <t>안종석</t>
  </si>
  <si>
    <t>4017</t>
  </si>
  <si>
    <t>其他週邊配件기타주변기기</t>
  </si>
  <si>
    <t>SAKJ186</t>
  </si>
  <si>
    <t>박진혁</t>
  </si>
  <si>
    <t>SAKJ187</t>
  </si>
  <si>
    <t>모가윤</t>
  </si>
  <si>
    <t>K016</t>
  </si>
  <si>
    <t>현대백화점 디큐브시티점</t>
  </si>
  <si>
    <t>SAK0023</t>
  </si>
  <si>
    <t>송원경</t>
  </si>
  <si>
    <t>SAK0175</t>
  </si>
  <si>
    <t>김지수</t>
  </si>
  <si>
    <t>SAKJ179</t>
  </si>
  <si>
    <t>차민기</t>
  </si>
  <si>
    <t>SAKJ180</t>
  </si>
  <si>
    <t>엄민우</t>
  </si>
  <si>
    <t>SAKJ192</t>
  </si>
  <si>
    <t>이동은</t>
  </si>
  <si>
    <t>SAK0034</t>
  </si>
  <si>
    <t>구동현</t>
  </si>
  <si>
    <t>K201</t>
  </si>
  <si>
    <t>현대백화점 무역센터점</t>
  </si>
  <si>
    <t>SAK0114</t>
  </si>
  <si>
    <t>심윤보</t>
  </si>
  <si>
    <t>SAK0176</t>
  </si>
  <si>
    <t>유형원</t>
  </si>
  <si>
    <t>SAKJ184</t>
  </si>
  <si>
    <t>조영재</t>
  </si>
  <si>
    <t>K202</t>
  </si>
  <si>
    <t>현대백화점 천호점</t>
  </si>
  <si>
    <t>SAK0106</t>
  </si>
  <si>
    <t>이혜진</t>
  </si>
  <si>
    <t>SAK0123</t>
  </si>
  <si>
    <t>윤세라</t>
  </si>
  <si>
    <t>K203</t>
  </si>
  <si>
    <t>현대백화점 신촌점</t>
  </si>
  <si>
    <t>SAK0151</t>
  </si>
  <si>
    <t>진현성</t>
  </si>
  <si>
    <t>SAKJ123</t>
  </si>
  <si>
    <t>김영은</t>
  </si>
  <si>
    <t>SAKJ162</t>
  </si>
  <si>
    <t>김도연</t>
  </si>
  <si>
    <t>SAKJ175</t>
  </si>
  <si>
    <t>박필서</t>
  </si>
  <si>
    <t>K205</t>
  </si>
  <si>
    <t>현대백화점 목동점</t>
  </si>
  <si>
    <t>SAK0032</t>
  </si>
  <si>
    <t>박민규</t>
  </si>
  <si>
    <t>SAK0149</t>
  </si>
  <si>
    <t>조성현</t>
  </si>
  <si>
    <t>SAKJ102</t>
  </si>
  <si>
    <t>장영래</t>
  </si>
  <si>
    <t>SAKJ178</t>
  </si>
  <si>
    <t>김유미</t>
  </si>
  <si>
    <t>SAKJ181</t>
  </si>
  <si>
    <t>최영록</t>
  </si>
  <si>
    <t>K206</t>
  </si>
  <si>
    <t>현대백화점 중동점</t>
  </si>
  <si>
    <t>SAKJ098</t>
  </si>
  <si>
    <t>김은지</t>
  </si>
  <si>
    <t>SAKJ103</t>
  </si>
  <si>
    <t>윤지영</t>
  </si>
  <si>
    <t>SAKJ125</t>
  </si>
  <si>
    <t>정찬미</t>
  </si>
  <si>
    <t>SAKJ171</t>
  </si>
  <si>
    <t>한우상</t>
  </si>
  <si>
    <t>K207</t>
  </si>
  <si>
    <t>현대백화점 울산점</t>
  </si>
  <si>
    <t>SAK0094</t>
  </si>
  <si>
    <t>박현준</t>
  </si>
  <si>
    <t>SAK0103</t>
  </si>
  <si>
    <t>이아름</t>
  </si>
  <si>
    <t>SAK0105</t>
  </si>
  <si>
    <t>손민선</t>
  </si>
  <si>
    <t>SAK0120</t>
  </si>
  <si>
    <t>김아람</t>
  </si>
  <si>
    <t>SAK0137</t>
  </si>
  <si>
    <t>최은미</t>
  </si>
  <si>
    <t>K208</t>
  </si>
  <si>
    <t>현대백화점 압구정점</t>
  </si>
  <si>
    <t>SAK0148</t>
  </si>
  <si>
    <t>오현명</t>
  </si>
  <si>
    <t>SAKJ188</t>
  </si>
  <si>
    <t>박찬욱</t>
  </si>
  <si>
    <t>SAKJ189</t>
  </si>
  <si>
    <t>이정윤</t>
  </si>
  <si>
    <t>K210</t>
  </si>
  <si>
    <t>현대백화점 충청점</t>
  </si>
  <si>
    <t>SAK0177</t>
  </si>
  <si>
    <t>엄태은</t>
  </si>
  <si>
    <t>SAKJ155</t>
  </si>
  <si>
    <t>이유라</t>
  </si>
  <si>
    <t>SAKJ177</t>
  </si>
  <si>
    <t>강영훈</t>
  </si>
  <si>
    <t>SAKJ191</t>
  </si>
  <si>
    <t>이시원</t>
  </si>
  <si>
    <t>K212</t>
  </si>
  <si>
    <t>현대백화점 일산점</t>
  </si>
  <si>
    <t>SAKJ149</t>
  </si>
  <si>
    <t>이소현</t>
  </si>
  <si>
    <t>SAKJ158</t>
  </si>
  <si>
    <t>진세빈</t>
  </si>
  <si>
    <t>SAKJ182</t>
  </si>
  <si>
    <t>김석주</t>
  </si>
  <si>
    <t>K213</t>
  </si>
  <si>
    <t>현대아울렛 송도점</t>
  </si>
  <si>
    <t>SAK0117</t>
  </si>
  <si>
    <t>주한샘</t>
  </si>
  <si>
    <t>SAKJ165</t>
  </si>
  <si>
    <t>최동식</t>
  </si>
  <si>
    <t>SAKJ183</t>
  </si>
  <si>
    <t>이반희</t>
  </si>
  <si>
    <t>SAKJ190</t>
  </si>
  <si>
    <t>이준호</t>
  </si>
  <si>
    <t>K504</t>
  </si>
  <si>
    <t>디큐브거제점</t>
  </si>
  <si>
    <t>SAK0020</t>
  </si>
  <si>
    <t>안준이</t>
  </si>
  <si>
    <t>SAK0107</t>
  </si>
  <si>
    <t>장은경</t>
  </si>
  <si>
    <t>K505</t>
  </si>
  <si>
    <t>현대백화점 대구점</t>
  </si>
  <si>
    <t>SAK0017</t>
  </si>
  <si>
    <t>김태경</t>
  </si>
  <si>
    <t>SAK0046</t>
  </si>
  <si>
    <t>류진희</t>
  </si>
  <si>
    <t>SAK0079</t>
  </si>
  <si>
    <t>이지원</t>
  </si>
  <si>
    <t>SAK0095</t>
  </si>
  <si>
    <t>서솔</t>
  </si>
  <si>
    <t>SAK0104</t>
  </si>
  <si>
    <t>백은정</t>
  </si>
  <si>
    <t>SAK0147</t>
  </si>
  <si>
    <t>전효석</t>
  </si>
  <si>
    <t>SAK0150</t>
  </si>
  <si>
    <t>서윤배</t>
  </si>
  <si>
    <t>K601</t>
  </si>
  <si>
    <t>온라인쇼핑몰</t>
  </si>
  <si>
    <t>SAK0152</t>
  </si>
  <si>
    <t>이세인</t>
  </si>
  <si>
    <t>地點代碼</t>
  </si>
  <si>
    <t>地點名稱</t>
  </si>
  <si>
    <t>員工代碼</t>
  </si>
  <si>
    <t>員工名稱</t>
  </si>
  <si>
    <t>類別3名稱</t>
  </si>
  <si>
    <t>類別4代碼</t>
  </si>
  <si>
    <t>類別4名稱</t>
  </si>
  <si>
    <t>[:  ].QTy</t>
  </si>
  <si>
    <t>[:  ].利潤</t>
  </si>
  <si>
    <t>類別6代碼</t>
  </si>
  <si>
    <t>類別6名稱</t>
  </si>
  <si>
    <t>6523</t>
  </si>
  <si>
    <t>APPLE CARE+-IOS</t>
  </si>
  <si>
    <t>6524</t>
  </si>
  <si>
    <t>APPLE CARE+-CPU</t>
  </si>
  <si>
    <t>6526</t>
  </si>
  <si>
    <t>APPLE CARE+-iPad</t>
  </si>
  <si>
    <t>6528</t>
  </si>
  <si>
    <t>APPLE CARE+-Watch</t>
  </si>
  <si>
    <t>6529</t>
  </si>
  <si>
    <t>APPLE CARE+-Acc</t>
  </si>
  <si>
    <t>地點名稱</t>
    <phoneticPr fontId="3" type="noConversion"/>
  </si>
  <si>
    <t>3pp</t>
    <phoneticPr fontId="3" type="noConversion"/>
  </si>
  <si>
    <t>類別3代號</t>
    <phoneticPr fontId="3" type="noConversion"/>
  </si>
  <si>
    <t>類別5代碼</t>
  </si>
  <si>
    <t>類別5名稱</t>
  </si>
  <si>
    <t>5087</t>
  </si>
  <si>
    <t>AirPods</t>
  </si>
  <si>
    <t>6242</t>
  </si>
  <si>
    <t>AirPods2</t>
  </si>
  <si>
    <t>6248</t>
  </si>
  <si>
    <t>Airpods Pro</t>
  </si>
  <si>
    <t>5090</t>
  </si>
  <si>
    <t>APPLE CARE+</t>
  </si>
  <si>
    <t>3pp搭售率</t>
    <phoneticPr fontId="3" type="noConversion"/>
  </si>
  <si>
    <t>總銷售額</t>
    <phoneticPr fontId="3" type="noConversion"/>
  </si>
  <si>
    <t>員工id</t>
    <phoneticPr fontId="3" type="noConversion"/>
  </si>
  <si>
    <t>unit:</t>
    <phoneticPr fontId="3" type="noConversion"/>
  </si>
  <si>
    <t>1 milionWon</t>
    <phoneticPr fontId="3" type="noConversion"/>
  </si>
  <si>
    <t>毛利Result</t>
    <phoneticPr fontId="3" type="noConversion"/>
  </si>
  <si>
    <t>Total</t>
  </si>
  <si>
    <t>A</t>
  </si>
  <si>
    <t>A</t>
    <phoneticPr fontId="3" type="noConversion"/>
  </si>
  <si>
    <t>B</t>
  </si>
  <si>
    <t>B</t>
    <phoneticPr fontId="3" type="noConversion"/>
  </si>
  <si>
    <t>C</t>
  </si>
  <si>
    <t>C</t>
    <phoneticPr fontId="3" type="noConversion"/>
  </si>
  <si>
    <t>D</t>
  </si>
  <si>
    <t>D</t>
    <phoneticPr fontId="3" type="noConversion"/>
  </si>
  <si>
    <t>E</t>
  </si>
  <si>
    <t>E</t>
    <phoneticPr fontId="3" type="noConversion"/>
  </si>
  <si>
    <t>F</t>
  </si>
  <si>
    <t>F</t>
    <phoneticPr fontId="3" type="noConversion"/>
  </si>
  <si>
    <t>G</t>
  </si>
  <si>
    <t>G</t>
    <phoneticPr fontId="3" type="noConversion"/>
  </si>
  <si>
    <t>H</t>
  </si>
  <si>
    <t>H</t>
    <phoneticPr fontId="3" type="noConversion"/>
  </si>
  <si>
    <t>I</t>
  </si>
  <si>
    <t>I</t>
    <phoneticPr fontId="3" type="noConversion"/>
  </si>
  <si>
    <t>J</t>
  </si>
  <si>
    <t>J</t>
    <phoneticPr fontId="3" type="noConversion"/>
  </si>
  <si>
    <t>K</t>
  </si>
  <si>
    <t>K</t>
    <phoneticPr fontId="3" type="noConversion"/>
  </si>
  <si>
    <t>L</t>
  </si>
  <si>
    <t>L</t>
    <phoneticPr fontId="3" type="noConversion"/>
  </si>
  <si>
    <t>M</t>
  </si>
  <si>
    <t>M</t>
    <phoneticPr fontId="3" type="noConversion"/>
  </si>
  <si>
    <t>N</t>
  </si>
  <si>
    <t>N</t>
    <phoneticPr fontId="3" type="noConversion"/>
  </si>
  <si>
    <t>O</t>
  </si>
  <si>
    <t>O</t>
    <phoneticPr fontId="3" type="noConversion"/>
  </si>
  <si>
    <t>Margin Target</t>
  </si>
  <si>
    <t>Apple (Unit: pcs)</t>
  </si>
  <si>
    <t>3PP Attach Rate</t>
  </si>
  <si>
    <t>Target</t>
  </si>
  <si>
    <t>Personal Performance</t>
  </si>
  <si>
    <t>Unit: 1 milionWon</t>
  </si>
  <si>
    <t>CPU (Unit: psc)</t>
  </si>
  <si>
    <t>Apple Care + Attach % Perfornance</t>
  </si>
  <si>
    <t>Personal performnce to sell Apple Care+ (Attach%)</t>
  </si>
  <si>
    <t>員工名稱</t>
    <phoneticPr fontId="3" type="noConversion"/>
  </si>
  <si>
    <t>SAKJ193</t>
  </si>
  <si>
    <t>김선구</t>
  </si>
  <si>
    <t>SAK0039</t>
  </si>
  <si>
    <t>박원</t>
  </si>
  <si>
    <t>SAK0125</t>
  </si>
  <si>
    <t>권혜림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</si>
</sst>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0.0%"/>
    <numFmt numFmtId="178" formatCode="0.0"/>
  </numFmts>
  <fonts count="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0"/>
      <color indexed="8"/>
      <name val="맑은 고딕"/>
      <family val="3"/>
      <charset val="129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b/>
      <sz val="8"/>
      <name val="Arial"/>
      <family val="2"/>
    </font>
    <font>
      <b/>
      <sz val="12"/>
      <color rgb="FF000000"/>
      <name val="新細明體"/>
      <family val="1"/>
      <charset val="136"/>
      <scheme val="minor"/>
    </font>
    <font>
      <sz val="12"/>
      <color theme="1"/>
      <name val="PMingLiU"/>
      <family val="1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2" fillId="0" borderId="2" xfId="0" applyNumberFormat="1" applyFont="1" applyBorder="1" applyAlignment="1">
      <alignment horizontal="center" vertical="center"/>
    </xf>
    <xf numFmtId="9" fontId="2" fillId="0" borderId="1" xfId="1" applyFont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0" fillId="3" borderId="0" xfId="0" applyFill="1">
      <alignment vertical="center"/>
    </xf>
    <xf numFmtId="0" fontId="4" fillId="0" borderId="3" xfId="0" applyFont="1" applyBorder="1" applyAlignment="1"/>
    <xf numFmtId="4" fontId="4" fillId="0" borderId="3" xfId="0" applyNumberFormat="1" applyFont="1" applyBorder="1" applyAlignment="1"/>
    <xf numFmtId="0" fontId="5" fillId="2" borderId="3" xfId="0" applyFont="1" applyFill="1" applyBorder="1" applyAlignment="1"/>
    <xf numFmtId="177" fontId="0" fillId="0" borderId="0" xfId="1" applyNumberFormat="1" applyFont="1">
      <alignment vertical="center"/>
    </xf>
    <xf numFmtId="0" fontId="6" fillId="0" borderId="0" xfId="0" applyFont="1" applyAlignment="1">
      <alignment horizontal="center" vertical="center" readingOrder="1"/>
    </xf>
    <xf numFmtId="178" fontId="2" fillId="0" borderId="0" xfId="0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177" fontId="0" fillId="0" borderId="0" xfId="1" applyNumberFormat="1" applyFont="1" applyAlignment="1">
      <alignment horizontal="center" vertical="center"/>
    </xf>
    <xf numFmtId="9" fontId="0" fillId="4" borderId="0" xfId="0" applyNumberFormat="1" applyFill="1">
      <alignment vertical="center"/>
    </xf>
    <xf numFmtId="10" fontId="0" fillId="4" borderId="0" xfId="0" applyNumberFormat="1" applyFill="1">
      <alignment vertical="center"/>
    </xf>
    <xf numFmtId="0" fontId="0" fillId="4" borderId="0" xfId="0" applyFill="1">
      <alignment vertical="center"/>
    </xf>
    <xf numFmtId="0" fontId="4" fillId="5" borderId="4" xfId="0" applyFont="1" applyFill="1" applyBorder="1" applyAlignment="1"/>
    <xf numFmtId="0" fontId="7" fillId="5" borderId="4" xfId="0" applyFont="1" applyFill="1" applyBorder="1">
      <alignment vertical="center"/>
    </xf>
    <xf numFmtId="0" fontId="0" fillId="3" borderId="4" xfId="0" applyFill="1" applyBorder="1">
      <alignment vertical="center"/>
    </xf>
    <xf numFmtId="10" fontId="0" fillId="3" borderId="4" xfId="0" applyNumberFormat="1" applyFill="1" applyBorder="1">
      <alignment vertical="center"/>
    </xf>
    <xf numFmtId="177" fontId="0" fillId="0" borderId="0" xfId="1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Shop_data_summary!$C$17:$E$17</c:f>
              <c:numCache>
                <c:formatCode>0.0</c:formatCode>
                <c:ptCount val="3"/>
                <c:pt idx="0">
                  <c:v>1350</c:v>
                </c:pt>
                <c:pt idx="1">
                  <c:v>1080</c:v>
                </c:pt>
                <c:pt idx="2">
                  <c:v>448.83842041590202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2-6149-8D25-182FC8CE1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0627327"/>
        <c:axId val="562692127"/>
      </c:barChart>
      <c:catAx>
        <c:axId val="1000627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692127"/>
        <c:crosses val="autoZero"/>
        <c:auto val="1"/>
        <c:lblAlgn val="ctr"/>
        <c:lblOffset val="100"/>
        <c:noMultiLvlLbl val="0"/>
      </c:catAx>
      <c:valAx>
        <c:axId val="562692127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10006273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Shop_data_summary!$C$2:$E$2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40.008482990293984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6-5944-BB4A-A79AE09E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314895"/>
        <c:axId val="922149439"/>
      </c:barChart>
      <c:catAx>
        <c:axId val="557314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2149439"/>
        <c:crosses val="autoZero"/>
        <c:auto val="1"/>
        <c:lblAlgn val="ctr"/>
        <c:lblOffset val="100"/>
        <c:noMultiLvlLbl val="0"/>
      </c:catAx>
      <c:valAx>
        <c:axId val="922149439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5731489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Shop_data_summary!$C$3:$E$3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27.917200604350004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D-3F48-8414-CB6F6B4D3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036063"/>
        <c:axId val="954870175"/>
      </c:barChart>
      <c:catAx>
        <c:axId val="626036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870175"/>
        <c:crosses val="autoZero"/>
        <c:auto val="1"/>
        <c:lblAlgn val="ctr"/>
        <c:lblOffset val="100"/>
        <c:noMultiLvlLbl val="0"/>
      </c:catAx>
      <c:valAx>
        <c:axId val="954870175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62603606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Shop_data_summary!$C$4:$E$4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18.29282798517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A-2F44-A0BB-04F62214A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363791"/>
        <c:axId val="588863727"/>
      </c:barChart>
      <c:catAx>
        <c:axId val="55236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8863727"/>
        <c:crosses val="autoZero"/>
        <c:auto val="1"/>
        <c:lblAlgn val="ctr"/>
        <c:lblOffset val="100"/>
        <c:noMultiLvlLbl val="0"/>
      </c:catAx>
      <c:valAx>
        <c:axId val="588863727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5236379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Shop_data_summary!$C$5:$E$5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14.629872772359004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DF-1748-A8F9-BFF59376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704895"/>
        <c:axId val="914914751"/>
      </c:barChart>
      <c:catAx>
        <c:axId val="539704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4914751"/>
        <c:crosses val="autoZero"/>
        <c:auto val="1"/>
        <c:lblAlgn val="ctr"/>
        <c:lblOffset val="100"/>
        <c:noMultiLvlLbl val="0"/>
      </c:catAx>
      <c:valAx>
        <c:axId val="91491475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3970489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Shop_data_summary!$C$6:$E$6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26.917509479505014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A-A241-8BA9-49C56A7DA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636575"/>
        <c:axId val="588407391"/>
      </c:barChart>
      <c:catAx>
        <c:axId val="540636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8407391"/>
        <c:crosses val="autoZero"/>
        <c:auto val="1"/>
        <c:lblAlgn val="ctr"/>
        <c:lblOffset val="100"/>
        <c:noMultiLvlLbl val="0"/>
      </c:catAx>
      <c:valAx>
        <c:axId val="58840739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4063657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Shop_data_summary!$C$7:$E$7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47.056096053755994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7-C04D-8A41-CD641F33F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5020319"/>
        <c:axId val="967539151"/>
      </c:barChart>
      <c:catAx>
        <c:axId val="895020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539151"/>
        <c:crosses val="autoZero"/>
        <c:auto val="1"/>
        <c:lblAlgn val="ctr"/>
        <c:lblOffset val="100"/>
        <c:noMultiLvlLbl val="0"/>
      </c:catAx>
      <c:valAx>
        <c:axId val="96753915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89502031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Shop_data_summary!$C$8:$E$8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27.661899673110995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B1-6D47-B46C-35AF25E5C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6831167"/>
        <c:axId val="539844543"/>
      </c:barChart>
      <c:catAx>
        <c:axId val="96683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844543"/>
        <c:crosses val="autoZero"/>
        <c:auto val="1"/>
        <c:lblAlgn val="ctr"/>
        <c:lblOffset val="100"/>
        <c:noMultiLvlLbl val="0"/>
      </c:catAx>
      <c:valAx>
        <c:axId val="539844543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9668311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Shop_data_summary!$C$9:$E$9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46.615043286725012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41-534A-A9B9-A1E97C13F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29567"/>
        <c:axId val="589073375"/>
      </c:barChart>
      <c:catAx>
        <c:axId val="524129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9073375"/>
        <c:crosses val="autoZero"/>
        <c:auto val="1"/>
        <c:lblAlgn val="ctr"/>
        <c:lblOffset val="100"/>
        <c:noMultiLvlLbl val="0"/>
      </c:catAx>
      <c:valAx>
        <c:axId val="589073375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24129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Shop_data_summary!$C$10:$E$10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25.689699396062998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C-FD41-8873-E1EE83E34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589535"/>
        <c:axId val="915346431"/>
      </c:barChart>
      <c:catAx>
        <c:axId val="577589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5346431"/>
        <c:crosses val="autoZero"/>
        <c:auto val="1"/>
        <c:lblAlgn val="ctr"/>
        <c:lblOffset val="100"/>
        <c:noMultiLvlLbl val="0"/>
      </c:catAx>
      <c:valAx>
        <c:axId val="91534643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7758953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J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Shop_data_summary!$C$11:$E$11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54.810155318355008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A-FD46-87EE-7C09D6FA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530911"/>
        <c:axId val="539966815"/>
      </c:barChart>
      <c:catAx>
        <c:axId val="834530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966815"/>
        <c:crosses val="autoZero"/>
        <c:auto val="1"/>
        <c:lblAlgn val="ctr"/>
        <c:lblOffset val="100"/>
        <c:noMultiLvlLbl val="0"/>
      </c:catAx>
      <c:valAx>
        <c:axId val="539966815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834530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Shop_data_summary!$C$12:$E$12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17.666973661388994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5-A14A-A9E0-51C8C8375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455183"/>
        <c:axId val="838160703"/>
      </c:barChart>
      <c:catAx>
        <c:axId val="650455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8160703"/>
        <c:crosses val="autoZero"/>
        <c:auto val="1"/>
        <c:lblAlgn val="ctr"/>
        <c:lblOffset val="100"/>
        <c:noMultiLvlLbl val="0"/>
      </c:catAx>
      <c:valAx>
        <c:axId val="838160703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6504551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Shop_data_summary!$C$13:$E$13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23.563020262123008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B-CA4A-A332-DC2AADAAE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982895"/>
        <c:axId val="914956911"/>
      </c:barChart>
      <c:catAx>
        <c:axId val="834982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4956911"/>
        <c:crosses val="autoZero"/>
        <c:auto val="1"/>
        <c:lblAlgn val="ctr"/>
        <c:lblOffset val="100"/>
        <c:noMultiLvlLbl val="0"/>
      </c:catAx>
      <c:valAx>
        <c:axId val="91495691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83498289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Shop_data_summary!$C$14:$E$14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9.9503431687569996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2-B349-BEDC-CD03A93A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7134127"/>
        <c:axId val="894798575"/>
      </c:barChart>
      <c:catAx>
        <c:axId val="8971341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4798575"/>
        <c:crosses val="autoZero"/>
        <c:auto val="1"/>
        <c:lblAlgn val="ctr"/>
        <c:lblOffset val="100"/>
        <c:noMultiLvlLbl val="0"/>
      </c:catAx>
      <c:valAx>
        <c:axId val="894798575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8971341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Shop_data_summary!$C$15:$E$15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64.001603703206001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08-6042-8AFE-859E8268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591983"/>
        <c:axId val="507668991"/>
      </c:barChart>
      <c:catAx>
        <c:axId val="6265919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668991"/>
        <c:crosses val="autoZero"/>
        <c:auto val="1"/>
        <c:lblAlgn val="ctr"/>
        <c:lblOffset val="100"/>
        <c:noMultiLvlLbl val="0"/>
      </c:catAx>
      <c:valAx>
        <c:axId val="507668991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6265919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Shop_data_summary!$C$16:$E$16</c:f>
              <c:numCache>
                <c:formatCode>0.0</c:formatCode>
                <c:ptCount val="3"/>
                <c:pt idx="0">
                  <c:v>90</c:v>
                </c:pt>
                <c:pt idx="1">
                  <c:v>72</c:v>
                </c:pt>
                <c:pt idx="2">
                  <c:v>4.0576920607389999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2-7C4A-B867-8C6D072FB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621183"/>
        <c:axId val="569150975"/>
      </c:barChart>
      <c:catAx>
        <c:axId val="52362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9150975"/>
        <c:crosses val="autoZero"/>
        <c:auto val="1"/>
        <c:lblAlgn val="ctr"/>
        <c:lblOffset val="100"/>
        <c:noMultiLvlLbl val="0"/>
      </c:catAx>
      <c:valAx>
        <c:axId val="569150975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236211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Shop_data_summary!$I$1</c:f>
              <c:strCache>
                <c:ptCount val="1"/>
                <c:pt idx="0">
                  <c:v>3pp搭售率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Shop_data_summary!$I$2:$I$16</c:f>
              <c:numCache>
                <c:formatCode>0.0%</c:formatCode>
                <c:ptCount val="15"/>
                <c:pt idx="0">
                  <c:v>0.24333535949290588</c:v>
                </c:pt>
                <c:pt idx="1">
                  <c:v>0.17545720885072411</c:v>
                </c:pt>
                <c:pt idx="2">
                  <c:v>0.10743266783097873</c:v>
                </c:pt>
                <c:pt idx="3">
                  <c:v>0.19025408137169944</c:v>
                </c:pt>
                <c:pt idx="4">
                  <c:v>0.19788141689340077</c:v>
                </c:pt>
                <c:pt idx="5">
                  <c:v>0.17956493002890228</c:v>
                </c:pt>
                <c:pt idx="6">
                  <c:v>0.17610155194323826</c:v>
                </c:pt>
                <c:pt idx="7">
                  <c:v>0.18935405470882988</c:v>
                </c:pt>
                <c:pt idx="8">
                  <c:v>0.17547086531035191</c:v>
                </c:pt>
                <c:pt idx="9">
                  <c:v>0.25987256691427463</c:v>
                </c:pt>
                <c:pt idx="10">
                  <c:v>0.19424598326837567</c:v>
                </c:pt>
                <c:pt idx="11">
                  <c:v>0.19768302335964283</c:v>
                </c:pt>
                <c:pt idx="12">
                  <c:v>0.16289167450045591</c:v>
                </c:pt>
                <c:pt idx="13">
                  <c:v>0.21852167728360247</c:v>
                </c:pt>
                <c:pt idx="14">
                  <c:v>0.14763249868815811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A8-AE40-BD9F-1BFE2059D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7133839"/>
        <c:axId val="526650911"/>
      </c:barChart>
      <c:scatterChart>
        <c:scatterStyle val="smoothMarker"/>
        <c:varyColors val="0"/>
        <c:ser>
          <c:idx val="0"/>
          <c:order val="0"/>
          <c:tx>
            <c:strRef>
              <c:f>Shop_data_summary!$H$1</c:f>
              <c:strCache>
                <c:ptCount val="1"/>
                <c:pt idx="0">
                  <c:v>3ppTarget</c:v>
                </c:pt>
              </c:strCache>
            </c:strRef>
          </c:tx>
          <c:marker>
            <c:symbol val="none"/>
          </c:marker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Shop_data_summary!$H$2:$H$16</c:f>
              <c:numCache>
                <c:formatCode>General</c:formatCode>
                <c:ptCount val="15"/>
                <c:pt idx="0">
                  <c:v>7.3999999999999996E-2</c:v>
                </c:pt>
                <c:pt idx="1">
                  <c:v>7.3999999999999996E-2</c:v>
                </c:pt>
                <c:pt idx="2">
                  <c:v>7.3999999999999996E-2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7.3999999999999996E-2</c:v>
                </c:pt>
                <c:pt idx="6">
                  <c:v>7.3999999999999996E-2</c:v>
                </c:pt>
                <c:pt idx="7">
                  <c:v>7.3999999999999996E-2</c:v>
                </c:pt>
                <c:pt idx="8">
                  <c:v>7.3999999999999996E-2</c:v>
                </c:pt>
                <c:pt idx="9">
                  <c:v>7.3999999999999996E-2</c:v>
                </c:pt>
                <c:pt idx="10">
                  <c:v>7.3999999999999996E-2</c:v>
                </c:pt>
                <c:pt idx="11">
                  <c:v>7.3999999999999996E-2</c:v>
                </c:pt>
                <c:pt idx="12">
                  <c:v>7.3999999999999996E-2</c:v>
                </c:pt>
                <c:pt idx="13">
                  <c:v>7.3999999999999996E-2</c:v>
                </c:pt>
                <c:pt idx="14">
                  <c:v>7.3999999999999996E-2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A8-AE40-BD9F-1BFE2059DB65}"/>
            </c:ext>
          </c:extLst>
        </c:ser>
        <c:ser>
          <c:idx val="2"/>
          <c:order val="2"/>
          <c:tx>
            <c:strRef>
              <c:f>Shop_data_summary!$J$1</c:f>
              <c:strCache>
                <c:ptCount val="1"/>
                <c:pt idx="0">
                  <c:v>get3ppAttTargtRate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Shop_data_summary!$J$2:$J$16</c:f>
              <c:numCache>
                <c:formatCode>0.0%</c:formatCode>
                <c:ptCount val="15"/>
                <c:pt idx="0">
                  <c:v>3.2883156688230528</c:v>
                </c:pt>
                <c:pt idx="1">
                  <c:v>2.3710433628476233</c:v>
                </c:pt>
                <c:pt idx="2">
                  <c:v>1.4517928085267395</c:v>
                </c:pt>
                <c:pt idx="3">
                  <c:v>2.5710010996175603</c:v>
                </c:pt>
                <c:pt idx="4">
                  <c:v>2.6740732012621726</c:v>
                </c:pt>
                <c:pt idx="5">
                  <c:v>2.4265531084986796</c:v>
                </c:pt>
                <c:pt idx="6">
                  <c:v>2.3797507019356523</c:v>
                </c:pt>
                <c:pt idx="7">
                  <c:v>2.55883857714635</c:v>
                </c:pt>
                <c:pt idx="8">
                  <c:v>2.3712279095993503</c:v>
                </c:pt>
                <c:pt idx="9">
                  <c:v>3.5117914447874949</c:v>
                </c:pt>
                <c:pt idx="10">
                  <c:v>2.6249457198429145</c:v>
                </c:pt>
                <c:pt idx="11">
                  <c:v>2.6713922075627412</c:v>
                </c:pt>
                <c:pt idx="12">
                  <c:v>2.2012388446007556</c:v>
                </c:pt>
                <c:pt idx="13">
                  <c:v>2.9529956389676011</c:v>
                </c:pt>
                <c:pt idx="14">
                  <c:v>1.9950337660561908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A8-AE40-BD9F-1BFE2059D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359375"/>
        <c:axId val="588882303"/>
      </c:scatterChart>
      <c:catAx>
        <c:axId val="837133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6650911"/>
        <c:crosses val="autoZero"/>
        <c:auto val="1"/>
        <c:lblAlgn val="ctr"/>
        <c:lblOffset val="100"/>
        <c:noMultiLvlLbl val="0"/>
      </c:catAx>
      <c:valAx>
        <c:axId val="52665091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837133839"/>
        <c:crosses val="autoZero"/>
        <c:crossBetween val="between"/>
      </c:valAx>
      <c:valAx>
        <c:axId val="58888230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15359375"/>
        <c:crosses val="max"/>
        <c:crossBetween val="midCat"/>
      </c:valAx>
      <c:valAx>
        <c:axId val="915359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88823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Shop_data_summary!$K$1</c:f>
              <c:strCache>
                <c:ptCount val="1"/>
                <c:pt idx="0">
                  <c:v>Apple呆滯數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Shop_data_summary!$K$2:$K$16</c:f>
              <c:numCache>
                <c:formatCode>General</c:formatCode>
                <c:ptCount val="15"/>
                <c:pt idx="0">
                  <c:v>13</c:v>
                </c:pt>
                <c:pt idx="1">
                  <c:v>14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4-394B-AD2A-D0AFA80D9174}"/>
            </c:ext>
          </c:extLst>
        </c:ser>
        <c:ser>
          <c:idx val="1"/>
          <c:order val="1"/>
          <c:tx>
            <c:strRef>
              <c:f>Shop_data_summary!$L$1</c:f>
              <c:strCache>
                <c:ptCount val="1"/>
                <c:pt idx="0">
                  <c:v>呆滯目標數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Shop_data_summary!$L$2:$L$16</c:f>
              <c:numCache>
                <c:formatCode>General</c:formatCode>
                <c:ptCount val="1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4-394B-AD2A-D0AFA80D9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641727"/>
        <c:axId val="776628479"/>
      </c:barChart>
      <c:catAx>
        <c:axId val="636641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6628479"/>
        <c:crosses val="autoZero"/>
        <c:auto val="1"/>
        <c:lblAlgn val="ctr"/>
        <c:lblOffset val="100"/>
        <c:noMultiLvlLbl val="0"/>
      </c:catAx>
      <c:valAx>
        <c:axId val="77662847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6417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cpu銷售數量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Shop_data_summary!$M$2:$M$16</c:f>
              <c:numCache>
                <c:formatCode>General</c:formatCode>
                <c:ptCount val="15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5</c:v>
                </c:pt>
                <c:pt idx="4">
                  <c:v>10</c:v>
                </c:pt>
                <c:pt idx="5">
                  <c:v>21</c:v>
                </c:pt>
                <c:pt idx="6">
                  <c:v>12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9</c:v>
                </c:pt>
                <c:pt idx="11">
                  <c:v>3</c:v>
                </c:pt>
                <c:pt idx="12">
                  <c:v>7</c:v>
                </c:pt>
                <c:pt idx="13">
                  <c:v>30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C-0C46-BA7A-FA4A0704239E}"/>
            </c:ext>
          </c:extLst>
        </c:ser>
        <c:ser>
          <c:idx val="1"/>
          <c:order val="1"/>
          <c:tx>
            <c:strRef>
              <c:f>Shop_data_summary!$N$1</c:f>
              <c:strCache>
                <c:ptCount val="1"/>
                <c:pt idx="0">
                  <c:v>cpu銷售目標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Shop_data_summary!$N$2:$N$16</c:f>
              <c:numCache>
                <c:formatCode>General</c:formatCode>
                <c:ptCount val="15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C-0C46-BA7A-FA4A0704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267759"/>
        <c:axId val="884938207"/>
      </c:barChart>
      <c:scatterChart>
        <c:scatterStyle val="smoothMarker"/>
        <c:varyColors val="0"/>
        <c:ser>
          <c:idx val="2"/>
          <c:order val="2"/>
          <c:tx>
            <c:strRef>
              <c:f>Shop_data_summary!$O$1</c:f>
              <c:strCache>
                <c:ptCount val="1"/>
                <c:pt idx="0">
                  <c:v>cpu目標達成率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Shop_data_summary!$O$2:$O$16</c:f>
              <c:numCache>
                <c:formatCode>0.0%</c:formatCode>
                <c:ptCount val="15"/>
                <c:pt idx="0">
                  <c:v>0.11666666666666667</c:v>
                </c:pt>
                <c:pt idx="1">
                  <c:v>0.11666666666666667</c:v>
                </c:pt>
                <c:pt idx="2">
                  <c:v>0.1</c:v>
                </c:pt>
                <c:pt idx="3">
                  <c:v>4.1666666666666664E-2</c:v>
                </c:pt>
                <c:pt idx="4">
                  <c:v>8.3333333333333329E-2</c:v>
                </c:pt>
                <c:pt idx="5">
                  <c:v>0.17499999999999999</c:v>
                </c:pt>
                <c:pt idx="6">
                  <c:v>0.1</c:v>
                </c:pt>
                <c:pt idx="7">
                  <c:v>0.15</c:v>
                </c:pt>
                <c:pt idx="8">
                  <c:v>0.15833333333333333</c:v>
                </c:pt>
                <c:pt idx="9">
                  <c:v>0.16666666666666666</c:v>
                </c:pt>
                <c:pt idx="10">
                  <c:v>7.4999999999999997E-2</c:v>
                </c:pt>
                <c:pt idx="11">
                  <c:v>2.5000000000000001E-2</c:v>
                </c:pt>
                <c:pt idx="12">
                  <c:v>5.8333333333333334E-2</c:v>
                </c:pt>
                <c:pt idx="13">
                  <c:v>0.25</c:v>
                </c:pt>
                <c:pt idx="14">
                  <c:v>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CC-0C46-BA7A-FA4A0704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77951"/>
        <c:axId val="568484847"/>
      </c:scatterChart>
      <c:catAx>
        <c:axId val="53726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4938207"/>
        <c:crosses val="autoZero"/>
        <c:auto val="1"/>
        <c:lblAlgn val="ctr"/>
        <c:lblOffset val="100"/>
        <c:noMultiLvlLbl val="0"/>
      </c:catAx>
      <c:valAx>
        <c:axId val="884938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537267759"/>
        <c:crosses val="autoZero"/>
        <c:crossBetween val="between"/>
      </c:valAx>
      <c:valAx>
        <c:axId val="56848484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52277951"/>
        <c:crosses val="max"/>
        <c:crossBetween val="midCat"/>
      </c:valAx>
      <c:valAx>
        <c:axId val="552277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848484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CPU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cpu銷售數量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Shop_data_summary!$M$2:$M$16</c:f>
              <c:numCache>
                <c:formatCode>General</c:formatCode>
                <c:ptCount val="15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5</c:v>
                </c:pt>
                <c:pt idx="4">
                  <c:v>10</c:v>
                </c:pt>
                <c:pt idx="5">
                  <c:v>21</c:v>
                </c:pt>
                <c:pt idx="6">
                  <c:v>12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9</c:v>
                </c:pt>
                <c:pt idx="11">
                  <c:v>3</c:v>
                </c:pt>
                <c:pt idx="12">
                  <c:v>7</c:v>
                </c:pt>
                <c:pt idx="13">
                  <c:v>30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71-D343-A2AF-B8F7C3449C20}"/>
            </c:ext>
          </c:extLst>
        </c:ser>
        <c:ser>
          <c:idx val="1"/>
          <c:order val="1"/>
          <c:tx>
            <c:strRef>
              <c:f>Shop_data_summary!$P$1</c:f>
              <c:strCache>
                <c:ptCount val="1"/>
                <c:pt idx="0">
                  <c:v>CPU_acpp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Shop_data_summary!$P$2:$P$16</c:f>
              <c:numCache>
                <c:formatCode>General</c:formatCode>
                <c:ptCount val="15"/>
                <c:pt idx="0">
                  <c:v>3</c:v>
                </c:pt>
                <c:pt idx="1">
                  <c:v>1</c:v>
                </c:pt>
                <c:pt idx="3">
                  <c:v>4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71-D343-A2AF-B8F7C3449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679999"/>
        <c:axId val="557681631"/>
      </c:barChart>
      <c:scatterChart>
        <c:scatterStyle val="smoothMarker"/>
        <c:varyColors val="0"/>
        <c:ser>
          <c:idx val="2"/>
          <c:order val="2"/>
          <c:tx>
            <c:strRef>
              <c:f>Shop_data_summary!$Q$1</c:f>
              <c:strCache>
                <c:ptCount val="1"/>
                <c:pt idx="0">
                  <c:v>acpp cpu搭售率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Shop_data_summary!$Q$2:$Q$16</c:f>
              <c:numCache>
                <c:formatCode>0.0%</c:formatCode>
                <c:ptCount val="15"/>
                <c:pt idx="0">
                  <c:v>0.21428571428571427</c:v>
                </c:pt>
                <c:pt idx="1">
                  <c:v>7.1428571428571425E-2</c:v>
                </c:pt>
                <c:pt idx="2">
                  <c:v>0</c:v>
                </c:pt>
                <c:pt idx="3">
                  <c:v>0.8</c:v>
                </c:pt>
                <c:pt idx="4">
                  <c:v>0</c:v>
                </c:pt>
                <c:pt idx="5">
                  <c:v>0.23809523809523808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0.26315789473684209</c:v>
                </c:pt>
                <c:pt idx="9">
                  <c:v>0.3</c:v>
                </c:pt>
                <c:pt idx="10">
                  <c:v>0.1111111111111111</c:v>
                </c:pt>
                <c:pt idx="11">
                  <c:v>0.66666666666666663</c:v>
                </c:pt>
                <c:pt idx="12">
                  <c:v>0.2857142857142857</c:v>
                </c:pt>
                <c:pt idx="13">
                  <c:v>0.43333333333333335</c:v>
                </c:pt>
                <c:pt idx="14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71-D343-A2AF-B8F7C3449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683967"/>
        <c:axId val="835557167"/>
      </c:scatterChart>
      <c:catAx>
        <c:axId val="55767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681631"/>
        <c:crosses val="autoZero"/>
        <c:auto val="1"/>
        <c:lblAlgn val="ctr"/>
        <c:lblOffset val="100"/>
        <c:noMultiLvlLbl val="0"/>
      </c:catAx>
      <c:valAx>
        <c:axId val="5576816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557679999"/>
        <c:crosses val="autoZero"/>
        <c:crossBetween val="between"/>
      </c:valAx>
      <c:valAx>
        <c:axId val="83555716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40683967"/>
        <c:crosses val="max"/>
        <c:crossBetween val="midCat"/>
      </c:valAx>
      <c:valAx>
        <c:axId val="540683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5571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iPad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Shop_data_summary!$R$1</c:f>
              <c:strCache>
                <c:ptCount val="1"/>
                <c:pt idx="0">
                  <c:v>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Shop_data_summary!$R$2:$R$16</c:f>
              <c:numCache>
                <c:formatCode>General</c:formatCode>
                <c:ptCount val="15"/>
                <c:pt idx="0">
                  <c:v>93</c:v>
                </c:pt>
                <c:pt idx="1">
                  <c:v>74</c:v>
                </c:pt>
                <c:pt idx="2">
                  <c:v>46</c:v>
                </c:pt>
                <c:pt idx="3">
                  <c:v>43</c:v>
                </c:pt>
                <c:pt idx="4">
                  <c:v>107</c:v>
                </c:pt>
                <c:pt idx="5">
                  <c:v>157</c:v>
                </c:pt>
                <c:pt idx="6">
                  <c:v>112</c:v>
                </c:pt>
                <c:pt idx="7">
                  <c:v>138</c:v>
                </c:pt>
                <c:pt idx="8">
                  <c:v>81</c:v>
                </c:pt>
                <c:pt idx="9">
                  <c:v>154</c:v>
                </c:pt>
                <c:pt idx="10">
                  <c:v>56</c:v>
                </c:pt>
                <c:pt idx="11">
                  <c:v>85</c:v>
                </c:pt>
                <c:pt idx="12">
                  <c:v>35</c:v>
                </c:pt>
                <c:pt idx="13">
                  <c:v>207</c:v>
                </c:pt>
                <c:pt idx="1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D6-F945-ACF5-F817E220541B}"/>
            </c:ext>
          </c:extLst>
        </c:ser>
        <c:ser>
          <c:idx val="1"/>
          <c:order val="1"/>
          <c:tx>
            <c:strRef>
              <c:f>Shop_data_summary!$S$1</c:f>
              <c:strCache>
                <c:ptCount val="1"/>
                <c:pt idx="0">
                  <c:v>acpp 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Shop_data_summary!$S$2:$S$16</c:f>
              <c:numCache>
                <c:formatCode>General</c:formatCode>
                <c:ptCount val="15"/>
                <c:pt idx="0">
                  <c:v>19</c:v>
                </c:pt>
                <c:pt idx="1">
                  <c:v>24</c:v>
                </c:pt>
                <c:pt idx="2">
                  <c:v>20</c:v>
                </c:pt>
                <c:pt idx="3">
                  <c:v>11</c:v>
                </c:pt>
                <c:pt idx="4">
                  <c:v>6</c:v>
                </c:pt>
                <c:pt idx="5">
                  <c:v>50</c:v>
                </c:pt>
                <c:pt idx="6">
                  <c:v>34</c:v>
                </c:pt>
                <c:pt idx="7">
                  <c:v>38</c:v>
                </c:pt>
                <c:pt idx="8">
                  <c:v>15</c:v>
                </c:pt>
                <c:pt idx="9">
                  <c:v>50</c:v>
                </c:pt>
                <c:pt idx="10">
                  <c:v>17</c:v>
                </c:pt>
                <c:pt idx="11">
                  <c:v>26</c:v>
                </c:pt>
                <c:pt idx="12">
                  <c:v>10</c:v>
                </c:pt>
                <c:pt idx="13">
                  <c:v>83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D6-F945-ACF5-F817E2205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491903"/>
        <c:axId val="1002873551"/>
      </c:barChart>
      <c:scatterChart>
        <c:scatterStyle val="smoothMarker"/>
        <c:varyColors val="0"/>
        <c:ser>
          <c:idx val="2"/>
          <c:order val="2"/>
          <c:tx>
            <c:strRef>
              <c:f>Shop_data_summary!$T$1</c:f>
              <c:strCache>
                <c:ptCount val="1"/>
                <c:pt idx="0">
                  <c:v>acpp ipad搭售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Shop_data_summary!$T$2:$T$16</c:f>
              <c:numCache>
                <c:formatCode>0.0%</c:formatCode>
                <c:ptCount val="15"/>
                <c:pt idx="0">
                  <c:v>0.20430107526881722</c:v>
                </c:pt>
                <c:pt idx="1">
                  <c:v>0.32432432432432434</c:v>
                </c:pt>
                <c:pt idx="2">
                  <c:v>0.43478260869565216</c:v>
                </c:pt>
                <c:pt idx="3">
                  <c:v>0.2558139534883721</c:v>
                </c:pt>
                <c:pt idx="4">
                  <c:v>5.6074766355140186E-2</c:v>
                </c:pt>
                <c:pt idx="5">
                  <c:v>0.31847133757961782</c:v>
                </c:pt>
                <c:pt idx="6">
                  <c:v>0.30357142857142855</c:v>
                </c:pt>
                <c:pt idx="7">
                  <c:v>0.27536231884057971</c:v>
                </c:pt>
                <c:pt idx="8">
                  <c:v>0.18518518518518517</c:v>
                </c:pt>
                <c:pt idx="9">
                  <c:v>0.32467532467532467</c:v>
                </c:pt>
                <c:pt idx="10">
                  <c:v>0.30357142857142855</c:v>
                </c:pt>
                <c:pt idx="11">
                  <c:v>0.30588235294117649</c:v>
                </c:pt>
                <c:pt idx="12">
                  <c:v>0.2857142857142857</c:v>
                </c:pt>
                <c:pt idx="13">
                  <c:v>0.40096618357487923</c:v>
                </c:pt>
                <c:pt idx="14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D6-F945-ACF5-F817E2205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06223"/>
        <c:axId val="540457647"/>
      </c:scatterChart>
      <c:catAx>
        <c:axId val="557491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2873551"/>
        <c:crosses val="autoZero"/>
        <c:auto val="1"/>
        <c:lblAlgn val="ctr"/>
        <c:lblOffset val="100"/>
        <c:noMultiLvlLbl val="0"/>
      </c:catAx>
      <c:valAx>
        <c:axId val="10028735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557491903"/>
        <c:crosses val="autoZero"/>
        <c:crossBetween val="between"/>
      </c:valAx>
      <c:valAx>
        <c:axId val="54045764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6106223"/>
        <c:crosses val="max"/>
        <c:crossBetween val="midCat"/>
      </c:valAx>
      <c:valAx>
        <c:axId val="62610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45764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Watch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Shop_data_summary!$U$1</c:f>
              <c:strCache>
                <c:ptCount val="1"/>
                <c:pt idx="0">
                  <c:v>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Shop_data_summary!$U$2:$U$16</c:f>
              <c:numCache>
                <c:formatCode>General</c:formatCode>
                <c:ptCount val="15"/>
                <c:pt idx="0">
                  <c:v>62</c:v>
                </c:pt>
                <c:pt idx="1">
                  <c:v>37</c:v>
                </c:pt>
                <c:pt idx="2">
                  <c:v>19</c:v>
                </c:pt>
                <c:pt idx="3">
                  <c:v>23</c:v>
                </c:pt>
                <c:pt idx="4">
                  <c:v>39</c:v>
                </c:pt>
                <c:pt idx="5">
                  <c:v>60</c:v>
                </c:pt>
                <c:pt idx="6">
                  <c:v>44</c:v>
                </c:pt>
                <c:pt idx="7">
                  <c:v>96</c:v>
                </c:pt>
                <c:pt idx="8">
                  <c:v>28</c:v>
                </c:pt>
                <c:pt idx="9">
                  <c:v>108</c:v>
                </c:pt>
                <c:pt idx="10">
                  <c:v>19</c:v>
                </c:pt>
                <c:pt idx="11">
                  <c:v>37</c:v>
                </c:pt>
                <c:pt idx="12">
                  <c:v>18</c:v>
                </c:pt>
                <c:pt idx="13">
                  <c:v>118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4-D842-91F6-59FCBB183857}"/>
            </c:ext>
          </c:extLst>
        </c:ser>
        <c:ser>
          <c:idx val="1"/>
          <c:order val="1"/>
          <c:tx>
            <c:strRef>
              <c:f>Shop_data_summary!$V$1</c:f>
              <c:strCache>
                <c:ptCount val="1"/>
                <c:pt idx="0">
                  <c:v>acpp 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Shop_data_summary!$V$2:$V$16</c:f>
              <c:numCache>
                <c:formatCode>General</c:formatCode>
                <c:ptCount val="1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2</c:v>
                </c:pt>
                <c:pt idx="7">
                  <c:v>7</c:v>
                </c:pt>
                <c:pt idx="8">
                  <c:v>2</c:v>
                </c:pt>
                <c:pt idx="9">
                  <c:v>9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4-D842-91F6-59FCBB183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454079"/>
        <c:axId val="557455711"/>
      </c:barChart>
      <c:scatterChart>
        <c:scatterStyle val="smoothMarker"/>
        <c:varyColors val="0"/>
        <c:ser>
          <c:idx val="2"/>
          <c:order val="2"/>
          <c:tx>
            <c:strRef>
              <c:f>Shop_data_summary!$W$1</c:f>
              <c:strCache>
                <c:ptCount val="1"/>
                <c:pt idx="0">
                  <c:v>acpp watch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Shop_data_summary!$W$2:$W$16</c:f>
              <c:numCache>
                <c:formatCode>0.0%</c:formatCode>
                <c:ptCount val="15"/>
                <c:pt idx="0">
                  <c:v>6.4516129032258063E-2</c:v>
                </c:pt>
                <c:pt idx="1">
                  <c:v>0.13513513513513514</c:v>
                </c:pt>
                <c:pt idx="2">
                  <c:v>5.2631578947368418E-2</c:v>
                </c:pt>
                <c:pt idx="3">
                  <c:v>0.13043478260869565</c:v>
                </c:pt>
                <c:pt idx="4">
                  <c:v>5.128205128205128E-2</c:v>
                </c:pt>
                <c:pt idx="5">
                  <c:v>0.11666666666666667</c:v>
                </c:pt>
                <c:pt idx="6">
                  <c:v>4.5454545454545456E-2</c:v>
                </c:pt>
                <c:pt idx="7">
                  <c:v>7.2916666666666671E-2</c:v>
                </c:pt>
                <c:pt idx="8">
                  <c:v>7.1428571428571425E-2</c:v>
                </c:pt>
                <c:pt idx="9">
                  <c:v>8.3333333333333329E-2</c:v>
                </c:pt>
                <c:pt idx="10">
                  <c:v>0.10526315789473684</c:v>
                </c:pt>
                <c:pt idx="11">
                  <c:v>8.1081081081081086E-2</c:v>
                </c:pt>
                <c:pt idx="12">
                  <c:v>0.27777777777777779</c:v>
                </c:pt>
                <c:pt idx="13">
                  <c:v>6.7796610169491525E-2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24-D842-91F6-59FCBB183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570175"/>
        <c:axId val="538658143"/>
      </c:scatterChart>
      <c:catAx>
        <c:axId val="557454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455711"/>
        <c:crosses val="autoZero"/>
        <c:auto val="1"/>
        <c:lblAlgn val="ctr"/>
        <c:lblOffset val="100"/>
        <c:noMultiLvlLbl val="0"/>
      </c:catAx>
      <c:valAx>
        <c:axId val="5574557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557454079"/>
        <c:crosses val="autoZero"/>
        <c:crossBetween val="between"/>
      </c:valAx>
      <c:valAx>
        <c:axId val="53865814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6570175"/>
        <c:crosses val="max"/>
        <c:crossBetween val="midCat"/>
      </c:valAx>
      <c:valAx>
        <c:axId val="626570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865814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iPhone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Shop_data_summary!$X$1</c:f>
              <c:strCache>
                <c:ptCount val="1"/>
                <c:pt idx="0">
                  <c:v>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Shop_data_summary!$X$2:$X$16</c:f>
              <c:numCache>
                <c:formatCode>General</c:formatCode>
                <c:ptCount val="15"/>
                <c:pt idx="0">
                  <c:v>35</c:v>
                </c:pt>
                <c:pt idx="1">
                  <c:v>18</c:v>
                </c:pt>
                <c:pt idx="2">
                  <c:v>13</c:v>
                </c:pt>
                <c:pt idx="3">
                  <c:v>6</c:v>
                </c:pt>
                <c:pt idx="4">
                  <c:v>5</c:v>
                </c:pt>
                <c:pt idx="5">
                  <c:v>30</c:v>
                </c:pt>
                <c:pt idx="6">
                  <c:v>16</c:v>
                </c:pt>
                <c:pt idx="7">
                  <c:v>33</c:v>
                </c:pt>
                <c:pt idx="8">
                  <c:v>22</c:v>
                </c:pt>
                <c:pt idx="9">
                  <c:v>26</c:v>
                </c:pt>
                <c:pt idx="10">
                  <c:v>10</c:v>
                </c:pt>
                <c:pt idx="11">
                  <c:v>17</c:v>
                </c:pt>
                <c:pt idx="12">
                  <c:v>1</c:v>
                </c:pt>
                <c:pt idx="13">
                  <c:v>48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4-2748-84C3-E9546291FFBF}"/>
            </c:ext>
          </c:extLst>
        </c:ser>
        <c:ser>
          <c:idx val="1"/>
          <c:order val="1"/>
          <c:tx>
            <c:strRef>
              <c:f>Shop_data_summary!$Y$1</c:f>
              <c:strCache>
                <c:ptCount val="1"/>
                <c:pt idx="0">
                  <c:v>acpp 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Shop_data_summary!$Y$2:$Y$16</c:f>
              <c:numCache>
                <c:formatCode>General</c:formatCode>
                <c:ptCount val="15"/>
                <c:pt idx="0">
                  <c:v>6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  <c:pt idx="11">
                  <c:v>1</c:v>
                </c:pt>
                <c:pt idx="13">
                  <c:v>13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4-2748-84C3-E9546291F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782751"/>
        <c:axId val="530203311"/>
      </c:barChart>
      <c:scatterChart>
        <c:scatterStyle val="smoothMarker"/>
        <c:varyColors val="0"/>
        <c:ser>
          <c:idx val="2"/>
          <c:order val="2"/>
          <c:tx>
            <c:strRef>
              <c:f>Shop_data_summary!$Z$1</c:f>
              <c:strCache>
                <c:ptCount val="1"/>
                <c:pt idx="0">
                  <c:v>acpp iphone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Shop_data_summary!$Z$2:$Z$16</c:f>
              <c:numCache>
                <c:formatCode>0.0%</c:formatCode>
                <c:ptCount val="15"/>
                <c:pt idx="0">
                  <c:v>0.17142857142857143</c:v>
                </c:pt>
                <c:pt idx="1">
                  <c:v>0.16666666666666666</c:v>
                </c:pt>
                <c:pt idx="2">
                  <c:v>7.6923076923076927E-2</c:v>
                </c:pt>
                <c:pt idx="3">
                  <c:v>0.33333333333333331</c:v>
                </c:pt>
                <c:pt idx="4">
                  <c:v>0.4</c:v>
                </c:pt>
                <c:pt idx="5">
                  <c:v>0.2</c:v>
                </c:pt>
                <c:pt idx="6">
                  <c:v>0</c:v>
                </c:pt>
                <c:pt idx="7">
                  <c:v>0.15151515151515152</c:v>
                </c:pt>
                <c:pt idx="8">
                  <c:v>9.0909090909090912E-2</c:v>
                </c:pt>
                <c:pt idx="9">
                  <c:v>0.23076923076923078</c:v>
                </c:pt>
                <c:pt idx="10">
                  <c:v>0.1</c:v>
                </c:pt>
                <c:pt idx="11">
                  <c:v>5.8823529411764705E-2</c:v>
                </c:pt>
                <c:pt idx="12">
                  <c:v>0</c:v>
                </c:pt>
                <c:pt idx="13">
                  <c:v>0.27083333333333331</c:v>
                </c:pt>
                <c:pt idx="14">
                  <c:v>0.7142857142857143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74-2748-84C3-E9546291F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805887"/>
        <c:axId val="919365999"/>
      </c:scatterChart>
      <c:catAx>
        <c:axId val="529782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0203311"/>
        <c:crosses val="autoZero"/>
        <c:auto val="1"/>
        <c:lblAlgn val="ctr"/>
        <c:lblOffset val="100"/>
        <c:noMultiLvlLbl val="0"/>
      </c:catAx>
      <c:valAx>
        <c:axId val="5302033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529782751"/>
        <c:crosses val="autoZero"/>
        <c:crossBetween val="between"/>
      </c:valAx>
      <c:valAx>
        <c:axId val="91936599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06805887"/>
        <c:crosses val="max"/>
        <c:crossBetween val="midCat"/>
      </c:valAx>
      <c:valAx>
        <c:axId val="6068058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936599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AirPods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Shop_data_summary!$AA$1</c:f>
              <c:strCache>
                <c:ptCount val="1"/>
                <c:pt idx="0">
                  <c:v>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Shop_data_summary!$AA$2:$AA$16</c:f>
              <c:numCache>
                <c:formatCode>General</c:formatCode>
                <c:ptCount val="15"/>
                <c:pt idx="0">
                  <c:v>203</c:v>
                </c:pt>
                <c:pt idx="1">
                  <c:v>153</c:v>
                </c:pt>
                <c:pt idx="2">
                  <c:v>109</c:v>
                </c:pt>
                <c:pt idx="3">
                  <c:v>85</c:v>
                </c:pt>
                <c:pt idx="4">
                  <c:v>155</c:v>
                </c:pt>
                <c:pt idx="5">
                  <c:v>231</c:v>
                </c:pt>
                <c:pt idx="6">
                  <c:v>150</c:v>
                </c:pt>
                <c:pt idx="7">
                  <c:v>271</c:v>
                </c:pt>
                <c:pt idx="8">
                  <c:v>105</c:v>
                </c:pt>
                <c:pt idx="9">
                  <c:v>269</c:v>
                </c:pt>
                <c:pt idx="10">
                  <c:v>86</c:v>
                </c:pt>
                <c:pt idx="11">
                  <c:v>130</c:v>
                </c:pt>
                <c:pt idx="12">
                  <c:v>61</c:v>
                </c:pt>
                <c:pt idx="13">
                  <c:v>270</c:v>
                </c:pt>
                <c:pt idx="1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B1-F343-ADDB-9CA829F07C3A}"/>
            </c:ext>
          </c:extLst>
        </c:ser>
        <c:ser>
          <c:idx val="1"/>
          <c:order val="1"/>
          <c:tx>
            <c:strRef>
              <c:f>Shop_data_summary!$AB$1</c:f>
              <c:strCache>
                <c:ptCount val="1"/>
                <c:pt idx="0">
                  <c:v>acpp 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cat>
          <c:val>
            <c:numRef>
              <c:f>Shop_data_summary!$AB$2:$AB$16</c:f>
              <c:numCache>
                <c:formatCode>General</c:formatCode>
                <c:ptCount val="15"/>
                <c:pt idx="0">
                  <c:v>17</c:v>
                </c:pt>
                <c:pt idx="1">
                  <c:v>19</c:v>
                </c:pt>
                <c:pt idx="2">
                  <c:v>12</c:v>
                </c:pt>
                <c:pt idx="3">
                  <c:v>17</c:v>
                </c:pt>
                <c:pt idx="4">
                  <c:v>3</c:v>
                </c:pt>
                <c:pt idx="5">
                  <c:v>29</c:v>
                </c:pt>
                <c:pt idx="6">
                  <c:v>13</c:v>
                </c:pt>
                <c:pt idx="7">
                  <c:v>12</c:v>
                </c:pt>
                <c:pt idx="8">
                  <c:v>2</c:v>
                </c:pt>
                <c:pt idx="9">
                  <c:v>13</c:v>
                </c:pt>
                <c:pt idx="10">
                  <c:v>8</c:v>
                </c:pt>
                <c:pt idx="11">
                  <c:v>5</c:v>
                </c:pt>
                <c:pt idx="12">
                  <c:v>26</c:v>
                </c:pt>
                <c:pt idx="13">
                  <c:v>23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B1-F343-ADDB-9CA829F07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3173279"/>
        <c:axId val="605451055"/>
      </c:barChart>
      <c:scatterChart>
        <c:scatterStyle val="smoothMarker"/>
        <c:varyColors val="0"/>
        <c:ser>
          <c:idx val="2"/>
          <c:order val="2"/>
          <c:tx>
            <c:strRef>
              <c:f>Shop_data_summary!$AC$1</c:f>
              <c:strCache>
                <c:ptCount val="1"/>
                <c:pt idx="0">
                  <c:v>acpp airpod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Shop_data_summary!$B$2:$B$16</c:f>
              <c:strCache>
                <c:ptCount val="1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  <c:pt idx="12">
                  <c:v>M</c:v>
                </c:pt>
                <c:pt idx="13">
                  <c:v>N</c:v>
                </c:pt>
                <c:pt idx="14">
                  <c:v>O</c:v>
                </c:pt>
              </c:strCache>
            </c:strRef>
          </c:xVal>
          <c:yVal>
            <c:numRef>
              <c:f>Shop_data_summary!$AC$2:$AC$16</c:f>
              <c:numCache>
                <c:formatCode>0.0%</c:formatCode>
                <c:ptCount val="15"/>
                <c:pt idx="0">
                  <c:v>8.3743842364532015E-2</c:v>
                </c:pt>
                <c:pt idx="1">
                  <c:v>0.12418300653594772</c:v>
                </c:pt>
                <c:pt idx="2">
                  <c:v>0.11009174311926606</c:v>
                </c:pt>
                <c:pt idx="3">
                  <c:v>0.2</c:v>
                </c:pt>
                <c:pt idx="4">
                  <c:v>1.935483870967742E-2</c:v>
                </c:pt>
                <c:pt idx="5">
                  <c:v>0.12554112554112554</c:v>
                </c:pt>
                <c:pt idx="6">
                  <c:v>8.666666666666667E-2</c:v>
                </c:pt>
                <c:pt idx="7">
                  <c:v>4.4280442804428041E-2</c:v>
                </c:pt>
                <c:pt idx="8">
                  <c:v>1.9047619047619049E-2</c:v>
                </c:pt>
                <c:pt idx="9">
                  <c:v>4.8327137546468404E-2</c:v>
                </c:pt>
                <c:pt idx="10">
                  <c:v>9.3023255813953487E-2</c:v>
                </c:pt>
                <c:pt idx="11">
                  <c:v>3.8461538461538464E-2</c:v>
                </c:pt>
                <c:pt idx="12">
                  <c:v>0.42622950819672129</c:v>
                </c:pt>
                <c:pt idx="13">
                  <c:v>8.5185185185185183E-2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1-F343-ADDB-9CA829F07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71167"/>
        <c:axId val="633669359"/>
      </c:scatterChart>
      <c:catAx>
        <c:axId val="893173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5451055"/>
        <c:crosses val="autoZero"/>
        <c:auto val="1"/>
        <c:lblAlgn val="ctr"/>
        <c:lblOffset val="100"/>
        <c:noMultiLvlLbl val="0"/>
      </c:catAx>
      <c:valAx>
        <c:axId val="6054510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893173279"/>
        <c:crosses val="autoZero"/>
        <c:crossBetween val="between"/>
      </c:valAx>
      <c:valAx>
        <c:axId val="63366935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997571167"/>
        <c:crosses val="max"/>
        <c:crossBetween val="midCat"/>
      </c:valAx>
      <c:valAx>
        <c:axId val="997571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366935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cat>
          <c:val>
            <c:numRef>
              <c:f>Staff_data_summary!$E$2:$E$7</c:f>
              <c:numCache>
                <c:formatCode>0.0</c:formatCode>
                <c:ptCount val="6"/>
                <c:pt idx="0">
                  <c:v>31.224646999999997</c:v>
                </c:pt>
                <c:pt idx="1">
                  <c:v>31.369570999999997</c:v>
                </c:pt>
                <c:pt idx="2">
                  <c:v>62.827263000000002</c:v>
                </c:pt>
                <c:pt idx="3">
                  <c:v>41.749877000000005</c:v>
                </c:pt>
                <c:pt idx="4">
                  <c:v>56.063138000000009</c:v>
                </c:pt>
                <c:pt idx="5">
                  <c:v>45.928587999999991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B-5F4F-8E57-FD2BB0E882F2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cat>
          <c:val>
            <c:numRef>
              <c:f>Staff_data_summary!$F$2:$F$7</c:f>
              <c:numCache>
                <c:formatCode>0.0</c:formatCode>
                <c:ptCount val="6"/>
                <c:pt idx="0">
                  <c:v>4.4826869999999994</c:v>
                </c:pt>
                <c:pt idx="1">
                  <c:v>4.290640999999999</c:v>
                </c:pt>
                <c:pt idx="2">
                  <c:v>8.6428129999999985</c:v>
                </c:pt>
                <c:pt idx="3">
                  <c:v>6.9813419999999997</c:v>
                </c:pt>
                <c:pt idx="4">
                  <c:v>8.0300770000000004</c:v>
                </c:pt>
                <c:pt idx="5">
                  <c:v>7.5809210000000009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8B-5F4F-8E57-FD2BB0E8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862559"/>
        <c:axId val="629093055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xVal>
          <c:yVal>
            <c:numRef>
              <c:f>Staff_data_summary!$G$2:$G$7</c:f>
              <c:numCache>
                <c:formatCode>0.0%</c:formatCode>
                <c:ptCount val="6"/>
                <c:pt idx="0">
                  <c:v>0.14356245564601577</c:v>
                </c:pt>
                <c:pt idx="1">
                  <c:v>0.13677716536193624</c:v>
                </c:pt>
                <c:pt idx="2">
                  <c:v>0.13756469066621602</c:v>
                </c:pt>
                <c:pt idx="3">
                  <c:v>0.16721826509812229</c:v>
                </c:pt>
                <c:pt idx="4">
                  <c:v>0.14323274234132236</c:v>
                </c:pt>
                <c:pt idx="5">
                  <c:v>0.16505887357129295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8B-5F4F-8E57-FD2BB0E8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872015"/>
        <c:axId val="537140719"/>
      </c:scatterChart>
      <c:catAx>
        <c:axId val="605862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9093055"/>
        <c:crosses val="autoZero"/>
        <c:auto val="1"/>
        <c:lblAlgn val="ctr"/>
        <c:lblOffset val="100"/>
        <c:noMultiLvlLbl val="0"/>
      </c:catAx>
      <c:valAx>
        <c:axId val="629093055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05862559"/>
        <c:crosses val="autoZero"/>
        <c:crossBetween val="between"/>
      </c:valAx>
      <c:valAx>
        <c:axId val="53714071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1029872015"/>
        <c:crosses val="max"/>
        <c:crossBetween val="midCat"/>
      </c:valAx>
      <c:valAx>
        <c:axId val="1029872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1407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cat>
          <c:val>
            <c:numRef>
              <c:f>Staff_data_summary!$H$2:$H$7</c:f>
              <c:numCache>
                <c:formatCode>General</c:formatCode>
                <c:ptCount val="6"/>
                <c:pt idx="0">
                  <c:v>23</c:v>
                </c:pt>
                <c:pt idx="1">
                  <c:v>24</c:v>
                </c:pt>
                <c:pt idx="2">
                  <c:v>43</c:v>
                </c:pt>
                <c:pt idx="3">
                  <c:v>29</c:v>
                </c:pt>
                <c:pt idx="4">
                  <c:v>48</c:v>
                </c:pt>
                <c:pt idx="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7-2740-BE0C-008970453AD1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cat>
          <c:val>
            <c:numRef>
              <c:f>Staff_data_summary!$I$2:$I$7</c:f>
              <c:numCache>
                <c:formatCode>General</c:formatCode>
                <c:ptCount val="6"/>
                <c:pt idx="0">
                  <c:v>11</c:v>
                </c:pt>
                <c:pt idx="1">
                  <c:v>3</c:v>
                </c:pt>
                <c:pt idx="2">
                  <c:v>6</c:v>
                </c:pt>
                <c:pt idx="3">
                  <c:v>5</c:v>
                </c:pt>
                <c:pt idx="4">
                  <c:v>12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27-2740-BE0C-00897045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056751"/>
        <c:axId val="579462799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Staff_data_summary!$D$2:$D$7</c:f>
              <c:strCache>
                <c:ptCount val="6"/>
                <c:pt idx="0">
                  <c:v>박한희</c:v>
                </c:pt>
                <c:pt idx="1">
                  <c:v>남윤아</c:v>
                </c:pt>
                <c:pt idx="2">
                  <c:v>김진홍</c:v>
                </c:pt>
                <c:pt idx="3">
                  <c:v>안종석</c:v>
                </c:pt>
                <c:pt idx="4">
                  <c:v>박진혁</c:v>
                </c:pt>
                <c:pt idx="5">
                  <c:v>모가윤</c:v>
                </c:pt>
              </c:strCache>
            </c:strRef>
          </c:xVal>
          <c:yVal>
            <c:numRef>
              <c:f>Staff_data_summary!$J$2:$J$7</c:f>
              <c:numCache>
                <c:formatCode>0.0%</c:formatCode>
                <c:ptCount val="6"/>
                <c:pt idx="0">
                  <c:v>0.47826086956521741</c:v>
                </c:pt>
                <c:pt idx="1">
                  <c:v>0.125</c:v>
                </c:pt>
                <c:pt idx="2">
                  <c:v>0.13953488372093023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0.32432432432432434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27-2740-BE0C-00897045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633343"/>
        <c:axId val="882740255"/>
      </c:scatterChart>
      <c:catAx>
        <c:axId val="1030056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9462799"/>
        <c:crosses val="autoZero"/>
        <c:auto val="1"/>
        <c:lblAlgn val="ctr"/>
        <c:lblOffset val="100"/>
        <c:noMultiLvlLbl val="0"/>
      </c:catAx>
      <c:valAx>
        <c:axId val="579462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1030056751"/>
        <c:crosses val="autoZero"/>
        <c:crossBetween val="between"/>
      </c:valAx>
      <c:valAx>
        <c:axId val="88274025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62633343"/>
        <c:crosses val="max"/>
        <c:crossBetween val="midCat"/>
      </c:valAx>
      <c:valAx>
        <c:axId val="5626333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274025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cat>
          <c:val>
            <c:numRef>
              <c:f>Staff_data_summary!$E$8:$E$12</c:f>
              <c:numCache>
                <c:formatCode>0.0</c:formatCode>
                <c:ptCount val="5"/>
                <c:pt idx="0">
                  <c:v>4.0418180000000001</c:v>
                </c:pt>
                <c:pt idx="1">
                  <c:v>54.995101999999996</c:v>
                </c:pt>
                <c:pt idx="2">
                  <c:v>45.832806000000012</c:v>
                </c:pt>
                <c:pt idx="3">
                  <c:v>61.795580999999999</c:v>
                </c:pt>
                <c:pt idx="4">
                  <c:v>24.928903999999999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23-D647-86E0-0BBE76CF5A46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cat>
          <c:val>
            <c:numRef>
              <c:f>Staff_data_summary!$F$8:$F$12</c:f>
              <c:numCache>
                <c:formatCode>0.0</c:formatCode>
                <c:ptCount val="5"/>
                <c:pt idx="0">
                  <c:v>0.41332100000000005</c:v>
                </c:pt>
                <c:pt idx="1">
                  <c:v>7.9640759999999995</c:v>
                </c:pt>
                <c:pt idx="2">
                  <c:v>6.8009379999999995</c:v>
                </c:pt>
                <c:pt idx="3">
                  <c:v>8.4853420000000011</c:v>
                </c:pt>
                <c:pt idx="4">
                  <c:v>4.2535229999999995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23-D647-86E0-0BBE76CF5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3347807"/>
        <c:axId val="528682815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xVal>
          <c:yVal>
            <c:numRef>
              <c:f>Staff_data_summary!$G$8:$G$12</c:f>
              <c:numCache>
                <c:formatCode>0.0%</c:formatCode>
                <c:ptCount val="5"/>
                <c:pt idx="0">
                  <c:v>0.10226116069550881</c:v>
                </c:pt>
                <c:pt idx="1">
                  <c:v>0.14481427818790119</c:v>
                </c:pt>
                <c:pt idx="2">
                  <c:v>0.14838580906436316</c:v>
                </c:pt>
                <c:pt idx="3">
                  <c:v>0.13731308716071464</c:v>
                </c:pt>
                <c:pt idx="4">
                  <c:v>0.17062615348031343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23-D647-86E0-0BBE76CF5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72479"/>
        <c:axId val="562754239"/>
      </c:scatterChart>
      <c:catAx>
        <c:axId val="893347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8682815"/>
        <c:crosses val="autoZero"/>
        <c:auto val="1"/>
        <c:lblAlgn val="ctr"/>
        <c:lblOffset val="100"/>
        <c:noMultiLvlLbl val="0"/>
      </c:catAx>
      <c:valAx>
        <c:axId val="528682815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893347807"/>
        <c:crosses val="autoZero"/>
        <c:crossBetween val="between"/>
      </c:valAx>
      <c:valAx>
        <c:axId val="56275423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62772479"/>
        <c:crosses val="max"/>
        <c:crossBetween val="midCat"/>
      </c:valAx>
      <c:valAx>
        <c:axId val="562772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27542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cat>
          <c:val>
            <c:numRef>
              <c:f>Staff_data_summary!$H$8:$H$12</c:f>
              <c:numCache>
                <c:formatCode>General</c:formatCode>
                <c:ptCount val="5"/>
                <c:pt idx="0">
                  <c:v>2</c:v>
                </c:pt>
                <c:pt idx="1">
                  <c:v>41</c:v>
                </c:pt>
                <c:pt idx="2">
                  <c:v>41</c:v>
                </c:pt>
                <c:pt idx="3">
                  <c:v>40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5-9D41-BA69-F5B33BD3F114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cat>
          <c:val>
            <c:numRef>
              <c:f>Staff_data_summary!$I$8:$I$12</c:f>
              <c:numCache>
                <c:formatCode>General</c:formatCode>
                <c:ptCount val="5"/>
                <c:pt idx="0">
                  <c:v>1</c:v>
                </c:pt>
                <c:pt idx="1">
                  <c:v>19</c:v>
                </c:pt>
                <c:pt idx="2">
                  <c:v>12</c:v>
                </c:pt>
                <c:pt idx="3">
                  <c:v>14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5-9D41-BA69-F5B33BD3F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139087"/>
        <c:axId val="636210367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Staff_data_summary!$D$8:$D$12</c:f>
              <c:strCache>
                <c:ptCount val="5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  <c:pt idx="3">
                  <c:v>엄민우</c:v>
                </c:pt>
                <c:pt idx="4">
                  <c:v>이동은</c:v>
                </c:pt>
              </c:strCache>
            </c:strRef>
          </c:xVal>
          <c:yVal>
            <c:numRef>
              <c:f>Staff_data_summary!$J$8:$J$12</c:f>
              <c:numCache>
                <c:formatCode>0.0%</c:formatCode>
                <c:ptCount val="5"/>
                <c:pt idx="0">
                  <c:v>0.5</c:v>
                </c:pt>
                <c:pt idx="1">
                  <c:v>0.46341463414634149</c:v>
                </c:pt>
                <c:pt idx="2">
                  <c:v>0.29268292682926828</c:v>
                </c:pt>
                <c:pt idx="3">
                  <c:v>0.35</c:v>
                </c:pt>
                <c:pt idx="4">
                  <c:v>0.31578947368421051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95-9D41-BA69-F5B33BD3F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118383"/>
        <c:axId val="605597439"/>
      </c:scatterChart>
      <c:catAx>
        <c:axId val="628139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6210367"/>
        <c:crosses val="autoZero"/>
        <c:auto val="1"/>
        <c:lblAlgn val="ctr"/>
        <c:lblOffset val="100"/>
        <c:noMultiLvlLbl val="0"/>
      </c:catAx>
      <c:valAx>
        <c:axId val="6362103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628139087"/>
        <c:crosses val="autoZero"/>
        <c:crossBetween val="between"/>
      </c:valAx>
      <c:valAx>
        <c:axId val="60559743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1001118383"/>
        <c:crosses val="max"/>
        <c:crossBetween val="midCat"/>
      </c:valAx>
      <c:valAx>
        <c:axId val="1001118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55974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cat>
          <c:val>
            <c:numRef>
              <c:f>Staff_data_summary!$E$13:$E$15</c:f>
              <c:numCache>
                <c:formatCode>0.0</c:formatCode>
                <c:ptCount val="3"/>
                <c:pt idx="0">
                  <c:v>45.384180000000001</c:v>
                </c:pt>
                <c:pt idx="1">
                  <c:v>42.319250999999994</c:v>
                </c:pt>
                <c:pt idx="2">
                  <c:v>44.206454000000008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FA-B64C-B672-6A0FBF151769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cat>
          <c:val>
            <c:numRef>
              <c:f>Staff_data_summary!$F$13:$F$15</c:f>
              <c:numCache>
                <c:formatCode>0.0</c:formatCode>
                <c:ptCount val="3"/>
                <c:pt idx="0">
                  <c:v>6.3442539999999985</c:v>
                </c:pt>
                <c:pt idx="1">
                  <c:v>5.1759740000000001</c:v>
                </c:pt>
                <c:pt idx="2">
                  <c:v>6.7725989999999996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FA-B64C-B672-6A0FBF151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8336095"/>
        <c:axId val="818337727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xVal>
          <c:yVal>
            <c:numRef>
              <c:f>Staff_data_summary!$G$13:$G$15</c:f>
              <c:numCache>
                <c:formatCode>0.0%</c:formatCode>
                <c:ptCount val="3"/>
                <c:pt idx="0">
                  <c:v>0.13978998849378788</c:v>
                </c:pt>
                <c:pt idx="1">
                  <c:v>0.12230778848141714</c:v>
                </c:pt>
                <c:pt idx="2">
                  <c:v>0.15320385118426369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FA-B64C-B672-6A0FBF151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147967"/>
        <c:axId val="521145535"/>
      </c:scatterChart>
      <c:catAx>
        <c:axId val="818336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8337727"/>
        <c:crosses val="autoZero"/>
        <c:auto val="1"/>
        <c:lblAlgn val="ctr"/>
        <c:lblOffset val="100"/>
        <c:noMultiLvlLbl val="0"/>
      </c:catAx>
      <c:valAx>
        <c:axId val="818337727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818336095"/>
        <c:crosses val="autoZero"/>
        <c:crossBetween val="between"/>
      </c:valAx>
      <c:valAx>
        <c:axId val="52114553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21147967"/>
        <c:crosses val="max"/>
        <c:crossBetween val="midCat"/>
      </c:valAx>
      <c:valAx>
        <c:axId val="521147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114553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cat>
          <c:val>
            <c:numRef>
              <c:f>Staff_data_summary!$H$13:$H$15</c:f>
              <c:numCache>
                <c:formatCode>General</c:formatCode>
                <c:ptCount val="3"/>
                <c:pt idx="0">
                  <c:v>36</c:v>
                </c:pt>
                <c:pt idx="1">
                  <c:v>25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E-574B-B509-F073D219D26C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cat>
          <c:val>
            <c:numRef>
              <c:f>Staff_data_summary!$I$13:$I$15</c:f>
              <c:numCache>
                <c:formatCode>General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8E-574B-B509-F073D219D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857231"/>
        <c:axId val="521858863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Staff_data_summary!$D$13:$D$15</c:f>
              <c:strCache>
                <c:ptCount val="3"/>
                <c:pt idx="0">
                  <c:v>심윤보</c:v>
                </c:pt>
                <c:pt idx="1">
                  <c:v>유형원</c:v>
                </c:pt>
                <c:pt idx="2">
                  <c:v>조영재</c:v>
                </c:pt>
              </c:strCache>
            </c:strRef>
          </c:xVal>
          <c:yVal>
            <c:numRef>
              <c:f>Staff_data_summary!$J$13:$J$15</c:f>
              <c:numCache>
                <c:formatCode>0.0%</c:formatCode>
                <c:ptCount val="3"/>
                <c:pt idx="0">
                  <c:v>0.47222222222222221</c:v>
                </c:pt>
                <c:pt idx="1">
                  <c:v>0.48</c:v>
                </c:pt>
                <c:pt idx="2">
                  <c:v>0.17241379310344829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8E-574B-B509-F073D219D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544479"/>
        <c:axId val="605568047"/>
      </c:scatterChart>
      <c:catAx>
        <c:axId val="521857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1858863"/>
        <c:crosses val="autoZero"/>
        <c:auto val="1"/>
        <c:lblAlgn val="ctr"/>
        <c:lblOffset val="100"/>
        <c:noMultiLvlLbl val="0"/>
      </c:catAx>
      <c:valAx>
        <c:axId val="521858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21857231"/>
        <c:crosses val="autoZero"/>
        <c:crossBetween val="between"/>
      </c:valAx>
      <c:valAx>
        <c:axId val="60556804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45544479"/>
        <c:crosses val="max"/>
        <c:crossBetween val="midCat"/>
      </c:valAx>
      <c:valAx>
        <c:axId val="545544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556804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cat>
          <c:val>
            <c:numRef>
              <c:f>Staff_data_summary!$E$16:$E$18</c:f>
              <c:numCache>
                <c:formatCode>0.0</c:formatCode>
                <c:ptCount val="3"/>
                <c:pt idx="0">
                  <c:v>33.297643999999998</c:v>
                </c:pt>
                <c:pt idx="1">
                  <c:v>47.150667999999989</c:v>
                </c:pt>
                <c:pt idx="2">
                  <c:v>15.805835000000004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B8-0747-B355-1A9FCF5177BB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cat>
          <c:val>
            <c:numRef>
              <c:f>Staff_data_summary!$F$16:$F$18</c:f>
              <c:numCache>
                <c:formatCode>0.0</c:formatCode>
                <c:ptCount val="3"/>
                <c:pt idx="0">
                  <c:v>4.9469129999999994</c:v>
                </c:pt>
                <c:pt idx="1">
                  <c:v>6.8420470000000009</c:v>
                </c:pt>
                <c:pt idx="2">
                  <c:v>2.840913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B8-0747-B355-1A9FCF51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064255"/>
        <c:axId val="628065887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xVal>
          <c:yVal>
            <c:numRef>
              <c:f>Staff_data_summary!$G$16:$G$18</c:f>
              <c:numCache>
                <c:formatCode>0.0%</c:formatCode>
                <c:ptCount val="3"/>
                <c:pt idx="0">
                  <c:v>0.14856645713432456</c:v>
                </c:pt>
                <c:pt idx="1">
                  <c:v>0.14511028772699472</c:v>
                </c:pt>
                <c:pt idx="2">
                  <c:v>0.17973824223775584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B8-0747-B355-1A9FCF51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951951"/>
        <c:axId val="606949519"/>
      </c:scatterChart>
      <c:catAx>
        <c:axId val="62806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8065887"/>
        <c:crosses val="autoZero"/>
        <c:auto val="1"/>
        <c:lblAlgn val="ctr"/>
        <c:lblOffset val="100"/>
        <c:noMultiLvlLbl val="0"/>
      </c:catAx>
      <c:valAx>
        <c:axId val="628065887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28064255"/>
        <c:crosses val="autoZero"/>
        <c:crossBetween val="between"/>
      </c:valAx>
      <c:valAx>
        <c:axId val="60694951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06951951"/>
        <c:crosses val="max"/>
        <c:crossBetween val="midCat"/>
      </c:valAx>
      <c:valAx>
        <c:axId val="60695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69495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cat>
          <c:val>
            <c:numRef>
              <c:f>Staff_data_summary!$H$16:$H$18</c:f>
              <c:numCache>
                <c:formatCode>General</c:formatCode>
                <c:ptCount val="3"/>
                <c:pt idx="0">
                  <c:v>25</c:v>
                </c:pt>
                <c:pt idx="1">
                  <c:v>40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F-0A47-8B95-7FF45ECEA34E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cat>
          <c:val>
            <c:numRef>
              <c:f>Staff_data_summary!$I$16:$I$18</c:f>
              <c:numCache>
                <c:formatCode>General</c:formatCode>
                <c:ptCount val="3"/>
                <c:pt idx="0">
                  <c:v>15</c:v>
                </c:pt>
                <c:pt idx="1">
                  <c:v>17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BF-0A47-8B95-7FF45ECEA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170351"/>
        <c:axId val="627058431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Staff_data_summary!$D$16:$D$18</c:f>
              <c:strCache>
                <c:ptCount val="3"/>
                <c:pt idx="0">
                  <c:v>이혜진</c:v>
                </c:pt>
                <c:pt idx="1">
                  <c:v>윤세라</c:v>
                </c:pt>
                <c:pt idx="2">
                  <c:v>김선구</c:v>
                </c:pt>
              </c:strCache>
            </c:strRef>
          </c:xVal>
          <c:yVal>
            <c:numRef>
              <c:f>Staff_data_summary!$J$16:$J$18</c:f>
              <c:numCache>
                <c:formatCode>0.0%</c:formatCode>
                <c:ptCount val="3"/>
                <c:pt idx="0">
                  <c:v>0.6</c:v>
                </c:pt>
                <c:pt idx="1">
                  <c:v>0.42499999999999999</c:v>
                </c:pt>
                <c:pt idx="2">
                  <c:v>0.41666666666666669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F-0A47-8B95-7FF45ECEA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962207"/>
        <c:axId val="562959775"/>
      </c:scatterChart>
      <c:catAx>
        <c:axId val="52917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058431"/>
        <c:crosses val="autoZero"/>
        <c:auto val="1"/>
        <c:lblAlgn val="ctr"/>
        <c:lblOffset val="100"/>
        <c:noMultiLvlLbl val="0"/>
      </c:catAx>
      <c:valAx>
        <c:axId val="627058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29170351"/>
        <c:crosses val="autoZero"/>
        <c:crossBetween val="between"/>
      </c:valAx>
      <c:valAx>
        <c:axId val="56295977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62962207"/>
        <c:crosses val="max"/>
        <c:crossBetween val="midCat"/>
      </c:valAx>
      <c:valAx>
        <c:axId val="5629622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295977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cat>
          <c:val>
            <c:numRef>
              <c:f>Staff_data_summary!$E$19:$E$22</c:f>
              <c:numCache>
                <c:formatCode>0.0</c:formatCode>
                <c:ptCount val="4"/>
                <c:pt idx="0">
                  <c:v>48.612814000000014</c:v>
                </c:pt>
                <c:pt idx="1">
                  <c:v>50.284902000000002</c:v>
                </c:pt>
                <c:pt idx="2">
                  <c:v>40.542277000000013</c:v>
                </c:pt>
                <c:pt idx="3">
                  <c:v>46.169592000000002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5-BB40-8C15-B8387950762F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cat>
          <c:val>
            <c:numRef>
              <c:f>Staff_data_summary!$F$19:$F$22</c:f>
              <c:numCache>
                <c:formatCode>0.0</c:formatCode>
                <c:ptCount val="4"/>
                <c:pt idx="0">
                  <c:v>6.4676039999999988</c:v>
                </c:pt>
                <c:pt idx="1">
                  <c:v>7.5088869999999996</c:v>
                </c:pt>
                <c:pt idx="2">
                  <c:v>6.2531029999999994</c:v>
                </c:pt>
                <c:pt idx="3">
                  <c:v>6.6879150000000003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85-BB40-8C15-B8387950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665583"/>
        <c:axId val="539200511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xVal>
          <c:yVal>
            <c:numRef>
              <c:f>Staff_data_summary!$G$19:$G$22</c:f>
              <c:numCache>
                <c:formatCode>0.0%</c:formatCode>
                <c:ptCount val="4"/>
                <c:pt idx="0">
                  <c:v>0.13304319309719442</c:v>
                </c:pt>
                <c:pt idx="1">
                  <c:v>0.14932686952437532</c:v>
                </c:pt>
                <c:pt idx="2">
                  <c:v>0.15423660096841618</c:v>
                </c:pt>
                <c:pt idx="3">
                  <c:v>0.14485540612964481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85-BB40-8C15-B8387950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43295"/>
        <c:axId val="611240863"/>
      </c:scatterChart>
      <c:catAx>
        <c:axId val="53866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200511"/>
        <c:crosses val="autoZero"/>
        <c:auto val="1"/>
        <c:lblAlgn val="ctr"/>
        <c:lblOffset val="100"/>
        <c:noMultiLvlLbl val="0"/>
      </c:catAx>
      <c:valAx>
        <c:axId val="539200511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538665583"/>
        <c:crosses val="autoZero"/>
        <c:crossBetween val="between"/>
      </c:valAx>
      <c:valAx>
        <c:axId val="61124086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1243295"/>
        <c:crosses val="max"/>
        <c:crossBetween val="midCat"/>
      </c:valAx>
      <c:valAx>
        <c:axId val="6112432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24086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cat>
          <c:val>
            <c:numRef>
              <c:f>Staff_data_summary!$H$19:$H$22</c:f>
              <c:numCache>
                <c:formatCode>General</c:formatCode>
                <c:ptCount val="4"/>
                <c:pt idx="0">
                  <c:v>44</c:v>
                </c:pt>
                <c:pt idx="1">
                  <c:v>39</c:v>
                </c:pt>
                <c:pt idx="2">
                  <c:v>34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FB-FF4A-BD4C-818D208744F2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cat>
          <c:val>
            <c:numRef>
              <c:f>Staff_data_summary!$I$19:$I$22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FB-FF4A-BD4C-818D20874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309999"/>
        <c:axId val="538129215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Staff_data_summary!$D$19:$D$22</c:f>
              <c:strCache>
                <c:ptCount val="4"/>
                <c:pt idx="0">
                  <c:v>진현성</c:v>
                </c:pt>
                <c:pt idx="1">
                  <c:v>김영은</c:v>
                </c:pt>
                <c:pt idx="2">
                  <c:v>김도연</c:v>
                </c:pt>
                <c:pt idx="3">
                  <c:v>박필서</c:v>
                </c:pt>
              </c:strCache>
            </c:strRef>
          </c:xVal>
          <c:yVal>
            <c:numRef>
              <c:f>Staff_data_summary!$J$19:$J$22</c:f>
              <c:numCache>
                <c:formatCode>0.0%</c:formatCode>
                <c:ptCount val="4"/>
                <c:pt idx="0">
                  <c:v>4.5454545454545456E-2</c:v>
                </c:pt>
                <c:pt idx="1">
                  <c:v>0.10256410256410256</c:v>
                </c:pt>
                <c:pt idx="2">
                  <c:v>0.11764705882352941</c:v>
                </c:pt>
                <c:pt idx="3">
                  <c:v>6.8181818181818177E-2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FB-FF4A-BD4C-818D20874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727759"/>
        <c:axId val="541725327"/>
      </c:scatterChart>
      <c:catAx>
        <c:axId val="83430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8129215"/>
        <c:crosses val="autoZero"/>
        <c:auto val="1"/>
        <c:lblAlgn val="ctr"/>
        <c:lblOffset val="100"/>
        <c:noMultiLvlLbl val="0"/>
      </c:catAx>
      <c:valAx>
        <c:axId val="538129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834309999"/>
        <c:crosses val="autoZero"/>
        <c:crossBetween val="between"/>
      </c:valAx>
      <c:valAx>
        <c:axId val="54172532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41727759"/>
        <c:crosses val="max"/>
        <c:crossBetween val="midCat"/>
      </c:valAx>
      <c:valAx>
        <c:axId val="5417277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17253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cat>
          <c:val>
            <c:numRef>
              <c:f>Staff_data_summary!$E$23:$E$27</c:f>
              <c:numCache>
                <c:formatCode>0.0</c:formatCode>
                <c:ptCount val="5"/>
                <c:pt idx="0">
                  <c:v>1.9755259999999994</c:v>
                </c:pt>
                <c:pt idx="1">
                  <c:v>67.732769999999988</c:v>
                </c:pt>
                <c:pt idx="2">
                  <c:v>100.52895599999998</c:v>
                </c:pt>
                <c:pt idx="3">
                  <c:v>97.528639000000013</c:v>
                </c:pt>
                <c:pt idx="4">
                  <c:v>72.491591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A-364C-831F-0737D3D20F31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cat>
          <c:val>
            <c:numRef>
              <c:f>Staff_data_summary!$F$23:$F$27</c:f>
              <c:numCache>
                <c:formatCode>0.0</c:formatCode>
                <c:ptCount val="5"/>
                <c:pt idx="0">
                  <c:v>4.0800000000007497E-4</c:v>
                </c:pt>
                <c:pt idx="1">
                  <c:v>9.8141610000000004</c:v>
                </c:pt>
                <c:pt idx="2">
                  <c:v>13.23338</c:v>
                </c:pt>
                <c:pt idx="3">
                  <c:v>13.327856999999998</c:v>
                </c:pt>
                <c:pt idx="4">
                  <c:v>10.680289000000002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A-364C-831F-0737D3D20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038527"/>
        <c:axId val="542040159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xVal>
          <c:yVal>
            <c:numRef>
              <c:f>Staff_data_summary!$G$23:$G$27</c:f>
              <c:numCache>
                <c:formatCode>0.0%</c:formatCode>
                <c:ptCount val="5"/>
                <c:pt idx="0">
                  <c:v>2.0652727425509717E-4</c:v>
                </c:pt>
                <c:pt idx="1">
                  <c:v>0.1448953143360297</c:v>
                </c:pt>
                <c:pt idx="2">
                  <c:v>0.13163749556893839</c:v>
                </c:pt>
                <c:pt idx="3">
                  <c:v>0.13665582885863911</c:v>
                </c:pt>
                <c:pt idx="4">
                  <c:v>0.14733141944698114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A-364C-831F-0737D3D20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860143"/>
        <c:axId val="1029857711"/>
      </c:scatterChart>
      <c:catAx>
        <c:axId val="542038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2040159"/>
        <c:crosses val="autoZero"/>
        <c:auto val="1"/>
        <c:lblAlgn val="ctr"/>
        <c:lblOffset val="100"/>
        <c:noMultiLvlLbl val="0"/>
      </c:catAx>
      <c:valAx>
        <c:axId val="54204015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542038527"/>
        <c:crosses val="autoZero"/>
        <c:crossBetween val="between"/>
      </c:valAx>
      <c:valAx>
        <c:axId val="102985771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1029860143"/>
        <c:crosses val="max"/>
        <c:crossBetween val="midCat"/>
      </c:valAx>
      <c:valAx>
        <c:axId val="1029860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98577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cat>
          <c:val>
            <c:numRef>
              <c:f>Staff_data_summary!$H$23:$H$27</c:f>
              <c:numCache>
                <c:formatCode>General</c:formatCode>
                <c:ptCount val="5"/>
                <c:pt idx="0">
                  <c:v>2</c:v>
                </c:pt>
                <c:pt idx="1">
                  <c:v>55</c:v>
                </c:pt>
                <c:pt idx="2">
                  <c:v>74</c:v>
                </c:pt>
                <c:pt idx="3">
                  <c:v>80</c:v>
                </c:pt>
                <c:pt idx="4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DE-054B-9420-DAC15D2F9692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cat>
          <c:val>
            <c:numRef>
              <c:f>Staff_data_summary!$I$23:$I$27</c:f>
              <c:numCache>
                <c:formatCode>General</c:formatCode>
                <c:ptCount val="5"/>
                <c:pt idx="1">
                  <c:v>23</c:v>
                </c:pt>
                <c:pt idx="2">
                  <c:v>21</c:v>
                </c:pt>
                <c:pt idx="3">
                  <c:v>32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DE-054B-9420-DAC15D2F9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1236287"/>
        <c:axId val="611237919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Staff_data_summary!$D$23:$D$27</c:f>
              <c:strCache>
                <c:ptCount val="5"/>
                <c:pt idx="0">
                  <c:v>박민규</c:v>
                </c:pt>
                <c:pt idx="1">
                  <c:v>조성현</c:v>
                </c:pt>
                <c:pt idx="2">
                  <c:v>장영래</c:v>
                </c:pt>
                <c:pt idx="3">
                  <c:v>김유미</c:v>
                </c:pt>
                <c:pt idx="4">
                  <c:v>최영록</c:v>
                </c:pt>
              </c:strCache>
            </c:strRef>
          </c:xVal>
          <c:yVal>
            <c:numRef>
              <c:f>Staff_data_summary!$J$23:$J$27</c:f>
              <c:numCache>
                <c:formatCode>0.0%</c:formatCode>
                <c:ptCount val="5"/>
                <c:pt idx="0">
                  <c:v>0</c:v>
                </c:pt>
                <c:pt idx="1">
                  <c:v>0.41818181818181815</c:v>
                </c:pt>
                <c:pt idx="2">
                  <c:v>0.28378378378378377</c:v>
                </c:pt>
                <c:pt idx="3">
                  <c:v>0.4</c:v>
                </c:pt>
                <c:pt idx="4">
                  <c:v>0.36842105263157893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DE-054B-9420-DAC15D2F9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176543"/>
        <c:axId val="606589887"/>
      </c:scatterChart>
      <c:catAx>
        <c:axId val="611236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1237919"/>
        <c:crosses val="autoZero"/>
        <c:auto val="1"/>
        <c:lblAlgn val="ctr"/>
        <c:lblOffset val="100"/>
        <c:noMultiLvlLbl val="0"/>
      </c:catAx>
      <c:valAx>
        <c:axId val="6112379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611236287"/>
        <c:crosses val="autoZero"/>
        <c:crossBetween val="between"/>
      </c:valAx>
      <c:valAx>
        <c:axId val="60658988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1001176543"/>
        <c:crosses val="max"/>
        <c:crossBetween val="midCat"/>
      </c:valAx>
      <c:valAx>
        <c:axId val="1001176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65898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cat>
          <c:val>
            <c:numRef>
              <c:f>Staff_data_summary!$E$28:$E$31</c:f>
              <c:numCache>
                <c:formatCode>0.0</c:formatCode>
                <c:ptCount val="4"/>
                <c:pt idx="0">
                  <c:v>50.576271000000006</c:v>
                </c:pt>
                <c:pt idx="1">
                  <c:v>64.973556000000002</c:v>
                </c:pt>
                <c:pt idx="2">
                  <c:v>40.071279000000004</c:v>
                </c:pt>
                <c:pt idx="3">
                  <c:v>49.742381999999992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3-0443-BE55-D10F7192BDAE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cat>
          <c:val>
            <c:numRef>
              <c:f>Staff_data_summary!$F$28:$F$31</c:f>
              <c:numCache>
                <c:formatCode>0.0</c:formatCode>
                <c:ptCount val="4"/>
                <c:pt idx="0">
                  <c:v>6.9914720000000008</c:v>
                </c:pt>
                <c:pt idx="1">
                  <c:v>8.5069140000000001</c:v>
                </c:pt>
                <c:pt idx="2">
                  <c:v>5.6566329999999994</c:v>
                </c:pt>
                <c:pt idx="3">
                  <c:v>6.5068820000000009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D3-0443-BE55-D10F7192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766655"/>
        <c:axId val="606762927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xVal>
          <c:yVal>
            <c:numRef>
              <c:f>Staff_data_summary!$G$28:$G$31</c:f>
              <c:numCache>
                <c:formatCode>0.0%</c:formatCode>
                <c:ptCount val="4"/>
                <c:pt idx="0">
                  <c:v>0.13823620962486538</c:v>
                </c:pt>
                <c:pt idx="1">
                  <c:v>0.13092886589122504</c:v>
                </c:pt>
                <c:pt idx="2">
                  <c:v>0.14116427379320731</c:v>
                </c:pt>
                <c:pt idx="3">
                  <c:v>0.1308116286027477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3-0443-BE55-D10F7192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5951"/>
        <c:axId val="627333519"/>
      </c:scatterChart>
      <c:catAx>
        <c:axId val="606766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6762927"/>
        <c:crosses val="autoZero"/>
        <c:auto val="1"/>
        <c:lblAlgn val="ctr"/>
        <c:lblOffset val="100"/>
        <c:noMultiLvlLbl val="0"/>
      </c:catAx>
      <c:valAx>
        <c:axId val="606762927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06766655"/>
        <c:crosses val="autoZero"/>
        <c:crossBetween val="between"/>
      </c:valAx>
      <c:valAx>
        <c:axId val="62733351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335951"/>
        <c:crosses val="max"/>
        <c:crossBetween val="midCat"/>
      </c:valAx>
      <c:valAx>
        <c:axId val="627335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3335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cat>
          <c:val>
            <c:numRef>
              <c:f>Staff_data_summary!$H$28:$H$31</c:f>
              <c:numCache>
                <c:formatCode>General</c:formatCode>
                <c:ptCount val="4"/>
                <c:pt idx="0">
                  <c:v>42</c:v>
                </c:pt>
                <c:pt idx="1">
                  <c:v>54</c:v>
                </c:pt>
                <c:pt idx="2">
                  <c:v>38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4-1D4F-90A1-73DDBA33C1D9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cat>
          <c:val>
            <c:numRef>
              <c:f>Staff_data_summary!$I$28:$I$31</c:f>
              <c:numCache>
                <c:formatCode>General</c:formatCode>
                <c:ptCount val="4"/>
                <c:pt idx="0">
                  <c:v>11</c:v>
                </c:pt>
                <c:pt idx="1">
                  <c:v>26</c:v>
                </c:pt>
                <c:pt idx="2">
                  <c:v>8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F4-1D4F-90A1-73DDBA33C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791407"/>
        <c:axId val="562076735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Staff_data_summary!$D$28:$D$31</c:f>
              <c:strCache>
                <c:ptCount val="4"/>
                <c:pt idx="0">
                  <c:v>김은지</c:v>
                </c:pt>
                <c:pt idx="1">
                  <c:v>윤지영</c:v>
                </c:pt>
                <c:pt idx="2">
                  <c:v>정찬미</c:v>
                </c:pt>
                <c:pt idx="3">
                  <c:v>한우상</c:v>
                </c:pt>
              </c:strCache>
            </c:strRef>
          </c:xVal>
          <c:yVal>
            <c:numRef>
              <c:f>Staff_data_summary!$J$28:$J$31</c:f>
              <c:numCache>
                <c:formatCode>0.0%</c:formatCode>
                <c:ptCount val="4"/>
                <c:pt idx="0">
                  <c:v>0.26190476190476192</c:v>
                </c:pt>
                <c:pt idx="1">
                  <c:v>0.48148148148148145</c:v>
                </c:pt>
                <c:pt idx="2">
                  <c:v>0.21052631578947367</c:v>
                </c:pt>
                <c:pt idx="3">
                  <c:v>0.14000000000000001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F4-1D4F-90A1-73DDBA33C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271935"/>
        <c:axId val="627269503"/>
      </c:scatterChart>
      <c:catAx>
        <c:axId val="562791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076735"/>
        <c:crosses val="autoZero"/>
        <c:auto val="1"/>
        <c:lblAlgn val="ctr"/>
        <c:lblOffset val="100"/>
        <c:noMultiLvlLbl val="0"/>
      </c:catAx>
      <c:valAx>
        <c:axId val="56207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62791407"/>
        <c:crosses val="autoZero"/>
        <c:crossBetween val="between"/>
      </c:valAx>
      <c:valAx>
        <c:axId val="62726950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271935"/>
        <c:crosses val="max"/>
        <c:crossBetween val="midCat"/>
      </c:valAx>
      <c:valAx>
        <c:axId val="627271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2695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cat>
          <c:val>
            <c:numRef>
              <c:f>Staff_data_summary!$E$32:$E$36</c:f>
              <c:numCache>
                <c:formatCode>0.0</c:formatCode>
                <c:ptCount val="5"/>
                <c:pt idx="0">
                  <c:v>4.1898720000000003</c:v>
                </c:pt>
                <c:pt idx="1">
                  <c:v>86.853805000000023</c:v>
                </c:pt>
                <c:pt idx="2">
                  <c:v>53.89279299999999</c:v>
                </c:pt>
                <c:pt idx="3">
                  <c:v>90.619076000000007</c:v>
                </c:pt>
                <c:pt idx="4">
                  <c:v>91.651088000000016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0-2745-848E-E1B0D4F4F80B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cat>
          <c:val>
            <c:numRef>
              <c:f>Staff_data_summary!$F$32:$F$36</c:f>
              <c:numCache>
                <c:formatCode>0.0</c:formatCode>
                <c:ptCount val="5"/>
                <c:pt idx="0">
                  <c:v>0.27823900000000001</c:v>
                </c:pt>
                <c:pt idx="1">
                  <c:v>13.381534000000002</c:v>
                </c:pt>
                <c:pt idx="2">
                  <c:v>7.386099999999999</c:v>
                </c:pt>
                <c:pt idx="3">
                  <c:v>12.335587</c:v>
                </c:pt>
                <c:pt idx="4">
                  <c:v>13.233583000000001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70-2745-848E-E1B0D4F4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897647"/>
        <c:axId val="627899279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xVal>
          <c:yVal>
            <c:numRef>
              <c:f>Staff_data_summary!$G$32:$G$36</c:f>
              <c:numCache>
                <c:formatCode>0.0%</c:formatCode>
                <c:ptCount val="5"/>
                <c:pt idx="0">
                  <c:v>6.6407517938495489E-2</c:v>
                </c:pt>
                <c:pt idx="1">
                  <c:v>0.15406963460034939</c:v>
                </c:pt>
                <c:pt idx="2">
                  <c:v>0.13705172044061625</c:v>
                </c:pt>
                <c:pt idx="3">
                  <c:v>0.13612572037260676</c:v>
                </c:pt>
                <c:pt idx="4">
                  <c:v>0.14439089910203792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70-2745-848E-E1B0D4F4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488239"/>
        <c:axId val="627485807"/>
      </c:scatterChart>
      <c:catAx>
        <c:axId val="62789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899279"/>
        <c:crosses val="autoZero"/>
        <c:auto val="1"/>
        <c:lblAlgn val="ctr"/>
        <c:lblOffset val="100"/>
        <c:noMultiLvlLbl val="0"/>
      </c:catAx>
      <c:valAx>
        <c:axId val="62789927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27897647"/>
        <c:crosses val="autoZero"/>
        <c:crossBetween val="between"/>
      </c:valAx>
      <c:valAx>
        <c:axId val="627485807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488239"/>
        <c:crosses val="max"/>
        <c:crossBetween val="midCat"/>
      </c:valAx>
      <c:valAx>
        <c:axId val="6274882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48580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cat>
          <c:val>
            <c:numRef>
              <c:f>Staff_data_summary!$H$32:$H$36</c:f>
              <c:numCache>
                <c:formatCode>General</c:formatCode>
                <c:ptCount val="5"/>
                <c:pt idx="0">
                  <c:v>3</c:v>
                </c:pt>
                <c:pt idx="1">
                  <c:v>68</c:v>
                </c:pt>
                <c:pt idx="2">
                  <c:v>45</c:v>
                </c:pt>
                <c:pt idx="3">
                  <c:v>82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F-F44E-976C-BB7D9BF4FB25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cat>
          <c:val>
            <c:numRef>
              <c:f>Staff_data_summary!$I$32:$I$36</c:f>
              <c:numCache>
                <c:formatCode>General</c:formatCode>
                <c:ptCount val="5"/>
                <c:pt idx="1">
                  <c:v>11</c:v>
                </c:pt>
                <c:pt idx="2">
                  <c:v>9</c:v>
                </c:pt>
                <c:pt idx="3">
                  <c:v>18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F-F44E-976C-BB7D9BF4F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334351"/>
        <c:axId val="997646047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Staff_data_summary!$D$32:$D$36</c:f>
              <c:strCache>
                <c:ptCount val="5"/>
                <c:pt idx="0">
                  <c:v>박현준</c:v>
                </c:pt>
                <c:pt idx="1">
                  <c:v>이아름</c:v>
                </c:pt>
                <c:pt idx="2">
                  <c:v>손민선</c:v>
                </c:pt>
                <c:pt idx="3">
                  <c:v>김아람</c:v>
                </c:pt>
                <c:pt idx="4">
                  <c:v>최은미</c:v>
                </c:pt>
              </c:strCache>
            </c:strRef>
          </c:xVal>
          <c:yVal>
            <c:numRef>
              <c:f>Staff_data_summary!$J$32:$J$36</c:f>
              <c:numCache>
                <c:formatCode>0.0%</c:formatCode>
                <c:ptCount val="5"/>
                <c:pt idx="0">
                  <c:v>0</c:v>
                </c:pt>
                <c:pt idx="1">
                  <c:v>0.16176470588235295</c:v>
                </c:pt>
                <c:pt idx="2">
                  <c:v>0.2</c:v>
                </c:pt>
                <c:pt idx="3">
                  <c:v>0.21951219512195122</c:v>
                </c:pt>
                <c:pt idx="4">
                  <c:v>0.34482758620689657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7F-F44E-976C-BB7D9BF4F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426447"/>
        <c:axId val="557424015"/>
      </c:scatterChart>
      <c:catAx>
        <c:axId val="546334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7646047"/>
        <c:crosses val="autoZero"/>
        <c:auto val="1"/>
        <c:lblAlgn val="ctr"/>
        <c:lblOffset val="100"/>
        <c:noMultiLvlLbl val="0"/>
      </c:catAx>
      <c:valAx>
        <c:axId val="997646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46334351"/>
        <c:crosses val="autoZero"/>
        <c:crossBetween val="between"/>
      </c:valAx>
      <c:valAx>
        <c:axId val="55742401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57426447"/>
        <c:crosses val="max"/>
        <c:crossBetween val="midCat"/>
      </c:valAx>
      <c:valAx>
        <c:axId val="5574264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4240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cat>
          <c:val>
            <c:numRef>
              <c:f>Staff_data_summary!$E$37:$E$40</c:f>
              <c:numCache>
                <c:formatCode>0.0</c:formatCode>
                <c:ptCount val="4"/>
                <c:pt idx="0">
                  <c:v>2.2727000000000001E-2</c:v>
                </c:pt>
                <c:pt idx="1">
                  <c:v>85.756012999999996</c:v>
                </c:pt>
                <c:pt idx="2">
                  <c:v>61.102997000000002</c:v>
                </c:pt>
                <c:pt idx="3">
                  <c:v>57.499614000000008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3E-A64C-9F07-E45940AF6DE1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cat>
          <c:val>
            <c:numRef>
              <c:f>Staff_data_summary!$F$37:$F$40</c:f>
              <c:numCache>
                <c:formatCode>0.0</c:formatCode>
                <c:ptCount val="4"/>
                <c:pt idx="0">
                  <c:v>5.7270000000000003E-3</c:v>
                </c:pt>
                <c:pt idx="1">
                  <c:v>10.108955</c:v>
                </c:pt>
                <c:pt idx="2">
                  <c:v>7.6123419999999999</c:v>
                </c:pt>
                <c:pt idx="3">
                  <c:v>7.9626729999999988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3E-A64C-9F07-E45940AF6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0109887"/>
        <c:axId val="557333359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xVal>
          <c:yVal>
            <c:numRef>
              <c:f>Staff_data_summary!$G$37:$G$40</c:f>
              <c:numCache>
                <c:formatCode>0.0%</c:formatCode>
                <c:ptCount val="4"/>
                <c:pt idx="0">
                  <c:v>0.25199102389228673</c:v>
                </c:pt>
                <c:pt idx="1">
                  <c:v>0.11788042198277106</c:v>
                </c:pt>
                <c:pt idx="2">
                  <c:v>0.12458213792688433</c:v>
                </c:pt>
                <c:pt idx="3">
                  <c:v>0.13848219920224156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3E-A64C-9F07-E45940AF6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81727"/>
        <c:axId val="611171823"/>
      </c:scatterChart>
      <c:catAx>
        <c:axId val="63010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333359"/>
        <c:crosses val="autoZero"/>
        <c:auto val="1"/>
        <c:lblAlgn val="ctr"/>
        <c:lblOffset val="100"/>
        <c:noMultiLvlLbl val="0"/>
      </c:catAx>
      <c:valAx>
        <c:axId val="55733335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30109887"/>
        <c:crosses val="autoZero"/>
        <c:crossBetween val="between"/>
      </c:valAx>
      <c:valAx>
        <c:axId val="61117182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39981727"/>
        <c:crosses val="max"/>
        <c:crossBetween val="midCat"/>
      </c:valAx>
      <c:valAx>
        <c:axId val="539981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17182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cat>
          <c:val>
            <c:numRef>
              <c:f>Staff_data_summary!$H$37:$H$40</c:f>
              <c:numCache>
                <c:formatCode>General</c:formatCode>
                <c:ptCount val="4"/>
                <c:pt idx="1">
                  <c:v>54</c:v>
                </c:pt>
                <c:pt idx="2">
                  <c:v>51</c:v>
                </c:pt>
                <c:pt idx="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4-DC47-93A6-DE6CB10E9C17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cat>
          <c:val>
            <c:numRef>
              <c:f>Staff_data_summary!$I$37:$I$40</c:f>
              <c:numCache>
                <c:formatCode>General</c:formatCode>
                <c:ptCount val="4"/>
                <c:pt idx="1">
                  <c:v>14</c:v>
                </c:pt>
                <c:pt idx="2">
                  <c:v>3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64-DC47-93A6-DE6CB10E9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111535"/>
        <c:axId val="538113167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Staff_data_summary!$D$37:$D$40</c:f>
              <c:strCache>
                <c:ptCount val="4"/>
                <c:pt idx="0">
                  <c:v>박원</c:v>
                </c:pt>
                <c:pt idx="1">
                  <c:v>오현명</c:v>
                </c:pt>
                <c:pt idx="2">
                  <c:v>박찬욱</c:v>
                </c:pt>
                <c:pt idx="3">
                  <c:v>이정윤</c:v>
                </c:pt>
              </c:strCache>
            </c:strRef>
          </c:xVal>
          <c:yVal>
            <c:numRef>
              <c:f>Staff_data_summary!$J$37:$J$40</c:f>
              <c:numCache>
                <c:formatCode>0.0%</c:formatCode>
                <c:ptCount val="4"/>
                <c:pt idx="1">
                  <c:v>0.25925925925925924</c:v>
                </c:pt>
                <c:pt idx="2">
                  <c:v>5.8823529411764705E-2</c:v>
                </c:pt>
                <c:pt idx="3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64-DC47-93A6-DE6CB10E9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32095"/>
        <c:axId val="539729663"/>
      </c:scatterChart>
      <c:catAx>
        <c:axId val="538111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8113167"/>
        <c:crosses val="autoZero"/>
        <c:auto val="1"/>
        <c:lblAlgn val="ctr"/>
        <c:lblOffset val="100"/>
        <c:noMultiLvlLbl val="0"/>
      </c:catAx>
      <c:valAx>
        <c:axId val="538113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38111535"/>
        <c:crosses val="autoZero"/>
        <c:crossBetween val="between"/>
      </c:valAx>
      <c:valAx>
        <c:axId val="53972966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39732095"/>
        <c:crosses val="max"/>
        <c:crossBetween val="midCat"/>
      </c:valAx>
      <c:valAx>
        <c:axId val="5397320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972966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J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cat>
          <c:val>
            <c:numRef>
              <c:f>Staff_data_summary!$E$41:$E$45</c:f>
              <c:numCache>
                <c:formatCode>0.0</c:formatCode>
                <c:ptCount val="5"/>
                <c:pt idx="0">
                  <c:v>0.20527299999999998</c:v>
                </c:pt>
                <c:pt idx="1">
                  <c:v>82.483992000000001</c:v>
                </c:pt>
                <c:pt idx="2">
                  <c:v>108.86408299999998</c:v>
                </c:pt>
                <c:pt idx="3">
                  <c:v>99.585404999999994</c:v>
                </c:pt>
                <c:pt idx="4">
                  <c:v>80.691496999999984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A-9F49-8C66-04449211944F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cat>
          <c:val>
            <c:numRef>
              <c:f>Staff_data_summary!$F$41:$F$45</c:f>
              <c:numCache>
                <c:formatCode>0.0</c:formatCode>
                <c:ptCount val="5"/>
                <c:pt idx="0">
                  <c:v>5.5872999999999999E-2</c:v>
                </c:pt>
                <c:pt idx="1">
                  <c:v>12.371761000000001</c:v>
                </c:pt>
                <c:pt idx="2">
                  <c:v>16.033559000000004</c:v>
                </c:pt>
                <c:pt idx="3">
                  <c:v>13.895074000000001</c:v>
                </c:pt>
                <c:pt idx="4">
                  <c:v>12.453887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4A-9F49-8C66-04449211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854063"/>
        <c:axId val="523890815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xVal>
          <c:yVal>
            <c:numRef>
              <c:f>Staff_data_summary!$G$41:$G$45</c:f>
              <c:numCache>
                <c:formatCode>0.0%</c:formatCode>
                <c:ptCount val="5"/>
                <c:pt idx="0">
                  <c:v>0.27218874377049102</c:v>
                </c:pt>
                <c:pt idx="1">
                  <c:v>0.14998984287763378</c:v>
                </c:pt>
                <c:pt idx="2">
                  <c:v>0.14728052226371122</c:v>
                </c:pt>
                <c:pt idx="3">
                  <c:v>0.13952922117452857</c:v>
                </c:pt>
                <c:pt idx="4">
                  <c:v>0.15433952105263338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4A-9F49-8C66-04449211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210143"/>
        <c:axId val="627207711"/>
      </c:scatterChart>
      <c:catAx>
        <c:axId val="972854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3890815"/>
        <c:crosses val="autoZero"/>
        <c:auto val="1"/>
        <c:lblAlgn val="ctr"/>
        <c:lblOffset val="100"/>
        <c:noMultiLvlLbl val="0"/>
      </c:catAx>
      <c:valAx>
        <c:axId val="523890815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972854063"/>
        <c:crosses val="autoZero"/>
        <c:crossBetween val="between"/>
      </c:valAx>
      <c:valAx>
        <c:axId val="62720771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210143"/>
        <c:crosses val="max"/>
        <c:crossBetween val="midCat"/>
      </c:valAx>
      <c:valAx>
        <c:axId val="627210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2077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J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cat>
          <c:val>
            <c:numRef>
              <c:f>Staff_data_summary!$H$41:$H$45</c:f>
              <c:numCache>
                <c:formatCode>General</c:formatCode>
                <c:ptCount val="5"/>
                <c:pt idx="1">
                  <c:v>66</c:v>
                </c:pt>
                <c:pt idx="2">
                  <c:v>87</c:v>
                </c:pt>
                <c:pt idx="3">
                  <c:v>88</c:v>
                </c:pt>
                <c:pt idx="4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B8-5645-AC6D-057A45211A1A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cat>
          <c:val>
            <c:numRef>
              <c:f>Staff_data_summary!$I$41:$I$45</c:f>
              <c:numCache>
                <c:formatCode>General</c:formatCode>
                <c:ptCount val="5"/>
                <c:pt idx="1">
                  <c:v>17</c:v>
                </c:pt>
                <c:pt idx="2">
                  <c:v>42</c:v>
                </c:pt>
                <c:pt idx="3">
                  <c:v>17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B8-5645-AC6D-057A45211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298431"/>
        <c:axId val="627300063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Staff_data_summary!$D$41:$D$45</c:f>
              <c:strCache>
                <c:ptCount val="5"/>
                <c:pt idx="0">
                  <c:v>권혜림</c:v>
                </c:pt>
                <c:pt idx="1">
                  <c:v>엄태은</c:v>
                </c:pt>
                <c:pt idx="2">
                  <c:v>이유라</c:v>
                </c:pt>
                <c:pt idx="3">
                  <c:v>강영훈</c:v>
                </c:pt>
                <c:pt idx="4">
                  <c:v>이시원</c:v>
                </c:pt>
              </c:strCache>
            </c:strRef>
          </c:xVal>
          <c:yVal>
            <c:numRef>
              <c:f>Staff_data_summary!$J$41:$J$45</c:f>
              <c:numCache>
                <c:formatCode>0.0%</c:formatCode>
                <c:ptCount val="5"/>
                <c:pt idx="1">
                  <c:v>0.25757575757575757</c:v>
                </c:pt>
                <c:pt idx="2">
                  <c:v>0.48275862068965519</c:v>
                </c:pt>
                <c:pt idx="3">
                  <c:v>0.19318181818181818</c:v>
                </c:pt>
                <c:pt idx="4">
                  <c:v>0.11940298507462686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B8-5645-AC6D-057A45211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285583"/>
        <c:axId val="627330543"/>
      </c:scatterChart>
      <c:catAx>
        <c:axId val="627298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300063"/>
        <c:crosses val="autoZero"/>
        <c:auto val="1"/>
        <c:lblAlgn val="ctr"/>
        <c:lblOffset val="100"/>
        <c:noMultiLvlLbl val="0"/>
      </c:catAx>
      <c:valAx>
        <c:axId val="627300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627298431"/>
        <c:crosses val="autoZero"/>
        <c:crossBetween val="between"/>
      </c:valAx>
      <c:valAx>
        <c:axId val="62733054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285583"/>
        <c:crosses val="max"/>
        <c:crossBetween val="midCat"/>
      </c:valAx>
      <c:valAx>
        <c:axId val="6272855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33054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cat>
          <c:val>
            <c:numRef>
              <c:f>Staff_data_summary!$E$46:$E$48</c:f>
              <c:numCache>
                <c:formatCode>0.0</c:formatCode>
                <c:ptCount val="3"/>
                <c:pt idx="0">
                  <c:v>38.935734999999994</c:v>
                </c:pt>
                <c:pt idx="1">
                  <c:v>46.78666599999999</c:v>
                </c:pt>
                <c:pt idx="2">
                  <c:v>38.492014999999995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E-F846-ACF5-C4C5AA8B9AFB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cat>
          <c:val>
            <c:numRef>
              <c:f>Staff_data_summary!$F$46:$F$48</c:f>
              <c:numCache>
                <c:formatCode>0.0</c:formatCode>
                <c:ptCount val="3"/>
                <c:pt idx="0">
                  <c:v>5.649661</c:v>
                </c:pt>
                <c:pt idx="1">
                  <c:v>6.2200430000000004</c:v>
                </c:pt>
                <c:pt idx="2">
                  <c:v>5.7972679999999999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DE-F846-ACF5-C4C5AA8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910959"/>
        <c:axId val="627912591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xVal>
          <c:yVal>
            <c:numRef>
              <c:f>Staff_data_summary!$G$46:$G$48</c:f>
              <c:numCache>
                <c:formatCode>0.0%</c:formatCode>
                <c:ptCount val="3"/>
                <c:pt idx="0">
                  <c:v>0.14510220495388107</c:v>
                </c:pt>
                <c:pt idx="1">
                  <c:v>0.13294477960878859</c:v>
                </c:pt>
                <c:pt idx="2">
                  <c:v>0.15060962643810671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DE-F846-ACF5-C4C5AA8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95583"/>
        <c:axId val="627393151"/>
      </c:scatterChart>
      <c:catAx>
        <c:axId val="62791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912591"/>
        <c:crosses val="autoZero"/>
        <c:auto val="1"/>
        <c:lblAlgn val="ctr"/>
        <c:lblOffset val="100"/>
        <c:noMultiLvlLbl val="0"/>
      </c:catAx>
      <c:valAx>
        <c:axId val="627912591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27910959"/>
        <c:crosses val="autoZero"/>
        <c:crossBetween val="between"/>
      </c:valAx>
      <c:valAx>
        <c:axId val="62739315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395583"/>
        <c:crosses val="max"/>
        <c:crossBetween val="midCat"/>
      </c:valAx>
      <c:valAx>
        <c:axId val="6273955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39315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cat>
          <c:val>
            <c:numRef>
              <c:f>Staff_data_summary!$H$46:$H$48</c:f>
              <c:numCache>
                <c:formatCode>General</c:formatCode>
                <c:ptCount val="3"/>
                <c:pt idx="0">
                  <c:v>26</c:v>
                </c:pt>
                <c:pt idx="1">
                  <c:v>37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C2-4A4A-94AB-808679AE42BF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cat>
          <c:val>
            <c:numRef>
              <c:f>Staff_data_summary!$I$46:$I$48</c:f>
              <c:numCache>
                <c:formatCode>General</c:formatCode>
                <c:ptCount val="3"/>
                <c:pt idx="0">
                  <c:v>15</c:v>
                </c:pt>
                <c:pt idx="1">
                  <c:v>3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C2-4A4A-94AB-808679AE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418111"/>
        <c:axId val="627419743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Staff_data_summary!$D$46:$D$48</c:f>
              <c:strCache>
                <c:ptCount val="3"/>
                <c:pt idx="0">
                  <c:v>이소현</c:v>
                </c:pt>
                <c:pt idx="1">
                  <c:v>진세빈</c:v>
                </c:pt>
                <c:pt idx="2">
                  <c:v>김석주</c:v>
                </c:pt>
              </c:strCache>
            </c:strRef>
          </c:xVal>
          <c:yVal>
            <c:numRef>
              <c:f>Staff_data_summary!$J$46:$J$48</c:f>
              <c:numCache>
                <c:formatCode>0.0%</c:formatCode>
                <c:ptCount val="3"/>
                <c:pt idx="0">
                  <c:v>0.57692307692307687</c:v>
                </c:pt>
                <c:pt idx="1">
                  <c:v>8.1081081081081086E-2</c:v>
                </c:pt>
                <c:pt idx="2">
                  <c:v>0.35483870967741937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C2-4A4A-94AB-808679AE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449647"/>
        <c:axId val="627447215"/>
      </c:scatterChart>
      <c:catAx>
        <c:axId val="627418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419743"/>
        <c:crosses val="autoZero"/>
        <c:auto val="1"/>
        <c:lblAlgn val="ctr"/>
        <c:lblOffset val="100"/>
        <c:noMultiLvlLbl val="0"/>
      </c:catAx>
      <c:valAx>
        <c:axId val="6274197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627418111"/>
        <c:crosses val="autoZero"/>
        <c:crossBetween val="between"/>
      </c:valAx>
      <c:valAx>
        <c:axId val="62744721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449647"/>
        <c:crosses val="max"/>
        <c:crossBetween val="midCat"/>
      </c:valAx>
      <c:valAx>
        <c:axId val="627449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4472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cat>
          <c:val>
            <c:numRef>
              <c:f>Staff_data_summary!$E$49:$E$52</c:f>
              <c:numCache>
                <c:formatCode>0.0</c:formatCode>
                <c:ptCount val="4"/>
                <c:pt idx="0">
                  <c:v>46.839358999999995</c:v>
                </c:pt>
                <c:pt idx="1">
                  <c:v>33.643702000000012</c:v>
                </c:pt>
                <c:pt idx="2">
                  <c:v>48.766970000000001</c:v>
                </c:pt>
                <c:pt idx="3">
                  <c:v>38.292272000000004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9E-FE4C-9F2E-CCDA3B028B13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cat>
          <c:val>
            <c:numRef>
              <c:f>Staff_data_summary!$F$49:$F$52</c:f>
              <c:numCache>
                <c:formatCode>0.0</c:formatCode>
                <c:ptCount val="4"/>
                <c:pt idx="0">
                  <c:v>5.6955429999999989</c:v>
                </c:pt>
                <c:pt idx="1">
                  <c:v>5.0685470000000006</c:v>
                </c:pt>
                <c:pt idx="2">
                  <c:v>7.591715999999999</c:v>
                </c:pt>
                <c:pt idx="3">
                  <c:v>5.2072129999999985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9E-FE4C-9F2E-CCDA3B02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049455"/>
        <c:axId val="627051087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xVal>
          <c:yVal>
            <c:numRef>
              <c:f>Staff_data_summary!$G$49:$G$52</c:f>
              <c:numCache>
                <c:formatCode>0.0%</c:formatCode>
                <c:ptCount val="4"/>
                <c:pt idx="0">
                  <c:v>0.12159737284192979</c:v>
                </c:pt>
                <c:pt idx="1">
                  <c:v>0.1506536646888621</c:v>
                </c:pt>
                <c:pt idx="2">
                  <c:v>0.15567331741135443</c:v>
                </c:pt>
                <c:pt idx="3">
                  <c:v>0.13598600260647886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9E-FE4C-9F2E-CCDA3B02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264063"/>
        <c:axId val="627261631"/>
      </c:scatterChart>
      <c:catAx>
        <c:axId val="627049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7051087"/>
        <c:crosses val="autoZero"/>
        <c:auto val="1"/>
        <c:lblAlgn val="ctr"/>
        <c:lblOffset val="100"/>
        <c:noMultiLvlLbl val="0"/>
      </c:catAx>
      <c:valAx>
        <c:axId val="627051087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27049455"/>
        <c:crosses val="autoZero"/>
        <c:crossBetween val="between"/>
      </c:valAx>
      <c:valAx>
        <c:axId val="62726163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27264063"/>
        <c:crosses val="max"/>
        <c:crossBetween val="midCat"/>
      </c:valAx>
      <c:valAx>
        <c:axId val="62726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2616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cat>
          <c:val>
            <c:numRef>
              <c:f>Staff_data_summary!$H$49:$H$52</c:f>
              <c:numCache>
                <c:formatCode>General</c:formatCode>
                <c:ptCount val="4"/>
                <c:pt idx="0">
                  <c:v>38</c:v>
                </c:pt>
                <c:pt idx="1">
                  <c:v>32</c:v>
                </c:pt>
                <c:pt idx="2">
                  <c:v>35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A-2441-B126-AD6D7919B335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cat>
          <c:val>
            <c:numRef>
              <c:f>Staff_data_summary!$I$49:$I$52</c:f>
              <c:numCache>
                <c:formatCode>General</c:formatCode>
                <c:ptCount val="4"/>
                <c:pt idx="0">
                  <c:v>11</c:v>
                </c:pt>
                <c:pt idx="1">
                  <c:v>6</c:v>
                </c:pt>
                <c:pt idx="2">
                  <c:v>14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A-2441-B126-AD6D7919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759343"/>
        <c:axId val="529739423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Staff_data_summary!$D$49:$D$52</c:f>
              <c:strCache>
                <c:ptCount val="4"/>
                <c:pt idx="0">
                  <c:v>주한샘</c:v>
                </c:pt>
                <c:pt idx="1">
                  <c:v>최동식</c:v>
                </c:pt>
                <c:pt idx="2">
                  <c:v>이반희</c:v>
                </c:pt>
                <c:pt idx="3">
                  <c:v>이준호</c:v>
                </c:pt>
              </c:strCache>
            </c:strRef>
          </c:xVal>
          <c:yVal>
            <c:numRef>
              <c:f>Staff_data_summary!$J$49:$J$52</c:f>
              <c:numCache>
                <c:formatCode>0.0%</c:formatCode>
                <c:ptCount val="4"/>
                <c:pt idx="0">
                  <c:v>0.28947368421052633</c:v>
                </c:pt>
                <c:pt idx="1">
                  <c:v>0.1875</c:v>
                </c:pt>
                <c:pt idx="2">
                  <c:v>0.4</c:v>
                </c:pt>
                <c:pt idx="3">
                  <c:v>0.16216216216216217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8A-2441-B126-AD6D7919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88799"/>
        <c:axId val="778130943"/>
      </c:scatterChart>
      <c:catAx>
        <c:axId val="522759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9739423"/>
        <c:crosses val="autoZero"/>
        <c:auto val="1"/>
        <c:lblAlgn val="ctr"/>
        <c:lblOffset val="100"/>
        <c:noMultiLvlLbl val="0"/>
      </c:catAx>
      <c:valAx>
        <c:axId val="529739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22759343"/>
        <c:crosses val="autoZero"/>
        <c:crossBetween val="between"/>
      </c:valAx>
      <c:valAx>
        <c:axId val="778130943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778188799"/>
        <c:crosses val="max"/>
        <c:crossBetween val="midCat"/>
      </c:valAx>
      <c:valAx>
        <c:axId val="778188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813094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Staff_data_summary!$E$53:$E$54</c:f>
              <c:numCache>
                <c:formatCode>0.0</c:formatCode>
                <c:ptCount val="2"/>
                <c:pt idx="0">
                  <c:v>32.462551999999988</c:v>
                </c:pt>
                <c:pt idx="1">
                  <c:v>38.801836999999992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F0-5446-897F-7A249977C5A7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Staff_data_summary!$F$53:$F$54</c:f>
              <c:numCache>
                <c:formatCode>0.0</c:formatCode>
                <c:ptCount val="2"/>
                <c:pt idx="0">
                  <c:v>4.8127949999999986</c:v>
                </c:pt>
                <c:pt idx="1">
                  <c:v>5.1375490000000008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F0-5446-897F-7A249977C5A7}"/>
            </c:ext>
          </c:extLst>
        </c:ser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Staff_data_summary!$G$53:$G$54</c:f>
              <c:numCache>
                <c:formatCode>0.0%</c:formatCode>
                <c:ptCount val="2"/>
                <c:pt idx="0">
                  <c:v>0.14825682836025955</c:v>
                </c:pt>
                <c:pt idx="1">
                  <c:v>0.13240478794857063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F0-5446-897F-7A249977C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873695"/>
        <c:axId val="540342511"/>
      </c:barChart>
      <c:catAx>
        <c:axId val="83387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0342511"/>
        <c:crosses val="autoZero"/>
        <c:auto val="1"/>
        <c:lblAlgn val="ctr"/>
        <c:lblOffset val="100"/>
        <c:noMultiLvlLbl val="0"/>
      </c:catAx>
      <c:valAx>
        <c:axId val="540342511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8338736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Staff_data_summary!$H$53:$H$54</c:f>
              <c:numCache>
                <c:formatCode>General</c:formatCode>
                <c:ptCount val="2"/>
                <c:pt idx="0">
                  <c:v>27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59-0B4C-8BC9-D186646C8013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Staff_data_summary!$I$53:$I$54</c:f>
              <c:numCache>
                <c:formatCode>General</c:formatCode>
                <c:ptCount val="2"/>
                <c:pt idx="0">
                  <c:v>26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59-0B4C-8BC9-D186646C8013}"/>
            </c:ext>
          </c:extLst>
        </c:ser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Staff_data_summary!$D$53:$D$54</c:f>
              <c:strCache>
                <c:ptCount val="2"/>
                <c:pt idx="0">
                  <c:v>안준이</c:v>
                </c:pt>
                <c:pt idx="1">
                  <c:v>장은경</c:v>
                </c:pt>
              </c:strCache>
            </c:strRef>
          </c:cat>
          <c:val>
            <c:numRef>
              <c:f>Staff_data_summary!$J$53:$J$54</c:f>
              <c:numCache>
                <c:formatCode>0.0%</c:formatCode>
                <c:ptCount val="2"/>
                <c:pt idx="0">
                  <c:v>0.96296296296296291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59-0B4C-8BC9-D186646C8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025455"/>
        <c:axId val="1029877551"/>
      </c:barChart>
      <c:catAx>
        <c:axId val="539025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9877551"/>
        <c:crosses val="autoZero"/>
        <c:auto val="1"/>
        <c:lblAlgn val="ctr"/>
        <c:lblOffset val="100"/>
        <c:noMultiLvlLbl val="0"/>
      </c:catAx>
      <c:valAx>
        <c:axId val="1029877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390254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cat>
          <c:val>
            <c:numRef>
              <c:f>Staff_data_summary!$E$55:$E$61</c:f>
              <c:numCache>
                <c:formatCode>0.0</c:formatCode>
                <c:ptCount val="7"/>
                <c:pt idx="0">
                  <c:v>2.2727000000000001E-2</c:v>
                </c:pt>
                <c:pt idx="1">
                  <c:v>57.754537999999997</c:v>
                </c:pt>
                <c:pt idx="2">
                  <c:v>76.584877000000006</c:v>
                </c:pt>
                <c:pt idx="3">
                  <c:v>102.31037099999998</c:v>
                </c:pt>
                <c:pt idx="4">
                  <c:v>81.84008200000001</c:v>
                </c:pt>
                <c:pt idx="5">
                  <c:v>79.964650999999989</c:v>
                </c:pt>
                <c:pt idx="6">
                  <c:v>80.695857999999973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1-3F41-8089-FFA2764A570D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cat>
          <c:val>
            <c:numRef>
              <c:f>Staff_data_summary!$F$55:$F$61</c:f>
              <c:numCache>
                <c:formatCode>0.0</c:formatCode>
                <c:ptCount val="7"/>
                <c:pt idx="0">
                  <c:v>5.7270000000000003E-3</c:v>
                </c:pt>
                <c:pt idx="1">
                  <c:v>7.2969740000000005</c:v>
                </c:pt>
                <c:pt idx="2">
                  <c:v>9.5168140000000019</c:v>
                </c:pt>
                <c:pt idx="3">
                  <c:v>12.878648000000002</c:v>
                </c:pt>
                <c:pt idx="4">
                  <c:v>11.169245</c:v>
                </c:pt>
                <c:pt idx="5">
                  <c:v>11.416686000000002</c:v>
                </c:pt>
                <c:pt idx="6">
                  <c:v>11.717508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61-3F41-8089-FFA2764A5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1076079"/>
        <c:axId val="540721631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xVal>
          <c:yVal>
            <c:numRef>
              <c:f>Staff_data_summary!$G$55:$G$61</c:f>
              <c:numCache>
                <c:formatCode>0.0%</c:formatCode>
                <c:ptCount val="7"/>
                <c:pt idx="0">
                  <c:v>0.25199102389228673</c:v>
                </c:pt>
                <c:pt idx="1">
                  <c:v>0.12634459996892367</c:v>
                </c:pt>
                <c:pt idx="2">
                  <c:v>0.12426492504518877</c:v>
                </c:pt>
                <c:pt idx="3">
                  <c:v>0.12587822597183237</c:v>
                </c:pt>
                <c:pt idx="4">
                  <c:v>0.13647646394098187</c:v>
                </c:pt>
                <c:pt idx="5">
                  <c:v>0.14277166044281245</c:v>
                </c:pt>
                <c:pt idx="6">
                  <c:v>0.1452058171312833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61-3F41-8089-FFA2764A5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54431"/>
        <c:axId val="557768239"/>
      </c:scatterChart>
      <c:catAx>
        <c:axId val="611076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0721631"/>
        <c:crosses val="autoZero"/>
        <c:auto val="1"/>
        <c:lblAlgn val="ctr"/>
        <c:lblOffset val="100"/>
        <c:noMultiLvlLbl val="0"/>
      </c:catAx>
      <c:valAx>
        <c:axId val="540721631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11076079"/>
        <c:crosses val="autoZero"/>
        <c:crossBetween val="between"/>
      </c:valAx>
      <c:valAx>
        <c:axId val="55776823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51754431"/>
        <c:crosses val="max"/>
        <c:crossBetween val="midCat"/>
      </c:valAx>
      <c:valAx>
        <c:axId val="551754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7682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cat>
          <c:val>
            <c:numRef>
              <c:f>Staff_data_summary!$H$55:$H$61</c:f>
              <c:numCache>
                <c:formatCode>General</c:formatCode>
                <c:ptCount val="7"/>
                <c:pt idx="1">
                  <c:v>57</c:v>
                </c:pt>
                <c:pt idx="2">
                  <c:v>56</c:v>
                </c:pt>
                <c:pt idx="3">
                  <c:v>73</c:v>
                </c:pt>
                <c:pt idx="4">
                  <c:v>74</c:v>
                </c:pt>
                <c:pt idx="5">
                  <c:v>77</c:v>
                </c:pt>
                <c:pt idx="6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9-1E49-98C8-263EBE80DB79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cat>
          <c:val>
            <c:numRef>
              <c:f>Staff_data_summary!$I$55:$I$61</c:f>
              <c:numCache>
                <c:formatCode>General</c:formatCode>
                <c:ptCount val="7"/>
                <c:pt idx="1">
                  <c:v>14</c:v>
                </c:pt>
                <c:pt idx="2">
                  <c:v>19</c:v>
                </c:pt>
                <c:pt idx="3">
                  <c:v>40</c:v>
                </c:pt>
                <c:pt idx="4">
                  <c:v>25</c:v>
                </c:pt>
                <c:pt idx="5">
                  <c:v>22</c:v>
                </c:pt>
                <c:pt idx="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9-1E49-98C8-263EBE80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512431"/>
        <c:axId val="557514063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Staff_data_summary!$D$55:$D$61</c:f>
              <c:strCache>
                <c:ptCount val="7"/>
                <c:pt idx="0">
                  <c:v>김태경</c:v>
                </c:pt>
                <c:pt idx="1">
                  <c:v>류진희</c:v>
                </c:pt>
                <c:pt idx="2">
                  <c:v>이지원</c:v>
                </c:pt>
                <c:pt idx="3">
                  <c:v>서솔</c:v>
                </c:pt>
                <c:pt idx="4">
                  <c:v>백은정</c:v>
                </c:pt>
                <c:pt idx="5">
                  <c:v>전효석</c:v>
                </c:pt>
                <c:pt idx="6">
                  <c:v>서윤배</c:v>
                </c:pt>
              </c:strCache>
            </c:strRef>
          </c:xVal>
          <c:yVal>
            <c:numRef>
              <c:f>Staff_data_summary!$J$55:$J$61</c:f>
              <c:numCache>
                <c:formatCode>0.0%</c:formatCode>
                <c:ptCount val="7"/>
                <c:pt idx="1">
                  <c:v>0.24561403508771928</c:v>
                </c:pt>
                <c:pt idx="2">
                  <c:v>0.3392857142857143</c:v>
                </c:pt>
                <c:pt idx="3">
                  <c:v>0.54794520547945202</c:v>
                </c:pt>
                <c:pt idx="4">
                  <c:v>0.33783783783783783</c:v>
                </c:pt>
                <c:pt idx="5">
                  <c:v>0.2857142857142857</c:v>
                </c:pt>
                <c:pt idx="6">
                  <c:v>0.30303030303030304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09-1E49-98C8-263EBE80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6863"/>
        <c:axId val="557544431"/>
      </c:scatterChart>
      <c:catAx>
        <c:axId val="557512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514063"/>
        <c:crosses val="autoZero"/>
        <c:auto val="1"/>
        <c:lblAlgn val="ctr"/>
        <c:lblOffset val="100"/>
        <c:noMultiLvlLbl val="0"/>
      </c:catAx>
      <c:valAx>
        <c:axId val="557514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557512431"/>
        <c:crosses val="autoZero"/>
        <c:crossBetween val="between"/>
      </c:valAx>
      <c:valAx>
        <c:axId val="55754443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557546863"/>
        <c:crosses val="max"/>
        <c:crossBetween val="midCat"/>
      </c:valAx>
      <c:valAx>
        <c:axId val="5575468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5444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556260</xdr:colOff>
      <xdr:row>0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118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9280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556260</xdr:colOff>
      <xdr:row>0</xdr:row>
      <xdr:rowOff>0</xdr:rowOff>
    </xdr:from>
    <xdr:ext cx="102657" cy="264624"/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311860" y="18902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5" name="TextBox 1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9280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6" name="TextBox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928060" y="18902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3" name="TextBox 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12700</xdr:rowOff>
        </xdr:from>
        <xdr:to>
          <xdr:col>4</xdr:col>
          <xdr:colOff>368300</xdr:colOff>
          <xdr:row>6</xdr:row>
          <xdr:rowOff>50800</xdr:rowOff>
        </xdr:to>
        <xdr:sp macro="" textlink="">
          <xdr:nvSpPr>
            <xdr:cNvPr id="4097" name="Button 1" descr="Star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</xdr:row>
          <xdr:rowOff>38100</xdr:rowOff>
        </xdr:from>
        <xdr:to>
          <xdr:col>7</xdr:col>
          <xdr:colOff>749300</xdr:colOff>
          <xdr:row>6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207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207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5" name="TextBox 1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" name="TextBox 18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102657" cy="264624"/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102657" cy="264624"/>
    <xdr:sp macro="" textlink="">
      <xdr:nvSpPr>
        <xdr:cNvPr id="8" name="TextBox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7" name="TextBox 5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8" name="TextBox 1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69" name="TextBox 5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70" name="TextBox 1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71" name="TextBox 5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72" name="TextBox 1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73" name="TextBox 5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75" name="TextBox 5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76" name="TextBox 1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7" name="TextBox 5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8" name="TextBox 1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9" name="TextBox 5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0" name="TextBox 1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1" name="TextBox 5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2" name="TextBox 1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3" name="TextBox 5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4" name="TextBox 1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5" name="TextBox 5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6" name="TextBox 1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7" name="TextBox 5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8" name="TextBox 1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9" name="TextBox 5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0" name="TextBox 1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1" name="TextBox 5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2" name="TextBox 1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3" name="TextBox 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4" name="TextBox 1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5" name="TextBox 5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6" name="TextBox 1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7" name="TextBox 5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8" name="TextBox 1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9" name="TextBox 5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0" name="TextBox 1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1" name="TextBox 5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2" name="TextBox 1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3" name="TextBox 5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4" name="TextBox 1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5" name="TextBox 5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6" name="TextBox 1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7" name="TextBox 5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8" name="TextBox 1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9" name="TextBox 5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0" name="TextBox 1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1" name="TextBox 5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2" name="TextBox 1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3" name="TextBox 5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4" name="TextBox 1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5" name="TextBox 5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6" name="TextBox 1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7" name="TextBox 5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8" name="TextBox 1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9" name="TextBox 5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0" name="TextBox 1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1" name="TextBox 5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2" name="TextBox 1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3" name="TextBox 5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4" name="TextBox 14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5" name="TextBox 5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6" name="TextBox 1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7" name="TextBox 5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8" name="TextBox 1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9" name="TextBox 5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0" name="TextBox 1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1" name="TextBox 5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2" name="TextBox 1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3" name="TextBox 5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4" name="TextBox 1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6</xdr:col>
      <xdr:colOff>0</xdr:colOff>
      <xdr:row>12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12</xdr:col>
      <xdr:colOff>0</xdr:colOff>
      <xdr:row>12</xdr:row>
      <xdr:rowOff>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15</xdr:col>
      <xdr:colOff>0</xdr:colOff>
      <xdr:row>12</xdr:row>
      <xdr:rowOff>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0</xdr:colOff>
      <xdr:row>12</xdr:row>
      <xdr:rowOff>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21</xdr:col>
      <xdr:colOff>0</xdr:colOff>
      <xdr:row>12</xdr:row>
      <xdr:rowOff>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24</xdr:col>
      <xdr:colOff>0</xdr:colOff>
      <xdr:row>12</xdr:row>
      <xdr:rowOff>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2</xdr:row>
      <xdr:rowOff>0</xdr:rowOff>
    </xdr:from>
    <xdr:to>
      <xdr:col>27</xdr:col>
      <xdr:colOff>0</xdr:colOff>
      <xdr:row>12</xdr:row>
      <xdr:rowOff>0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2</xdr:row>
      <xdr:rowOff>0</xdr:rowOff>
    </xdr:from>
    <xdr:to>
      <xdr:col>30</xdr:col>
      <xdr:colOff>0</xdr:colOff>
      <xdr:row>12</xdr:row>
      <xdr:rowOff>0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0</xdr:colOff>
      <xdr:row>2</xdr:row>
      <xdr:rowOff>0</xdr:rowOff>
    </xdr:from>
    <xdr:to>
      <xdr:col>33</xdr:col>
      <xdr:colOff>0</xdr:colOff>
      <xdr:row>12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2</xdr:row>
      <xdr:rowOff>0</xdr:rowOff>
    </xdr:from>
    <xdr:to>
      <xdr:col>36</xdr:col>
      <xdr:colOff>0</xdr:colOff>
      <xdr:row>12</xdr:row>
      <xdr:rowOff>0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2</xdr:row>
      <xdr:rowOff>0</xdr:rowOff>
    </xdr:from>
    <xdr:to>
      <xdr:col>39</xdr:col>
      <xdr:colOff>0</xdr:colOff>
      <xdr:row>12</xdr:row>
      <xdr:rowOff>0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42</xdr:col>
      <xdr:colOff>0</xdr:colOff>
      <xdr:row>12</xdr:row>
      <xdr:rowOff>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42</xdr:col>
      <xdr:colOff>0</xdr:colOff>
      <xdr:row>2</xdr:row>
      <xdr:rowOff>0</xdr:rowOff>
    </xdr:from>
    <xdr:to>
      <xdr:col>45</xdr:col>
      <xdr:colOff>0</xdr:colOff>
      <xdr:row>12</xdr:row>
      <xdr:rowOff>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0</xdr:colOff>
      <xdr:row>2</xdr:row>
      <xdr:rowOff>0</xdr:rowOff>
    </xdr:from>
    <xdr:to>
      <xdr:col>48</xdr:col>
      <xdr:colOff>0</xdr:colOff>
      <xdr:row>12</xdr:row>
      <xdr:rowOff>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18" name="圖表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21</xdr:col>
      <xdr:colOff>0</xdr:colOff>
      <xdr:row>29</xdr:row>
      <xdr:rowOff>0</xdr:rowOff>
    </xdr:to>
    <xdr:graphicFrame macro="">
      <xdr:nvGraphicFramePr>
        <xdr:cNvPr id="19" name="圖表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12</xdr:col>
      <xdr:colOff>0</xdr:colOff>
      <xdr:row>64</xdr:row>
      <xdr:rowOff>0</xdr:rowOff>
    </xdr:to>
    <xdr:graphicFrame macro="">
      <xdr:nvGraphicFramePr>
        <xdr:cNvPr id="20" name="圖表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9</xdr:col>
      <xdr:colOff>0</xdr:colOff>
      <xdr:row>87</xdr:row>
      <xdr:rowOff>0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0</xdr:colOff>
      <xdr:row>66</xdr:row>
      <xdr:rowOff>0</xdr:rowOff>
    </xdr:from>
    <xdr:to>
      <xdr:col>18</xdr:col>
      <xdr:colOff>0</xdr:colOff>
      <xdr:row>87</xdr:row>
      <xdr:rowOff>0</xdr:rowOff>
    </xdr:to>
    <xdr:graphicFrame macro="">
      <xdr:nvGraphicFramePr>
        <xdr:cNvPr id="22" name="圖表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66</xdr:row>
      <xdr:rowOff>0</xdr:rowOff>
    </xdr:from>
    <xdr:to>
      <xdr:col>27</xdr:col>
      <xdr:colOff>0</xdr:colOff>
      <xdr:row>87</xdr:row>
      <xdr:rowOff>0</xdr:rowOff>
    </xdr:to>
    <xdr:graphicFrame macro="">
      <xdr:nvGraphicFramePr>
        <xdr:cNvPr id="23" name="圖表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87</xdr:row>
      <xdr:rowOff>0</xdr:rowOff>
    </xdr:from>
    <xdr:to>
      <xdr:col>9</xdr:col>
      <xdr:colOff>0</xdr:colOff>
      <xdr:row>107</xdr:row>
      <xdr:rowOff>0</xdr:rowOff>
    </xdr:to>
    <xdr:graphicFrame macro="">
      <xdr:nvGraphicFramePr>
        <xdr:cNvPr id="24" name="圖表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87</xdr:row>
      <xdr:rowOff>0</xdr:rowOff>
    </xdr:from>
    <xdr:to>
      <xdr:col>18</xdr:col>
      <xdr:colOff>0</xdr:colOff>
      <xdr:row>107</xdr:row>
      <xdr:rowOff>0</xdr:rowOff>
    </xdr:to>
    <xdr:graphicFrame macro="">
      <xdr:nvGraphicFramePr>
        <xdr:cNvPr id="25" name="圖表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45</xdr:row>
      <xdr:rowOff>0</xdr:rowOff>
    </xdr:to>
    <xdr:graphicFrame macro="">
      <xdr:nvGraphicFramePr>
        <xdr:cNvPr id="26" name="圖表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110</xdr:row>
      <xdr:rowOff>0</xdr:rowOff>
    </xdr:from>
    <xdr:to>
      <xdr:col>3</xdr:col>
      <xdr:colOff>0</xdr:colOff>
      <xdr:row>122</xdr:row>
      <xdr:rowOff>0</xdr:rowOff>
    </xdr:to>
    <xdr:graphicFrame macro="">
      <xdr:nvGraphicFramePr>
        <xdr:cNvPr id="27" name="圖表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28" name="圖表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0</xdr:colOff>
      <xdr:row>110</xdr:row>
      <xdr:rowOff>0</xdr:rowOff>
    </xdr:from>
    <xdr:to>
      <xdr:col>6</xdr:col>
      <xdr:colOff>0</xdr:colOff>
      <xdr:row>122</xdr:row>
      <xdr:rowOff>0</xdr:rowOff>
    </xdr:to>
    <xdr:graphicFrame macro="">
      <xdr:nvGraphicFramePr>
        <xdr:cNvPr id="29" name="圖表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9</xdr:col>
      <xdr:colOff>0</xdr:colOff>
      <xdr:row>45</xdr:row>
      <xdr:rowOff>0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0</xdr:colOff>
      <xdr:row>110</xdr:row>
      <xdr:rowOff>0</xdr:rowOff>
    </xdr:from>
    <xdr:to>
      <xdr:col>9</xdr:col>
      <xdr:colOff>0</xdr:colOff>
      <xdr:row>122</xdr:row>
      <xdr:rowOff>0</xdr:rowOff>
    </xdr:to>
    <xdr:graphicFrame macro="">
      <xdr:nvGraphicFramePr>
        <xdr:cNvPr id="31" name="圖表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12</xdr:col>
      <xdr:colOff>0</xdr:colOff>
      <xdr:row>45</xdr:row>
      <xdr:rowOff>0</xdr:rowOff>
    </xdr:to>
    <xdr:graphicFrame macro="">
      <xdr:nvGraphicFramePr>
        <xdr:cNvPr id="32" name="圖表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110</xdr:row>
      <xdr:rowOff>0</xdr:rowOff>
    </xdr:from>
    <xdr:to>
      <xdr:col>12</xdr:col>
      <xdr:colOff>0</xdr:colOff>
      <xdr:row>122</xdr:row>
      <xdr:rowOff>0</xdr:rowOff>
    </xdr:to>
    <xdr:graphicFrame macro="">
      <xdr:nvGraphicFramePr>
        <xdr:cNvPr id="33" name="圖表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0</xdr:colOff>
      <xdr:row>32</xdr:row>
      <xdr:rowOff>0</xdr:rowOff>
    </xdr:from>
    <xdr:to>
      <xdr:col>15</xdr:col>
      <xdr:colOff>0</xdr:colOff>
      <xdr:row>45</xdr:row>
      <xdr:rowOff>0</xdr:rowOff>
    </xdr:to>
    <xdr:graphicFrame macro="">
      <xdr:nvGraphicFramePr>
        <xdr:cNvPr id="34" name="圖表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0</xdr:colOff>
      <xdr:row>110</xdr:row>
      <xdr:rowOff>0</xdr:rowOff>
    </xdr:from>
    <xdr:to>
      <xdr:col>15</xdr:col>
      <xdr:colOff>0</xdr:colOff>
      <xdr:row>122</xdr:row>
      <xdr:rowOff>0</xdr:rowOff>
    </xdr:to>
    <xdr:graphicFrame macro="">
      <xdr:nvGraphicFramePr>
        <xdr:cNvPr id="35" name="圖表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0</xdr:colOff>
      <xdr:row>32</xdr:row>
      <xdr:rowOff>0</xdr:rowOff>
    </xdr:from>
    <xdr:to>
      <xdr:col>18</xdr:col>
      <xdr:colOff>0</xdr:colOff>
      <xdr:row>45</xdr:row>
      <xdr:rowOff>0</xdr:rowOff>
    </xdr:to>
    <xdr:graphicFrame macro="">
      <xdr:nvGraphicFramePr>
        <xdr:cNvPr id="36" name="圖表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15</xdr:col>
      <xdr:colOff>0</xdr:colOff>
      <xdr:row>110</xdr:row>
      <xdr:rowOff>0</xdr:rowOff>
    </xdr:from>
    <xdr:to>
      <xdr:col>18</xdr:col>
      <xdr:colOff>0</xdr:colOff>
      <xdr:row>122</xdr:row>
      <xdr:rowOff>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18</xdr:col>
      <xdr:colOff>0</xdr:colOff>
      <xdr:row>32</xdr:row>
      <xdr:rowOff>0</xdr:rowOff>
    </xdr:from>
    <xdr:to>
      <xdr:col>21</xdr:col>
      <xdr:colOff>0</xdr:colOff>
      <xdr:row>45</xdr:row>
      <xdr:rowOff>0</xdr:rowOff>
    </xdr:to>
    <xdr:graphicFrame macro="">
      <xdr:nvGraphicFramePr>
        <xdr:cNvPr id="38" name="圖表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18</xdr:col>
      <xdr:colOff>0</xdr:colOff>
      <xdr:row>110</xdr:row>
      <xdr:rowOff>0</xdr:rowOff>
    </xdr:from>
    <xdr:to>
      <xdr:col>21</xdr:col>
      <xdr:colOff>0</xdr:colOff>
      <xdr:row>122</xdr:row>
      <xdr:rowOff>0</xdr:rowOff>
    </xdr:to>
    <xdr:graphicFrame macro="">
      <xdr:nvGraphicFramePr>
        <xdr:cNvPr id="39" name="圖表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24</xdr:col>
      <xdr:colOff>0</xdr:colOff>
      <xdr:row>45</xdr:row>
      <xdr:rowOff>0</xdr:rowOff>
    </xdr:to>
    <xdr:graphicFrame macro="">
      <xdr:nvGraphicFramePr>
        <xdr:cNvPr id="40" name="圖表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110</xdr:row>
      <xdr:rowOff>0</xdr:rowOff>
    </xdr:from>
    <xdr:to>
      <xdr:col>24</xdr:col>
      <xdr:colOff>0</xdr:colOff>
      <xdr:row>122</xdr:row>
      <xdr:rowOff>0</xdr:rowOff>
    </xdr:to>
    <xdr:graphicFrame macro="">
      <xdr:nvGraphicFramePr>
        <xdr:cNvPr id="41" name="圖表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24</xdr:col>
      <xdr:colOff>0</xdr:colOff>
      <xdr:row>32</xdr:row>
      <xdr:rowOff>0</xdr:rowOff>
    </xdr:from>
    <xdr:to>
      <xdr:col>27</xdr:col>
      <xdr:colOff>0</xdr:colOff>
      <xdr:row>45</xdr:row>
      <xdr:rowOff>0</xdr:rowOff>
    </xdr:to>
    <xdr:graphicFrame macro="">
      <xdr:nvGraphicFramePr>
        <xdr:cNvPr id="42" name="圖表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24</xdr:col>
      <xdr:colOff>0</xdr:colOff>
      <xdr:row>110</xdr:row>
      <xdr:rowOff>0</xdr:rowOff>
    </xdr:from>
    <xdr:to>
      <xdr:col>27</xdr:col>
      <xdr:colOff>0</xdr:colOff>
      <xdr:row>122</xdr:row>
      <xdr:rowOff>0</xdr:rowOff>
    </xdr:to>
    <xdr:graphicFrame macro="">
      <xdr:nvGraphicFramePr>
        <xdr:cNvPr id="43" name="圖表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27</xdr:col>
      <xdr:colOff>0</xdr:colOff>
      <xdr:row>32</xdr:row>
      <xdr:rowOff>0</xdr:rowOff>
    </xdr:from>
    <xdr:to>
      <xdr:col>30</xdr:col>
      <xdr:colOff>0</xdr:colOff>
      <xdr:row>45</xdr:row>
      <xdr:rowOff>0</xdr:rowOff>
    </xdr:to>
    <xdr:graphicFrame macro="">
      <xdr:nvGraphicFramePr>
        <xdr:cNvPr id="44" name="圖表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27</xdr:col>
      <xdr:colOff>0</xdr:colOff>
      <xdr:row>110</xdr:row>
      <xdr:rowOff>0</xdr:rowOff>
    </xdr:from>
    <xdr:to>
      <xdr:col>30</xdr:col>
      <xdr:colOff>0</xdr:colOff>
      <xdr:row>122</xdr:row>
      <xdr:rowOff>0</xdr:rowOff>
    </xdr:to>
    <xdr:graphicFrame macro="">
      <xdr:nvGraphicFramePr>
        <xdr:cNvPr id="45" name="圖表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30</xdr:col>
      <xdr:colOff>0</xdr:colOff>
      <xdr:row>32</xdr:row>
      <xdr:rowOff>0</xdr:rowOff>
    </xdr:from>
    <xdr:to>
      <xdr:col>33</xdr:col>
      <xdr:colOff>0</xdr:colOff>
      <xdr:row>45</xdr:row>
      <xdr:rowOff>0</xdr:rowOff>
    </xdr:to>
    <xdr:graphicFrame macro="">
      <xdr:nvGraphicFramePr>
        <xdr:cNvPr id="46" name="圖表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30</xdr:col>
      <xdr:colOff>0</xdr:colOff>
      <xdr:row>110</xdr:row>
      <xdr:rowOff>0</xdr:rowOff>
    </xdr:from>
    <xdr:to>
      <xdr:col>33</xdr:col>
      <xdr:colOff>0</xdr:colOff>
      <xdr:row>122</xdr:row>
      <xdr:rowOff>0</xdr:rowOff>
    </xdr:to>
    <xdr:graphicFrame macro="">
      <xdr:nvGraphicFramePr>
        <xdr:cNvPr id="47" name="圖表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33</xdr:col>
      <xdr:colOff>0</xdr:colOff>
      <xdr:row>32</xdr:row>
      <xdr:rowOff>0</xdr:rowOff>
    </xdr:from>
    <xdr:to>
      <xdr:col>36</xdr:col>
      <xdr:colOff>0</xdr:colOff>
      <xdr:row>45</xdr:row>
      <xdr:rowOff>0</xdr:rowOff>
    </xdr:to>
    <xdr:graphicFrame macro="">
      <xdr:nvGraphicFramePr>
        <xdr:cNvPr id="48" name="圖表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33</xdr:col>
      <xdr:colOff>0</xdr:colOff>
      <xdr:row>110</xdr:row>
      <xdr:rowOff>0</xdr:rowOff>
    </xdr:from>
    <xdr:to>
      <xdr:col>36</xdr:col>
      <xdr:colOff>0</xdr:colOff>
      <xdr:row>122</xdr:row>
      <xdr:rowOff>0</xdr:rowOff>
    </xdr:to>
    <xdr:graphicFrame macro="">
      <xdr:nvGraphicFramePr>
        <xdr:cNvPr id="49" name="圖表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36</xdr:col>
      <xdr:colOff>0</xdr:colOff>
      <xdr:row>32</xdr:row>
      <xdr:rowOff>0</xdr:rowOff>
    </xdr:from>
    <xdr:to>
      <xdr:col>39</xdr:col>
      <xdr:colOff>0</xdr:colOff>
      <xdr:row>45</xdr:row>
      <xdr:rowOff>0</xdr:rowOff>
    </xdr:to>
    <xdr:graphicFrame macro="">
      <xdr:nvGraphicFramePr>
        <xdr:cNvPr id="50" name="圖表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36</xdr:col>
      <xdr:colOff>0</xdr:colOff>
      <xdr:row>110</xdr:row>
      <xdr:rowOff>0</xdr:rowOff>
    </xdr:from>
    <xdr:to>
      <xdr:col>39</xdr:col>
      <xdr:colOff>0</xdr:colOff>
      <xdr:row>122</xdr:row>
      <xdr:rowOff>0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39</xdr:col>
      <xdr:colOff>0</xdr:colOff>
      <xdr:row>32</xdr:row>
      <xdr:rowOff>0</xdr:rowOff>
    </xdr:from>
    <xdr:to>
      <xdr:col>42</xdr:col>
      <xdr:colOff>0</xdr:colOff>
      <xdr:row>45</xdr:row>
      <xdr:rowOff>0</xdr:rowOff>
    </xdr:to>
    <xdr:graphicFrame macro="">
      <xdr:nvGraphicFramePr>
        <xdr:cNvPr id="52" name="圖表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39</xdr:col>
      <xdr:colOff>0</xdr:colOff>
      <xdr:row>110</xdr:row>
      <xdr:rowOff>0</xdr:rowOff>
    </xdr:from>
    <xdr:to>
      <xdr:col>42</xdr:col>
      <xdr:colOff>0</xdr:colOff>
      <xdr:row>122</xdr:row>
      <xdr:rowOff>0</xdr:rowOff>
    </xdr:to>
    <xdr:graphicFrame macro="">
      <xdr:nvGraphicFramePr>
        <xdr:cNvPr id="53" name="圖表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C178-4921-724D-BCD3-532644CDD20A}">
  <sheetPr codeName="工作表1"/>
  <dimension ref="A1:T23"/>
  <sheetViews>
    <sheetView workbookViewId="0">
      <selection activeCell="F14" sqref="F14"/>
    </sheetView>
  </sheetViews>
  <sheetFormatPr baseColWidth="10" defaultRowHeight="15"/>
  <sheetData>
    <row r="1" spans="1:20">
      <c r="D1" t="s">
        <v>46</v>
      </c>
      <c r="H1" t="s">
        <v>46</v>
      </c>
      <c r="L1" t="s">
        <v>46</v>
      </c>
    </row>
    <row r="2" spans="1:20">
      <c r="A2" t="s">
        <v>9</v>
      </c>
      <c r="B2" s="4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48</v>
      </c>
      <c r="I2" t="s">
        <v>16</v>
      </c>
      <c r="J2" t="s">
        <v>17</v>
      </c>
      <c r="K2" t="s">
        <v>18</v>
      </c>
      <c r="L2" t="s">
        <v>23</v>
      </c>
      <c r="M2" t="s">
        <v>24</v>
      </c>
      <c r="N2" t="s">
        <v>25</v>
      </c>
    </row>
    <row r="3" spans="1:20">
      <c r="A3" s="1" t="s">
        <v>0</v>
      </c>
      <c r="B3" s="2">
        <v>66.788607999999996</v>
      </c>
      <c r="C3" s="2">
        <v>53.430886399999999</v>
      </c>
      <c r="D3" s="2">
        <v>39.589846000000001</v>
      </c>
      <c r="E3" s="3">
        <v>0.59276345451008661</v>
      </c>
    </row>
    <row r="4" spans="1:20">
      <c r="A4" s="1" t="s">
        <v>2</v>
      </c>
      <c r="B4" s="2">
        <v>68.1313501800566</v>
      </c>
      <c r="C4" s="2">
        <v>54.50508014404528</v>
      </c>
      <c r="D4" s="2">
        <v>50.391111000000002</v>
      </c>
      <c r="E4" s="3">
        <v>0.73961709061727188</v>
      </c>
    </row>
    <row r="5" spans="1:20">
      <c r="A5" s="1" t="s">
        <v>4</v>
      </c>
      <c r="B5" s="2">
        <v>42.5086226149254</v>
      </c>
      <c r="C5" s="2">
        <v>34.006898091940322</v>
      </c>
      <c r="D5" s="2">
        <v>22.748861999999999</v>
      </c>
      <c r="E5" s="3">
        <v>0.53515876545979968</v>
      </c>
    </row>
    <row r="6" spans="1:20">
      <c r="A6" s="1" t="s">
        <v>6</v>
      </c>
      <c r="B6" s="2">
        <v>26.2781061790261</v>
      </c>
      <c r="C6" s="2">
        <v>21.022484943220881</v>
      </c>
      <c r="D6" s="2">
        <v>21.127198</v>
      </c>
      <c r="E6" s="3">
        <v>0.80398480225575375</v>
      </c>
    </row>
    <row r="7" spans="1:20">
      <c r="A7" s="1" t="s">
        <v>1</v>
      </c>
      <c r="B7" s="2">
        <v>25.081539180056602</v>
      </c>
      <c r="C7" s="2">
        <v>20.065231344045284</v>
      </c>
      <c r="D7" s="2">
        <v>16.605575999999999</v>
      </c>
      <c r="E7" s="3">
        <v>0.66206367483235629</v>
      </c>
    </row>
    <row r="8" spans="1:20">
      <c r="A8" s="1" t="s">
        <v>3</v>
      </c>
      <c r="B8" s="2">
        <v>37.777700292052799</v>
      </c>
      <c r="C8" s="2">
        <v>30.222160233642242</v>
      </c>
      <c r="D8" s="2">
        <v>22.842737</v>
      </c>
      <c r="E8" s="3">
        <v>0.6046619255117911</v>
      </c>
    </row>
    <row r="9" spans="1:20">
      <c r="A9" s="1" t="s">
        <v>5</v>
      </c>
      <c r="B9" s="2">
        <v>28.415031147189598</v>
      </c>
      <c r="C9" s="2">
        <v>22.73202491775168</v>
      </c>
      <c r="D9" s="2">
        <v>20.914867999999998</v>
      </c>
      <c r="E9" s="3">
        <v>0.73604944832406394</v>
      </c>
    </row>
    <row r="10" spans="1:20">
      <c r="A10" s="1" t="s">
        <v>7</v>
      </c>
      <c r="B10" s="2">
        <v>294.9809575933071</v>
      </c>
      <c r="C10" s="2">
        <v>235.98476607464568</v>
      </c>
      <c r="D10" s="2">
        <v>194.22019800000001</v>
      </c>
      <c r="E10" s="3">
        <v>0.65841605364836175</v>
      </c>
    </row>
    <row r="13" spans="1:20">
      <c r="A13" s="5" t="s">
        <v>19</v>
      </c>
      <c r="B13" t="s">
        <v>20</v>
      </c>
      <c r="C13" t="s">
        <v>21</v>
      </c>
      <c r="D13" t="s">
        <v>22</v>
      </c>
      <c r="E13" t="s">
        <v>26</v>
      </c>
      <c r="F13" t="s">
        <v>27</v>
      </c>
      <c r="G13" t="s">
        <v>31</v>
      </c>
      <c r="I13" t="s">
        <v>29</v>
      </c>
      <c r="J13" t="s">
        <v>30</v>
      </c>
      <c r="K13" t="s">
        <v>32</v>
      </c>
      <c r="L13" t="s">
        <v>33</v>
      </c>
      <c r="M13" t="s">
        <v>34</v>
      </c>
      <c r="N13" t="s">
        <v>35</v>
      </c>
      <c r="O13" t="s">
        <v>37</v>
      </c>
      <c r="P13" t="s">
        <v>38</v>
      </c>
      <c r="Q13" t="s">
        <v>39</v>
      </c>
      <c r="R13" t="s">
        <v>40</v>
      </c>
      <c r="S13" t="s">
        <v>41</v>
      </c>
      <c r="T13" t="s">
        <v>42</v>
      </c>
    </row>
    <row r="21" spans="1:15">
      <c r="A21" t="s">
        <v>8</v>
      </c>
      <c r="B21" t="s">
        <v>19</v>
      </c>
      <c r="C21" t="s">
        <v>43</v>
      </c>
      <c r="D21" t="s">
        <v>44</v>
      </c>
      <c r="E21" t="s">
        <v>45</v>
      </c>
      <c r="I21" t="s">
        <v>8</v>
      </c>
      <c r="J21" t="s">
        <v>19</v>
      </c>
      <c r="K21" t="s">
        <v>20</v>
      </c>
      <c r="L21" t="s">
        <v>21</v>
      </c>
      <c r="M21" t="s">
        <v>47</v>
      </c>
      <c r="N21" t="s">
        <v>23</v>
      </c>
      <c r="O21" t="s">
        <v>49</v>
      </c>
    </row>
    <row r="23" spans="1:15">
      <c r="I23" t="s">
        <v>8</v>
      </c>
      <c r="J23" t="s">
        <v>19</v>
      </c>
      <c r="K23" t="s">
        <v>20</v>
      </c>
      <c r="L23" t="s">
        <v>21</v>
      </c>
      <c r="M23" t="s">
        <v>57</v>
      </c>
      <c r="N23" t="s">
        <v>58</v>
      </c>
      <c r="O23" t="s">
        <v>59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6A44-0E3A-1048-A4CD-3B08C44C784B}">
  <sheetPr codeName="工作表2"/>
  <dimension ref="A1:I17"/>
  <sheetViews>
    <sheetView zoomScale="140" zoomScaleNormal="140" workbookViewId="0">
      <selection activeCell="J5" sqref="J5"/>
    </sheetView>
  </sheetViews>
  <sheetFormatPr baseColWidth="10" defaultRowHeight="15"/>
  <sheetData>
    <row r="1" spans="1:9">
      <c r="A1" t="s">
        <v>50</v>
      </c>
      <c r="C1" s="16">
        <v>1</v>
      </c>
      <c r="D1" t="s">
        <v>51</v>
      </c>
      <c r="F1" s="17">
        <v>7.3999999999999996E-2</v>
      </c>
      <c r="G1" t="s">
        <v>284</v>
      </c>
      <c r="H1" s="18" t="s">
        <v>285</v>
      </c>
      <c r="I1" s="18">
        <v>1000000</v>
      </c>
    </row>
    <row r="2" spans="1:9">
      <c r="A2" t="s">
        <v>52</v>
      </c>
      <c r="B2" t="s">
        <v>53</v>
      </c>
      <c r="C2" t="s">
        <v>54</v>
      </c>
      <c r="D2" t="s">
        <v>55</v>
      </c>
      <c r="E2" t="s">
        <v>17</v>
      </c>
      <c r="F2" t="s">
        <v>18</v>
      </c>
      <c r="G2" t="s">
        <v>24</v>
      </c>
    </row>
    <row r="3" spans="1:9">
      <c r="A3" s="19" t="s">
        <v>61</v>
      </c>
      <c r="B3" s="20" t="s">
        <v>289</v>
      </c>
      <c r="C3" s="21">
        <v>90</v>
      </c>
      <c r="D3" s="22">
        <v>7.3999999999999996E-2</v>
      </c>
      <c r="E3" s="21">
        <v>13</v>
      </c>
      <c r="F3" s="21">
        <v>20</v>
      </c>
      <c r="G3" s="21">
        <v>120</v>
      </c>
    </row>
    <row r="4" spans="1:9">
      <c r="A4" s="19" t="s">
        <v>113</v>
      </c>
      <c r="B4" s="20" t="s">
        <v>291</v>
      </c>
      <c r="C4" s="21">
        <v>90</v>
      </c>
      <c r="D4" s="22">
        <v>7.3999999999999996E-2</v>
      </c>
      <c r="E4" s="21">
        <v>14</v>
      </c>
      <c r="F4" s="21">
        <v>20</v>
      </c>
      <c r="G4" s="21">
        <v>120</v>
      </c>
    </row>
    <row r="5" spans="1:9">
      <c r="A5" s="19" t="s">
        <v>127</v>
      </c>
      <c r="B5" s="20" t="s">
        <v>293</v>
      </c>
      <c r="C5" s="21">
        <v>90</v>
      </c>
      <c r="D5" s="22">
        <v>7.3999999999999996E-2</v>
      </c>
      <c r="E5" s="21">
        <v>16</v>
      </c>
      <c r="F5" s="21">
        <v>20</v>
      </c>
      <c r="G5" s="21">
        <v>120</v>
      </c>
    </row>
    <row r="6" spans="1:9">
      <c r="A6" s="19" t="s">
        <v>135</v>
      </c>
      <c r="B6" s="20" t="s">
        <v>295</v>
      </c>
      <c r="C6" s="21">
        <v>90</v>
      </c>
      <c r="D6" s="22">
        <v>7.3999999999999996E-2</v>
      </c>
      <c r="E6" s="21">
        <v>17</v>
      </c>
      <c r="F6" s="21">
        <v>20</v>
      </c>
      <c r="G6" s="21">
        <v>120</v>
      </c>
    </row>
    <row r="7" spans="1:9">
      <c r="A7" s="19" t="s">
        <v>141</v>
      </c>
      <c r="B7" s="20" t="s">
        <v>297</v>
      </c>
      <c r="C7" s="21">
        <v>90</v>
      </c>
      <c r="D7" s="22">
        <v>7.3999999999999996E-2</v>
      </c>
      <c r="E7" s="21">
        <v>18</v>
      </c>
      <c r="F7" s="21">
        <v>20</v>
      </c>
      <c r="G7" s="21">
        <v>120</v>
      </c>
    </row>
    <row r="8" spans="1:9">
      <c r="A8" s="19" t="s">
        <v>151</v>
      </c>
      <c r="B8" s="20" t="s">
        <v>299</v>
      </c>
      <c r="C8" s="21">
        <v>90</v>
      </c>
      <c r="D8" s="22">
        <v>7.3999999999999996E-2</v>
      </c>
      <c r="E8" s="21">
        <v>19</v>
      </c>
      <c r="F8" s="21">
        <v>20</v>
      </c>
      <c r="G8" s="21">
        <v>120</v>
      </c>
    </row>
    <row r="9" spans="1:9">
      <c r="A9" s="19" t="s">
        <v>163</v>
      </c>
      <c r="B9" s="20" t="s">
        <v>301</v>
      </c>
      <c r="C9" s="21">
        <v>90</v>
      </c>
      <c r="D9" s="22">
        <v>7.3999999999999996E-2</v>
      </c>
      <c r="E9" s="21">
        <v>20</v>
      </c>
      <c r="F9" s="21">
        <v>20</v>
      </c>
      <c r="G9" s="21">
        <v>120</v>
      </c>
    </row>
    <row r="10" spans="1:9">
      <c r="A10" s="19" t="s">
        <v>173</v>
      </c>
      <c r="B10" s="20" t="s">
        <v>303</v>
      </c>
      <c r="C10" s="21">
        <v>90</v>
      </c>
      <c r="D10" s="22">
        <v>7.3999999999999996E-2</v>
      </c>
      <c r="E10" s="21">
        <v>21</v>
      </c>
      <c r="F10" s="21">
        <v>20</v>
      </c>
      <c r="G10" s="21">
        <v>120</v>
      </c>
    </row>
    <row r="11" spans="1:9">
      <c r="A11" s="19" t="s">
        <v>185</v>
      </c>
      <c r="B11" s="20" t="s">
        <v>305</v>
      </c>
      <c r="C11" s="21">
        <v>90</v>
      </c>
      <c r="D11" s="22">
        <v>7.3999999999999996E-2</v>
      </c>
      <c r="E11" s="21">
        <v>22</v>
      </c>
      <c r="F11" s="21">
        <v>20</v>
      </c>
      <c r="G11" s="21">
        <v>120</v>
      </c>
    </row>
    <row r="12" spans="1:9">
      <c r="A12" s="19" t="s">
        <v>193</v>
      </c>
      <c r="B12" s="20" t="s">
        <v>307</v>
      </c>
      <c r="C12" s="21">
        <v>90</v>
      </c>
      <c r="D12" s="22">
        <v>7.3999999999999996E-2</v>
      </c>
      <c r="E12" s="21">
        <v>23</v>
      </c>
      <c r="F12" s="21">
        <v>20</v>
      </c>
      <c r="G12" s="21">
        <v>120</v>
      </c>
    </row>
    <row r="13" spans="1:9">
      <c r="A13" s="19" t="s">
        <v>203</v>
      </c>
      <c r="B13" s="20" t="s">
        <v>309</v>
      </c>
      <c r="C13" s="21">
        <v>90</v>
      </c>
      <c r="D13" s="22">
        <v>7.3999999999999996E-2</v>
      </c>
      <c r="E13" s="21">
        <v>24</v>
      </c>
      <c r="F13" s="21">
        <v>20</v>
      </c>
      <c r="G13" s="21">
        <v>120</v>
      </c>
    </row>
    <row r="14" spans="1:9">
      <c r="A14" s="19" t="s">
        <v>211</v>
      </c>
      <c r="B14" s="20" t="s">
        <v>311</v>
      </c>
      <c r="C14" s="21">
        <v>90</v>
      </c>
      <c r="D14" s="22">
        <v>7.3999999999999996E-2</v>
      </c>
      <c r="E14" s="21">
        <v>25</v>
      </c>
      <c r="F14" s="21">
        <v>20</v>
      </c>
      <c r="G14" s="21">
        <v>120</v>
      </c>
    </row>
    <row r="15" spans="1:9">
      <c r="A15" s="19" t="s">
        <v>221</v>
      </c>
      <c r="B15" s="20" t="s">
        <v>313</v>
      </c>
      <c r="C15" s="21">
        <v>90</v>
      </c>
      <c r="D15" s="22">
        <v>7.3999999999999996E-2</v>
      </c>
      <c r="E15" s="21">
        <v>26</v>
      </c>
      <c r="F15" s="21">
        <v>20</v>
      </c>
      <c r="G15" s="21">
        <v>120</v>
      </c>
    </row>
    <row r="16" spans="1:9">
      <c r="A16" s="19" t="s">
        <v>227</v>
      </c>
      <c r="B16" s="20" t="s">
        <v>315</v>
      </c>
      <c r="C16" s="21">
        <v>90</v>
      </c>
      <c r="D16" s="22">
        <v>7.3999999999999996E-2</v>
      </c>
      <c r="E16" s="21">
        <v>27</v>
      </c>
      <c r="F16" s="21">
        <v>20</v>
      </c>
      <c r="G16" s="21">
        <v>120</v>
      </c>
    </row>
    <row r="17" spans="1:7">
      <c r="A17" s="19" t="s">
        <v>243</v>
      </c>
      <c r="B17" s="20" t="s">
        <v>317</v>
      </c>
      <c r="C17" s="21">
        <v>90</v>
      </c>
      <c r="D17" s="22">
        <v>7.3999999999999996E-2</v>
      </c>
      <c r="E17" s="21">
        <v>28</v>
      </c>
      <c r="F17" s="21">
        <v>20</v>
      </c>
      <c r="G17" s="21">
        <v>120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B785-2E93-724C-8B09-A83559202087}">
  <sheetPr codeName="工作表3"/>
  <dimension ref="A10:K1033"/>
  <sheetViews>
    <sheetView workbookViewId="0">
      <selection activeCell="C26" sqref="C26"/>
    </sheetView>
  </sheetViews>
  <sheetFormatPr baseColWidth="10" defaultRowHeight="15"/>
  <sheetData>
    <row r="10" spans="1:11">
      <c r="A10" s="6" t="s">
        <v>247</v>
      </c>
      <c r="B10" s="6" t="s">
        <v>268</v>
      </c>
      <c r="C10" s="6" t="s">
        <v>283</v>
      </c>
      <c r="D10" s="6" t="s">
        <v>250</v>
      </c>
      <c r="E10" s="6" t="s">
        <v>270</v>
      </c>
      <c r="F10" s="6" t="s">
        <v>251</v>
      </c>
      <c r="G10" s="6" t="s">
        <v>252</v>
      </c>
      <c r="H10" s="6" t="s">
        <v>253</v>
      </c>
      <c r="I10" s="6" t="s">
        <v>254</v>
      </c>
      <c r="J10" s="6" t="s">
        <v>255</v>
      </c>
      <c r="K10" s="6" t="s">
        <v>282</v>
      </c>
    </row>
    <row r="11" spans="1:11">
      <c r="A11" s="7" t="s">
        <v>61</v>
      </c>
      <c r="B11" s="7" t="s">
        <v>62</v>
      </c>
      <c r="C11" s="7" t="s">
        <v>63</v>
      </c>
      <c r="D11" s="7" t="s">
        <v>64</v>
      </c>
      <c r="E11" s="7" t="s">
        <v>65</v>
      </c>
      <c r="F11" s="7" t="s">
        <v>66</v>
      </c>
      <c r="G11" s="7" t="s">
        <v>69</v>
      </c>
      <c r="H11" s="7" t="s">
        <v>36</v>
      </c>
      <c r="I11" s="8">
        <v>3</v>
      </c>
      <c r="J11" s="8">
        <v>315447</v>
      </c>
      <c r="K11" s="8">
        <v>4172727</v>
      </c>
    </row>
    <row r="12" spans="1:11">
      <c r="A12" s="7" t="s">
        <v>61</v>
      </c>
      <c r="B12" s="7" t="s">
        <v>62</v>
      </c>
      <c r="C12" s="7" t="s">
        <v>63</v>
      </c>
      <c r="D12" s="7" t="s">
        <v>64</v>
      </c>
      <c r="E12" s="7" t="s">
        <v>65</v>
      </c>
      <c r="F12" s="7" t="s">
        <v>66</v>
      </c>
      <c r="G12" s="7" t="s">
        <v>70</v>
      </c>
      <c r="H12" s="7" t="s">
        <v>28</v>
      </c>
      <c r="I12" s="8">
        <v>5</v>
      </c>
      <c r="J12" s="8">
        <v>205182</v>
      </c>
      <c r="K12" s="8">
        <v>2868182</v>
      </c>
    </row>
    <row r="13" spans="1:11">
      <c r="A13" s="7" t="s">
        <v>61</v>
      </c>
      <c r="B13" s="7" t="s">
        <v>62</v>
      </c>
      <c r="C13" s="7" t="s">
        <v>63</v>
      </c>
      <c r="D13" s="7" t="s">
        <v>64</v>
      </c>
      <c r="E13" s="7" t="s">
        <v>65</v>
      </c>
      <c r="F13" s="7" t="s">
        <v>66</v>
      </c>
      <c r="G13" s="7" t="s">
        <v>97</v>
      </c>
      <c r="H13" s="7" t="s">
        <v>98</v>
      </c>
      <c r="I13" s="8">
        <v>1</v>
      </c>
      <c r="J13" s="8">
        <v>27636</v>
      </c>
      <c r="K13" s="8">
        <v>453636</v>
      </c>
    </row>
    <row r="14" spans="1:11">
      <c r="A14" s="7" t="s">
        <v>61</v>
      </c>
      <c r="B14" s="7" t="s">
        <v>62</v>
      </c>
      <c r="C14" s="7" t="s">
        <v>63</v>
      </c>
      <c r="D14" s="7" t="s">
        <v>64</v>
      </c>
      <c r="E14" s="7" t="s">
        <v>65</v>
      </c>
      <c r="F14" s="7" t="s">
        <v>66</v>
      </c>
      <c r="G14" s="7" t="s">
        <v>71</v>
      </c>
      <c r="H14" s="7" t="s">
        <v>72</v>
      </c>
      <c r="I14" s="8">
        <v>7</v>
      </c>
      <c r="J14" s="8">
        <v>218092</v>
      </c>
      <c r="K14" s="8">
        <v>3139092</v>
      </c>
    </row>
    <row r="15" spans="1:11">
      <c r="A15" s="7" t="s">
        <v>61</v>
      </c>
      <c r="B15" s="7" t="s">
        <v>62</v>
      </c>
      <c r="C15" s="7" t="s">
        <v>63</v>
      </c>
      <c r="D15" s="7" t="s">
        <v>64</v>
      </c>
      <c r="E15" s="7" t="s">
        <v>65</v>
      </c>
      <c r="F15" s="7" t="s">
        <v>66</v>
      </c>
      <c r="G15" s="7" t="s">
        <v>73</v>
      </c>
      <c r="H15" s="7" t="s">
        <v>74</v>
      </c>
      <c r="I15" s="8">
        <v>7</v>
      </c>
      <c r="J15" s="8">
        <v>590544</v>
      </c>
      <c r="K15" s="8">
        <v>7884544</v>
      </c>
    </row>
    <row r="16" spans="1:11">
      <c r="A16" s="7" t="s">
        <v>61</v>
      </c>
      <c r="B16" s="7" t="s">
        <v>62</v>
      </c>
      <c r="C16" s="7" t="s">
        <v>63</v>
      </c>
      <c r="D16" s="7" t="s">
        <v>64</v>
      </c>
      <c r="E16" s="7" t="s">
        <v>75</v>
      </c>
      <c r="F16" s="7" t="s">
        <v>76</v>
      </c>
      <c r="G16" s="7" t="s">
        <v>77</v>
      </c>
      <c r="H16" s="7" t="s">
        <v>78</v>
      </c>
      <c r="I16" s="8">
        <v>7</v>
      </c>
      <c r="J16" s="8">
        <v>51816.963691999998</v>
      </c>
      <c r="K16" s="8">
        <v>391817</v>
      </c>
    </row>
    <row r="17" spans="1:11">
      <c r="A17" s="7" t="s">
        <v>61</v>
      </c>
      <c r="B17" s="7" t="s">
        <v>62</v>
      </c>
      <c r="C17" s="7" t="s">
        <v>63</v>
      </c>
      <c r="D17" s="7" t="s">
        <v>64</v>
      </c>
      <c r="E17" s="7" t="s">
        <v>75</v>
      </c>
      <c r="F17" s="7" t="s">
        <v>76</v>
      </c>
      <c r="G17" s="7" t="s">
        <v>79</v>
      </c>
      <c r="H17" s="7" t="s">
        <v>80</v>
      </c>
      <c r="I17" s="8">
        <v>45</v>
      </c>
      <c r="J17" s="8">
        <v>1806463.2517659999</v>
      </c>
      <c r="K17" s="8">
        <v>7256454</v>
      </c>
    </row>
    <row r="18" spans="1:11">
      <c r="A18" s="7" t="s">
        <v>61</v>
      </c>
      <c r="B18" s="7" t="s">
        <v>62</v>
      </c>
      <c r="C18" s="7" t="s">
        <v>63</v>
      </c>
      <c r="D18" s="7" t="s">
        <v>64</v>
      </c>
      <c r="E18" s="7" t="s">
        <v>75</v>
      </c>
      <c r="F18" s="7" t="s">
        <v>76</v>
      </c>
      <c r="G18" s="7" t="s">
        <v>81</v>
      </c>
      <c r="H18" s="7" t="s">
        <v>82</v>
      </c>
      <c r="I18" s="8">
        <v>25</v>
      </c>
      <c r="J18" s="8">
        <v>513912.03557100001</v>
      </c>
      <c r="K18" s="8">
        <v>3160912</v>
      </c>
    </row>
    <row r="19" spans="1:11">
      <c r="A19" s="7" t="s">
        <v>61</v>
      </c>
      <c r="B19" s="7" t="s">
        <v>62</v>
      </c>
      <c r="C19" s="7" t="s">
        <v>63</v>
      </c>
      <c r="D19" s="7" t="s">
        <v>64</v>
      </c>
      <c r="E19" s="7" t="s">
        <v>83</v>
      </c>
      <c r="F19" s="7" t="s">
        <v>84</v>
      </c>
      <c r="G19" s="7" t="s">
        <v>77</v>
      </c>
      <c r="H19" s="7" t="s">
        <v>78</v>
      </c>
      <c r="I19" s="8">
        <v>8</v>
      </c>
      <c r="J19" s="8">
        <v>64855</v>
      </c>
      <c r="K19" s="8">
        <v>195455</v>
      </c>
    </row>
    <row r="20" spans="1:11">
      <c r="A20" s="7" t="s">
        <v>61</v>
      </c>
      <c r="B20" s="7" t="s">
        <v>62</v>
      </c>
      <c r="C20" s="7" t="s">
        <v>63</v>
      </c>
      <c r="D20" s="7" t="s">
        <v>64</v>
      </c>
      <c r="E20" s="7" t="s">
        <v>83</v>
      </c>
      <c r="F20" s="7" t="s">
        <v>84</v>
      </c>
      <c r="G20" s="7" t="s">
        <v>79</v>
      </c>
      <c r="H20" s="7" t="s">
        <v>80</v>
      </c>
      <c r="I20" s="8">
        <v>29</v>
      </c>
      <c r="J20" s="8">
        <v>196877.10032999999</v>
      </c>
      <c r="K20" s="8">
        <v>564648</v>
      </c>
    </row>
    <row r="21" spans="1:11">
      <c r="A21" s="7" t="s">
        <v>61</v>
      </c>
      <c r="B21" s="7" t="s">
        <v>62</v>
      </c>
      <c r="C21" s="7" t="s">
        <v>63</v>
      </c>
      <c r="D21" s="7" t="s">
        <v>64</v>
      </c>
      <c r="E21" s="7" t="s">
        <v>83</v>
      </c>
      <c r="F21" s="7" t="s">
        <v>84</v>
      </c>
      <c r="G21" s="7" t="s">
        <v>81</v>
      </c>
      <c r="H21" s="7" t="s">
        <v>82</v>
      </c>
      <c r="I21" s="8">
        <v>31</v>
      </c>
      <c r="J21" s="8">
        <v>344138</v>
      </c>
      <c r="K21" s="8">
        <v>700456</v>
      </c>
    </row>
    <row r="22" spans="1:11">
      <c r="A22" s="7" t="s">
        <v>61</v>
      </c>
      <c r="B22" s="7" t="s">
        <v>62</v>
      </c>
      <c r="C22" s="7" t="s">
        <v>63</v>
      </c>
      <c r="D22" s="7" t="s">
        <v>64</v>
      </c>
      <c r="E22" s="7" t="s">
        <v>83</v>
      </c>
      <c r="F22" s="7" t="s">
        <v>84</v>
      </c>
      <c r="G22" s="7" t="s">
        <v>85</v>
      </c>
      <c r="H22" s="7" t="s">
        <v>86</v>
      </c>
      <c r="I22" s="8">
        <v>17</v>
      </c>
      <c r="J22" s="8">
        <v>98653</v>
      </c>
      <c r="K22" s="8">
        <v>302453</v>
      </c>
    </row>
    <row r="23" spans="1:11">
      <c r="A23" s="7" t="s">
        <v>61</v>
      </c>
      <c r="B23" s="7" t="s">
        <v>62</v>
      </c>
      <c r="C23" s="7" t="s">
        <v>63</v>
      </c>
      <c r="D23" s="7" t="s">
        <v>64</v>
      </c>
      <c r="E23" s="7" t="s">
        <v>83</v>
      </c>
      <c r="F23" s="7" t="s">
        <v>84</v>
      </c>
      <c r="G23" s="7" t="s">
        <v>107</v>
      </c>
      <c r="H23" s="7" t="s">
        <v>108</v>
      </c>
      <c r="I23" s="8">
        <v>2</v>
      </c>
      <c r="J23" s="8">
        <v>10890</v>
      </c>
      <c r="K23" s="8">
        <v>27090</v>
      </c>
    </row>
    <row r="24" spans="1:11">
      <c r="A24" s="7" t="s">
        <v>61</v>
      </c>
      <c r="B24" s="7" t="s">
        <v>62</v>
      </c>
      <c r="C24" s="7" t="s">
        <v>63</v>
      </c>
      <c r="D24" s="7" t="s">
        <v>64</v>
      </c>
      <c r="E24" s="7" t="s">
        <v>83</v>
      </c>
      <c r="F24" s="7" t="s">
        <v>84</v>
      </c>
      <c r="G24" s="7" t="s">
        <v>87</v>
      </c>
      <c r="H24" s="7" t="s">
        <v>88</v>
      </c>
      <c r="I24" s="8">
        <v>8</v>
      </c>
      <c r="J24" s="8">
        <v>55908</v>
      </c>
      <c r="K24" s="8">
        <v>124908</v>
      </c>
    </row>
    <row r="25" spans="1:11">
      <c r="A25" s="7" t="s">
        <v>61</v>
      </c>
      <c r="B25" s="7" t="s">
        <v>62</v>
      </c>
      <c r="C25" s="7" t="s">
        <v>63</v>
      </c>
      <c r="D25" s="7" t="s">
        <v>64</v>
      </c>
      <c r="E25" s="7" t="s">
        <v>89</v>
      </c>
      <c r="F25" s="7" t="s">
        <v>90</v>
      </c>
      <c r="G25" s="7" t="s">
        <v>91</v>
      </c>
      <c r="H25" s="7" t="s">
        <v>90</v>
      </c>
      <c r="I25" s="8">
        <v>14</v>
      </c>
      <c r="J25" s="8">
        <v>0</v>
      </c>
      <c r="K25" s="8">
        <v>0</v>
      </c>
    </row>
    <row r="26" spans="1:11">
      <c r="A26" s="7" t="s">
        <v>61</v>
      </c>
      <c r="B26" s="7" t="s">
        <v>62</v>
      </c>
      <c r="C26" s="7" t="s">
        <v>63</v>
      </c>
      <c r="D26" s="7" t="s">
        <v>64</v>
      </c>
      <c r="E26" s="7" t="s">
        <v>92</v>
      </c>
      <c r="F26" s="7" t="s">
        <v>92</v>
      </c>
      <c r="G26" s="7" t="s">
        <v>92</v>
      </c>
      <c r="H26" s="7" t="s">
        <v>92</v>
      </c>
      <c r="I26" s="8">
        <v>-975</v>
      </c>
      <c r="J26" s="8">
        <v>-17727</v>
      </c>
      <c r="K26" s="8">
        <v>-17727</v>
      </c>
    </row>
    <row r="27" spans="1:11">
      <c r="A27" s="7" t="s">
        <v>61</v>
      </c>
      <c r="B27" s="7" t="s">
        <v>62</v>
      </c>
      <c r="C27" s="7" t="s">
        <v>93</v>
      </c>
      <c r="D27" s="7" t="s">
        <v>94</v>
      </c>
      <c r="E27" s="7" t="s">
        <v>65</v>
      </c>
      <c r="F27" s="7" t="s">
        <v>66</v>
      </c>
      <c r="G27" s="7" t="s">
        <v>67</v>
      </c>
      <c r="H27" s="7" t="s">
        <v>68</v>
      </c>
      <c r="I27" s="8">
        <v>1</v>
      </c>
      <c r="J27" s="8">
        <v>335545</v>
      </c>
      <c r="K27" s="8">
        <v>3354545</v>
      </c>
    </row>
    <row r="28" spans="1:11">
      <c r="A28" s="7" t="s">
        <v>61</v>
      </c>
      <c r="B28" s="7" t="s">
        <v>62</v>
      </c>
      <c r="C28" s="7" t="s">
        <v>93</v>
      </c>
      <c r="D28" s="7" t="s">
        <v>94</v>
      </c>
      <c r="E28" s="7" t="s">
        <v>65</v>
      </c>
      <c r="F28" s="7" t="s">
        <v>66</v>
      </c>
      <c r="G28" s="7" t="s">
        <v>69</v>
      </c>
      <c r="H28" s="7" t="s">
        <v>36</v>
      </c>
      <c r="I28" s="8">
        <v>7</v>
      </c>
      <c r="J28" s="8">
        <v>672409</v>
      </c>
      <c r="K28" s="8">
        <v>8899999</v>
      </c>
    </row>
    <row r="29" spans="1:11">
      <c r="A29" s="7" t="s">
        <v>61</v>
      </c>
      <c r="B29" s="7" t="s">
        <v>62</v>
      </c>
      <c r="C29" s="7" t="s">
        <v>93</v>
      </c>
      <c r="D29" s="7" t="s">
        <v>94</v>
      </c>
      <c r="E29" s="7" t="s">
        <v>65</v>
      </c>
      <c r="F29" s="7" t="s">
        <v>66</v>
      </c>
      <c r="G29" s="7" t="s">
        <v>70</v>
      </c>
      <c r="H29" s="7" t="s">
        <v>28</v>
      </c>
      <c r="I29" s="8">
        <v>4</v>
      </c>
      <c r="J29" s="8">
        <v>128728</v>
      </c>
      <c r="K29" s="8">
        <v>1632728</v>
      </c>
    </row>
    <row r="30" spans="1:11">
      <c r="A30" s="7" t="s">
        <v>61</v>
      </c>
      <c r="B30" s="7" t="s">
        <v>62</v>
      </c>
      <c r="C30" s="7" t="s">
        <v>93</v>
      </c>
      <c r="D30" s="7" t="s">
        <v>94</v>
      </c>
      <c r="E30" s="7" t="s">
        <v>65</v>
      </c>
      <c r="F30" s="7" t="s">
        <v>66</v>
      </c>
      <c r="G30" s="7" t="s">
        <v>97</v>
      </c>
      <c r="H30" s="7" t="s">
        <v>98</v>
      </c>
      <c r="I30" s="8">
        <v>5</v>
      </c>
      <c r="J30" s="8">
        <v>138181</v>
      </c>
      <c r="K30" s="8">
        <v>2268181</v>
      </c>
    </row>
    <row r="31" spans="1:11">
      <c r="A31" s="7" t="s">
        <v>61</v>
      </c>
      <c r="B31" s="7" t="s">
        <v>62</v>
      </c>
      <c r="C31" s="7" t="s">
        <v>93</v>
      </c>
      <c r="D31" s="7" t="s">
        <v>94</v>
      </c>
      <c r="E31" s="7" t="s">
        <v>65</v>
      </c>
      <c r="F31" s="7" t="s">
        <v>66</v>
      </c>
      <c r="G31" s="7" t="s">
        <v>71</v>
      </c>
      <c r="H31" s="7" t="s">
        <v>72</v>
      </c>
      <c r="I31" s="8">
        <v>5</v>
      </c>
      <c r="J31" s="8">
        <v>171001</v>
      </c>
      <c r="K31" s="8">
        <v>2450001</v>
      </c>
    </row>
    <row r="32" spans="1:11">
      <c r="A32" s="7" t="s">
        <v>61</v>
      </c>
      <c r="B32" s="7" t="s">
        <v>62</v>
      </c>
      <c r="C32" s="7" t="s">
        <v>93</v>
      </c>
      <c r="D32" s="7" t="s">
        <v>94</v>
      </c>
      <c r="E32" s="7" t="s">
        <v>65</v>
      </c>
      <c r="F32" s="7" t="s">
        <v>66</v>
      </c>
      <c r="G32" s="7" t="s">
        <v>73</v>
      </c>
      <c r="H32" s="7" t="s">
        <v>74</v>
      </c>
      <c r="I32" s="8">
        <v>2</v>
      </c>
      <c r="J32" s="8">
        <v>177546</v>
      </c>
      <c r="K32" s="8">
        <v>2734546</v>
      </c>
    </row>
    <row r="33" spans="1:11">
      <c r="A33" s="7" t="s">
        <v>61</v>
      </c>
      <c r="B33" s="7" t="s">
        <v>62</v>
      </c>
      <c r="C33" s="7" t="s">
        <v>93</v>
      </c>
      <c r="D33" s="7" t="s">
        <v>94</v>
      </c>
      <c r="E33" s="7" t="s">
        <v>75</v>
      </c>
      <c r="F33" s="7" t="s">
        <v>76</v>
      </c>
      <c r="G33" s="7" t="s">
        <v>77</v>
      </c>
      <c r="H33" s="7" t="s">
        <v>78</v>
      </c>
      <c r="I33" s="8">
        <v>5</v>
      </c>
      <c r="J33" s="8">
        <v>38180.969400000002</v>
      </c>
      <c r="K33" s="8">
        <v>288181</v>
      </c>
    </row>
    <row r="34" spans="1:11">
      <c r="A34" s="7" t="s">
        <v>61</v>
      </c>
      <c r="B34" s="7" t="s">
        <v>62</v>
      </c>
      <c r="C34" s="7" t="s">
        <v>93</v>
      </c>
      <c r="D34" s="7" t="s">
        <v>94</v>
      </c>
      <c r="E34" s="7" t="s">
        <v>75</v>
      </c>
      <c r="F34" s="7" t="s">
        <v>76</v>
      </c>
      <c r="G34" s="7" t="s">
        <v>79</v>
      </c>
      <c r="H34" s="7" t="s">
        <v>80</v>
      </c>
      <c r="I34" s="8">
        <v>50</v>
      </c>
      <c r="J34" s="8">
        <v>1540279.2543889999</v>
      </c>
      <c r="K34" s="8">
        <v>6228270</v>
      </c>
    </row>
    <row r="35" spans="1:11">
      <c r="A35" s="7" t="s">
        <v>61</v>
      </c>
      <c r="B35" s="7" t="s">
        <v>62</v>
      </c>
      <c r="C35" s="7" t="s">
        <v>93</v>
      </c>
      <c r="D35" s="7" t="s">
        <v>94</v>
      </c>
      <c r="E35" s="7" t="s">
        <v>75</v>
      </c>
      <c r="F35" s="7" t="s">
        <v>76</v>
      </c>
      <c r="G35" s="7" t="s">
        <v>81</v>
      </c>
      <c r="H35" s="7" t="s">
        <v>82</v>
      </c>
      <c r="I35" s="8">
        <v>14</v>
      </c>
      <c r="J35" s="8">
        <v>177728.00203500001</v>
      </c>
      <c r="K35" s="8">
        <v>932728</v>
      </c>
    </row>
    <row r="36" spans="1:11">
      <c r="A36" s="7" t="s">
        <v>61</v>
      </c>
      <c r="B36" s="7" t="s">
        <v>62</v>
      </c>
      <c r="C36" s="7" t="s">
        <v>93</v>
      </c>
      <c r="D36" s="7" t="s">
        <v>94</v>
      </c>
      <c r="E36" s="7" t="s">
        <v>75</v>
      </c>
      <c r="F36" s="7" t="s">
        <v>76</v>
      </c>
      <c r="G36" s="7" t="s">
        <v>99</v>
      </c>
      <c r="H36" s="7" t="s">
        <v>100</v>
      </c>
      <c r="I36" s="8">
        <v>2</v>
      </c>
      <c r="J36" s="8">
        <v>23090</v>
      </c>
      <c r="K36" s="8">
        <v>89090</v>
      </c>
    </row>
    <row r="37" spans="1:11">
      <c r="A37" s="7" t="s">
        <v>61</v>
      </c>
      <c r="B37" s="7" t="s">
        <v>62</v>
      </c>
      <c r="C37" s="7" t="s">
        <v>93</v>
      </c>
      <c r="D37" s="7" t="s">
        <v>94</v>
      </c>
      <c r="E37" s="7" t="s">
        <v>75</v>
      </c>
      <c r="F37" s="7" t="s">
        <v>76</v>
      </c>
      <c r="G37" s="7" t="s">
        <v>87</v>
      </c>
      <c r="H37" s="7" t="s">
        <v>88</v>
      </c>
      <c r="I37" s="8">
        <v>1</v>
      </c>
      <c r="J37" s="8">
        <v>8455</v>
      </c>
      <c r="K37" s="8">
        <v>35455</v>
      </c>
    </row>
    <row r="38" spans="1:11">
      <c r="A38" s="7" t="s">
        <v>61</v>
      </c>
      <c r="B38" s="7" t="s">
        <v>62</v>
      </c>
      <c r="C38" s="7" t="s">
        <v>93</v>
      </c>
      <c r="D38" s="7" t="s">
        <v>94</v>
      </c>
      <c r="E38" s="7" t="s">
        <v>83</v>
      </c>
      <c r="F38" s="7" t="s">
        <v>84</v>
      </c>
      <c r="G38" s="7" t="s">
        <v>77</v>
      </c>
      <c r="H38" s="7" t="s">
        <v>78</v>
      </c>
      <c r="I38" s="8">
        <v>19</v>
      </c>
      <c r="J38" s="8">
        <v>208329</v>
      </c>
      <c r="K38" s="8">
        <v>628638</v>
      </c>
    </row>
    <row r="39" spans="1:11">
      <c r="A39" s="7" t="s">
        <v>61</v>
      </c>
      <c r="B39" s="7" t="s">
        <v>62</v>
      </c>
      <c r="C39" s="7" t="s">
        <v>93</v>
      </c>
      <c r="D39" s="7" t="s">
        <v>94</v>
      </c>
      <c r="E39" s="7" t="s">
        <v>83</v>
      </c>
      <c r="F39" s="7" t="s">
        <v>84</v>
      </c>
      <c r="G39" s="7" t="s">
        <v>79</v>
      </c>
      <c r="H39" s="7" t="s">
        <v>80</v>
      </c>
      <c r="I39" s="8">
        <v>30</v>
      </c>
      <c r="J39" s="8">
        <v>252898.69683999999</v>
      </c>
      <c r="K39" s="8">
        <v>603645</v>
      </c>
    </row>
    <row r="40" spans="1:11">
      <c r="A40" s="7" t="s">
        <v>61</v>
      </c>
      <c r="B40" s="7" t="s">
        <v>62</v>
      </c>
      <c r="C40" s="7" t="s">
        <v>93</v>
      </c>
      <c r="D40" s="7" t="s">
        <v>94</v>
      </c>
      <c r="E40" s="7" t="s">
        <v>83</v>
      </c>
      <c r="F40" s="7" t="s">
        <v>84</v>
      </c>
      <c r="G40" s="7" t="s">
        <v>81</v>
      </c>
      <c r="H40" s="7" t="s">
        <v>82</v>
      </c>
      <c r="I40" s="8">
        <v>41</v>
      </c>
      <c r="J40" s="8">
        <v>482365</v>
      </c>
      <c r="K40" s="8">
        <v>1023092</v>
      </c>
    </row>
    <row r="41" spans="1:11">
      <c r="A41" s="7" t="s">
        <v>61</v>
      </c>
      <c r="B41" s="7" t="s">
        <v>62</v>
      </c>
      <c r="C41" s="7" t="s">
        <v>93</v>
      </c>
      <c r="D41" s="7" t="s">
        <v>94</v>
      </c>
      <c r="E41" s="7" t="s">
        <v>83</v>
      </c>
      <c r="F41" s="7" t="s">
        <v>84</v>
      </c>
      <c r="G41" s="7" t="s">
        <v>85</v>
      </c>
      <c r="H41" s="7" t="s">
        <v>86</v>
      </c>
      <c r="I41" s="8">
        <v>29</v>
      </c>
      <c r="J41" s="8">
        <v>135465</v>
      </c>
      <c r="K41" s="8">
        <v>341545</v>
      </c>
    </row>
    <row r="42" spans="1:11">
      <c r="A42" s="7" t="s">
        <v>61</v>
      </c>
      <c r="B42" s="7" t="s">
        <v>62</v>
      </c>
      <c r="C42" s="7" t="s">
        <v>93</v>
      </c>
      <c r="D42" s="7" t="s">
        <v>94</v>
      </c>
      <c r="E42" s="7" t="s">
        <v>83</v>
      </c>
      <c r="F42" s="7" t="s">
        <v>84</v>
      </c>
      <c r="G42" s="7" t="s">
        <v>87</v>
      </c>
      <c r="H42" s="7" t="s">
        <v>88</v>
      </c>
      <c r="I42" s="8">
        <v>3</v>
      </c>
      <c r="J42" s="8">
        <v>54522</v>
      </c>
      <c r="K42" s="8">
        <v>103272</v>
      </c>
    </row>
    <row r="43" spans="1:11">
      <c r="A43" s="7" t="s">
        <v>61</v>
      </c>
      <c r="B43" s="7" t="s">
        <v>62</v>
      </c>
      <c r="C43" s="7" t="s">
        <v>93</v>
      </c>
      <c r="D43" s="7" t="s">
        <v>94</v>
      </c>
      <c r="E43" s="7" t="s">
        <v>89</v>
      </c>
      <c r="F43" s="7" t="s">
        <v>90</v>
      </c>
      <c r="G43" s="7" t="s">
        <v>91</v>
      </c>
      <c r="H43" s="7" t="s">
        <v>90</v>
      </c>
      <c r="I43" s="8">
        <v>4</v>
      </c>
      <c r="J43" s="8">
        <v>1626.8977560000001</v>
      </c>
      <c r="K43" s="8">
        <v>11364</v>
      </c>
    </row>
    <row r="44" spans="1:11">
      <c r="A44" s="7" t="s">
        <v>61</v>
      </c>
      <c r="B44" s="7" t="s">
        <v>62</v>
      </c>
      <c r="C44" s="7" t="s">
        <v>93</v>
      </c>
      <c r="D44" s="7" t="s">
        <v>94</v>
      </c>
      <c r="E44" s="7" t="s">
        <v>92</v>
      </c>
      <c r="F44" s="7" t="s">
        <v>92</v>
      </c>
      <c r="G44" s="7" t="s">
        <v>92</v>
      </c>
      <c r="H44" s="7" t="s">
        <v>92</v>
      </c>
      <c r="I44" s="8">
        <v>-14064</v>
      </c>
      <c r="J44" s="8">
        <v>-255709</v>
      </c>
      <c r="K44" s="8">
        <v>-255709</v>
      </c>
    </row>
    <row r="45" spans="1:11">
      <c r="A45" s="7" t="s">
        <v>61</v>
      </c>
      <c r="B45" s="7" t="s">
        <v>62</v>
      </c>
      <c r="C45" s="7" t="s">
        <v>103</v>
      </c>
      <c r="D45" s="7" t="s">
        <v>104</v>
      </c>
      <c r="E45" s="7" t="s">
        <v>65</v>
      </c>
      <c r="F45" s="7" t="s">
        <v>66</v>
      </c>
      <c r="G45" s="7" t="s">
        <v>95</v>
      </c>
      <c r="H45" s="7" t="s">
        <v>96</v>
      </c>
      <c r="I45" s="8">
        <v>4</v>
      </c>
      <c r="J45" s="8">
        <v>671182</v>
      </c>
      <c r="K45" s="8">
        <v>6718182</v>
      </c>
    </row>
    <row r="46" spans="1:11">
      <c r="A46" s="7" t="s">
        <v>61</v>
      </c>
      <c r="B46" s="7" t="s">
        <v>62</v>
      </c>
      <c r="C46" s="7" t="s">
        <v>103</v>
      </c>
      <c r="D46" s="7" t="s">
        <v>104</v>
      </c>
      <c r="E46" s="7" t="s">
        <v>65</v>
      </c>
      <c r="F46" s="7" t="s">
        <v>66</v>
      </c>
      <c r="G46" s="7" t="s">
        <v>67</v>
      </c>
      <c r="H46" s="7" t="s">
        <v>68</v>
      </c>
      <c r="I46" s="8">
        <v>4</v>
      </c>
      <c r="J46" s="8">
        <v>910000</v>
      </c>
      <c r="K46" s="8">
        <v>9100000</v>
      </c>
    </row>
    <row r="47" spans="1:11">
      <c r="A47" s="7" t="s">
        <v>61</v>
      </c>
      <c r="B47" s="7" t="s">
        <v>62</v>
      </c>
      <c r="C47" s="7" t="s">
        <v>103</v>
      </c>
      <c r="D47" s="7" t="s">
        <v>104</v>
      </c>
      <c r="E47" s="7" t="s">
        <v>65</v>
      </c>
      <c r="F47" s="7" t="s">
        <v>66</v>
      </c>
      <c r="G47" s="7" t="s">
        <v>69</v>
      </c>
      <c r="H47" s="7" t="s">
        <v>36</v>
      </c>
      <c r="I47" s="8">
        <v>9</v>
      </c>
      <c r="J47" s="8">
        <v>918627</v>
      </c>
      <c r="K47" s="8">
        <v>12163637</v>
      </c>
    </row>
    <row r="48" spans="1:11">
      <c r="A48" s="7" t="s">
        <v>61</v>
      </c>
      <c r="B48" s="7" t="s">
        <v>62</v>
      </c>
      <c r="C48" s="7" t="s">
        <v>103</v>
      </c>
      <c r="D48" s="7" t="s">
        <v>104</v>
      </c>
      <c r="E48" s="7" t="s">
        <v>65</v>
      </c>
      <c r="F48" s="7" t="s">
        <v>66</v>
      </c>
      <c r="G48" s="7" t="s">
        <v>70</v>
      </c>
      <c r="H48" s="7" t="s">
        <v>28</v>
      </c>
      <c r="I48" s="8">
        <v>14</v>
      </c>
      <c r="J48" s="8">
        <v>659379.47058800003</v>
      </c>
      <c r="K48" s="8">
        <v>8205453</v>
      </c>
    </row>
    <row r="49" spans="1:11">
      <c r="A49" s="7" t="s">
        <v>61</v>
      </c>
      <c r="B49" s="7" t="s">
        <v>62</v>
      </c>
      <c r="C49" s="7" t="s">
        <v>103</v>
      </c>
      <c r="D49" s="7" t="s">
        <v>104</v>
      </c>
      <c r="E49" s="7" t="s">
        <v>65</v>
      </c>
      <c r="F49" s="7" t="s">
        <v>66</v>
      </c>
      <c r="G49" s="7" t="s">
        <v>97</v>
      </c>
      <c r="H49" s="7" t="s">
        <v>98</v>
      </c>
      <c r="I49" s="8">
        <v>2</v>
      </c>
      <c r="J49" s="8">
        <v>55273</v>
      </c>
      <c r="K49" s="8">
        <v>907273</v>
      </c>
    </row>
    <row r="50" spans="1:11">
      <c r="A50" s="7" t="s">
        <v>61</v>
      </c>
      <c r="B50" s="7" t="s">
        <v>62</v>
      </c>
      <c r="C50" s="7" t="s">
        <v>103</v>
      </c>
      <c r="D50" s="7" t="s">
        <v>104</v>
      </c>
      <c r="E50" s="7" t="s">
        <v>65</v>
      </c>
      <c r="F50" s="7" t="s">
        <v>66</v>
      </c>
      <c r="G50" s="7" t="s">
        <v>71</v>
      </c>
      <c r="H50" s="7" t="s">
        <v>72</v>
      </c>
      <c r="I50" s="8">
        <v>9</v>
      </c>
      <c r="J50" s="8">
        <v>326911</v>
      </c>
      <c r="K50" s="8">
        <v>4700911</v>
      </c>
    </row>
    <row r="51" spans="1:11">
      <c r="A51" s="7" t="s">
        <v>61</v>
      </c>
      <c r="B51" s="7" t="s">
        <v>62</v>
      </c>
      <c r="C51" s="7" t="s">
        <v>103</v>
      </c>
      <c r="D51" s="7" t="s">
        <v>104</v>
      </c>
      <c r="E51" s="7" t="s">
        <v>65</v>
      </c>
      <c r="F51" s="7" t="s">
        <v>66</v>
      </c>
      <c r="G51" s="7" t="s">
        <v>73</v>
      </c>
      <c r="H51" s="7" t="s">
        <v>74</v>
      </c>
      <c r="I51" s="8">
        <v>1</v>
      </c>
      <c r="J51" s="8">
        <v>74454</v>
      </c>
      <c r="K51" s="8">
        <v>935454</v>
      </c>
    </row>
    <row r="52" spans="1:11">
      <c r="A52" s="7" t="s">
        <v>61</v>
      </c>
      <c r="B52" s="7" t="s">
        <v>62</v>
      </c>
      <c r="C52" s="7" t="s">
        <v>103</v>
      </c>
      <c r="D52" s="7" t="s">
        <v>104</v>
      </c>
      <c r="E52" s="7" t="s">
        <v>75</v>
      </c>
      <c r="F52" s="7" t="s">
        <v>76</v>
      </c>
      <c r="G52" s="7" t="s">
        <v>77</v>
      </c>
      <c r="H52" s="7" t="s">
        <v>78</v>
      </c>
      <c r="I52" s="8">
        <v>9</v>
      </c>
      <c r="J52" s="8">
        <v>118543.963692</v>
      </c>
      <c r="K52" s="8">
        <v>928544</v>
      </c>
    </row>
    <row r="53" spans="1:11">
      <c r="A53" s="7" t="s">
        <v>61</v>
      </c>
      <c r="B53" s="7" t="s">
        <v>62</v>
      </c>
      <c r="C53" s="7" t="s">
        <v>103</v>
      </c>
      <c r="D53" s="7" t="s">
        <v>104</v>
      </c>
      <c r="E53" s="7" t="s">
        <v>75</v>
      </c>
      <c r="F53" s="7" t="s">
        <v>76</v>
      </c>
      <c r="G53" s="7" t="s">
        <v>79</v>
      </c>
      <c r="H53" s="7" t="s">
        <v>80</v>
      </c>
      <c r="I53" s="8">
        <v>81</v>
      </c>
      <c r="J53" s="8">
        <v>2783669.4294699999</v>
      </c>
      <c r="K53" s="8">
        <v>11900997</v>
      </c>
    </row>
    <row r="54" spans="1:11">
      <c r="A54" s="7" t="s">
        <v>61</v>
      </c>
      <c r="B54" s="7" t="s">
        <v>62</v>
      </c>
      <c r="C54" s="7" t="s">
        <v>103</v>
      </c>
      <c r="D54" s="7" t="s">
        <v>104</v>
      </c>
      <c r="E54" s="7" t="s">
        <v>75</v>
      </c>
      <c r="F54" s="7" t="s">
        <v>76</v>
      </c>
      <c r="G54" s="7" t="s">
        <v>81</v>
      </c>
      <c r="H54" s="7" t="s">
        <v>82</v>
      </c>
      <c r="I54" s="8">
        <v>34</v>
      </c>
      <c r="J54" s="8">
        <v>434818.10518100002</v>
      </c>
      <c r="K54" s="8">
        <v>3091818</v>
      </c>
    </row>
    <row r="55" spans="1:11">
      <c r="A55" s="7" t="s">
        <v>61</v>
      </c>
      <c r="B55" s="7" t="s">
        <v>62</v>
      </c>
      <c r="C55" s="7" t="s">
        <v>103</v>
      </c>
      <c r="D55" s="7" t="s">
        <v>104</v>
      </c>
      <c r="E55" s="7" t="s">
        <v>75</v>
      </c>
      <c r="F55" s="7" t="s">
        <v>76</v>
      </c>
      <c r="G55" s="7" t="s">
        <v>99</v>
      </c>
      <c r="H55" s="7" t="s">
        <v>100</v>
      </c>
      <c r="I55" s="8">
        <v>2</v>
      </c>
      <c r="J55" s="8">
        <v>23090</v>
      </c>
      <c r="K55" s="8">
        <v>89090</v>
      </c>
    </row>
    <row r="56" spans="1:11">
      <c r="A56" s="7" t="s">
        <v>61</v>
      </c>
      <c r="B56" s="7" t="s">
        <v>62</v>
      </c>
      <c r="C56" s="7" t="s">
        <v>103</v>
      </c>
      <c r="D56" s="7" t="s">
        <v>104</v>
      </c>
      <c r="E56" s="7" t="s">
        <v>75</v>
      </c>
      <c r="F56" s="7" t="s">
        <v>76</v>
      </c>
      <c r="G56" s="7" t="s">
        <v>87</v>
      </c>
      <c r="H56" s="7" t="s">
        <v>88</v>
      </c>
      <c r="I56" s="8">
        <v>2</v>
      </c>
      <c r="J56" s="8">
        <v>16910</v>
      </c>
      <c r="K56" s="8">
        <v>70910</v>
      </c>
    </row>
    <row r="57" spans="1:11">
      <c r="A57" s="7" t="s">
        <v>61</v>
      </c>
      <c r="B57" s="7" t="s">
        <v>62</v>
      </c>
      <c r="C57" s="7" t="s">
        <v>103</v>
      </c>
      <c r="D57" s="7" t="s">
        <v>104</v>
      </c>
      <c r="E57" s="7" t="s">
        <v>83</v>
      </c>
      <c r="F57" s="7" t="s">
        <v>84</v>
      </c>
      <c r="G57" s="7" t="s">
        <v>77</v>
      </c>
      <c r="H57" s="7" t="s">
        <v>78</v>
      </c>
      <c r="I57" s="8">
        <v>20</v>
      </c>
      <c r="J57" s="8">
        <v>207743.24148500001</v>
      </c>
      <c r="K57" s="8">
        <v>566543</v>
      </c>
    </row>
    <row r="58" spans="1:11">
      <c r="A58" s="7" t="s">
        <v>61</v>
      </c>
      <c r="B58" s="7" t="s">
        <v>62</v>
      </c>
      <c r="C58" s="7" t="s">
        <v>103</v>
      </c>
      <c r="D58" s="7" t="s">
        <v>104</v>
      </c>
      <c r="E58" s="7" t="s">
        <v>83</v>
      </c>
      <c r="F58" s="7" t="s">
        <v>84</v>
      </c>
      <c r="G58" s="7" t="s">
        <v>79</v>
      </c>
      <c r="H58" s="7" t="s">
        <v>80</v>
      </c>
      <c r="I58" s="8">
        <v>59</v>
      </c>
      <c r="J58" s="8">
        <v>549744.05956900003</v>
      </c>
      <c r="K58" s="8">
        <v>1246092</v>
      </c>
    </row>
    <row r="59" spans="1:11">
      <c r="A59" s="7" t="s">
        <v>61</v>
      </c>
      <c r="B59" s="7" t="s">
        <v>62</v>
      </c>
      <c r="C59" s="7" t="s">
        <v>103</v>
      </c>
      <c r="D59" s="7" t="s">
        <v>104</v>
      </c>
      <c r="E59" s="7" t="s">
        <v>83</v>
      </c>
      <c r="F59" s="7" t="s">
        <v>84</v>
      </c>
      <c r="G59" s="7" t="s">
        <v>81</v>
      </c>
      <c r="H59" s="7" t="s">
        <v>82</v>
      </c>
      <c r="I59" s="8">
        <v>53</v>
      </c>
      <c r="J59" s="8">
        <v>562747</v>
      </c>
      <c r="K59" s="8">
        <v>1159547</v>
      </c>
    </row>
    <row r="60" spans="1:11">
      <c r="A60" s="7" t="s">
        <v>61</v>
      </c>
      <c r="B60" s="7" t="s">
        <v>62</v>
      </c>
      <c r="C60" s="7" t="s">
        <v>103</v>
      </c>
      <c r="D60" s="7" t="s">
        <v>104</v>
      </c>
      <c r="E60" s="7" t="s">
        <v>83</v>
      </c>
      <c r="F60" s="7" t="s">
        <v>84</v>
      </c>
      <c r="G60" s="7" t="s">
        <v>101</v>
      </c>
      <c r="H60" s="7" t="s">
        <v>102</v>
      </c>
      <c r="I60" s="8">
        <v>2</v>
      </c>
      <c r="J60" s="8">
        <v>61054</v>
      </c>
      <c r="K60" s="8">
        <v>285454</v>
      </c>
    </row>
    <row r="61" spans="1:11">
      <c r="A61" s="7" t="s">
        <v>61</v>
      </c>
      <c r="B61" s="7" t="s">
        <v>62</v>
      </c>
      <c r="C61" s="7" t="s">
        <v>103</v>
      </c>
      <c r="D61" s="7" t="s">
        <v>104</v>
      </c>
      <c r="E61" s="7" t="s">
        <v>83</v>
      </c>
      <c r="F61" s="7" t="s">
        <v>84</v>
      </c>
      <c r="G61" s="7" t="s">
        <v>85</v>
      </c>
      <c r="H61" s="7" t="s">
        <v>86</v>
      </c>
      <c r="I61" s="8">
        <v>38</v>
      </c>
      <c r="J61" s="8">
        <v>198988</v>
      </c>
      <c r="K61" s="8">
        <v>538178</v>
      </c>
    </row>
    <row r="62" spans="1:11">
      <c r="A62" s="7" t="s">
        <v>61</v>
      </c>
      <c r="B62" s="7" t="s">
        <v>62</v>
      </c>
      <c r="C62" s="7" t="s">
        <v>103</v>
      </c>
      <c r="D62" s="7" t="s">
        <v>104</v>
      </c>
      <c r="E62" s="7" t="s">
        <v>83</v>
      </c>
      <c r="F62" s="7" t="s">
        <v>84</v>
      </c>
      <c r="G62" s="7" t="s">
        <v>107</v>
      </c>
      <c r="H62" s="7" t="s">
        <v>108</v>
      </c>
      <c r="I62" s="8">
        <v>3</v>
      </c>
      <c r="J62" s="8">
        <v>18709</v>
      </c>
      <c r="K62" s="8">
        <v>53909</v>
      </c>
    </row>
    <row r="63" spans="1:11">
      <c r="A63" s="7" t="s">
        <v>61</v>
      </c>
      <c r="B63" s="7" t="s">
        <v>62</v>
      </c>
      <c r="C63" s="7" t="s">
        <v>103</v>
      </c>
      <c r="D63" s="7" t="s">
        <v>104</v>
      </c>
      <c r="E63" s="7" t="s">
        <v>83</v>
      </c>
      <c r="F63" s="7" t="s">
        <v>84</v>
      </c>
      <c r="G63" s="7" t="s">
        <v>87</v>
      </c>
      <c r="H63" s="7" t="s">
        <v>88</v>
      </c>
      <c r="I63" s="8">
        <v>11</v>
      </c>
      <c r="J63" s="8">
        <v>74789</v>
      </c>
      <c r="K63" s="8">
        <v>189089</v>
      </c>
    </row>
    <row r="64" spans="1:11">
      <c r="A64" s="7" t="s">
        <v>61</v>
      </c>
      <c r="B64" s="7" t="s">
        <v>62</v>
      </c>
      <c r="C64" s="7" t="s">
        <v>103</v>
      </c>
      <c r="D64" s="7" t="s">
        <v>104</v>
      </c>
      <c r="E64" s="7" t="s">
        <v>89</v>
      </c>
      <c r="F64" s="7" t="s">
        <v>90</v>
      </c>
      <c r="G64" s="7" t="s">
        <v>91</v>
      </c>
      <c r="H64" s="7" t="s">
        <v>90</v>
      </c>
      <c r="I64" s="8">
        <v>6</v>
      </c>
      <c r="J64" s="8">
        <v>2818</v>
      </c>
      <c r="K64" s="8">
        <v>2818</v>
      </c>
    </row>
    <row r="65" spans="1:11">
      <c r="A65" s="7" t="s">
        <v>61</v>
      </c>
      <c r="B65" s="7" t="s">
        <v>62</v>
      </c>
      <c r="C65" s="7" t="s">
        <v>103</v>
      </c>
      <c r="D65" s="7" t="s">
        <v>104</v>
      </c>
      <c r="E65" s="7" t="s">
        <v>92</v>
      </c>
      <c r="F65" s="7" t="s">
        <v>92</v>
      </c>
      <c r="G65" s="7" t="s">
        <v>92</v>
      </c>
      <c r="H65" s="7" t="s">
        <v>92</v>
      </c>
      <c r="I65" s="8">
        <v>-1465</v>
      </c>
      <c r="J65" s="8">
        <v>-26636</v>
      </c>
      <c r="K65" s="8">
        <v>-26636</v>
      </c>
    </row>
    <row r="66" spans="1:11">
      <c r="A66" s="7" t="s">
        <v>61</v>
      </c>
      <c r="B66" s="7" t="s">
        <v>62</v>
      </c>
      <c r="C66" s="7" t="s">
        <v>105</v>
      </c>
      <c r="D66" s="7" t="s">
        <v>106</v>
      </c>
      <c r="E66" s="7" t="s">
        <v>65</v>
      </c>
      <c r="F66" s="7" t="s">
        <v>66</v>
      </c>
      <c r="G66" s="7" t="s">
        <v>67</v>
      </c>
      <c r="H66" s="7" t="s">
        <v>68</v>
      </c>
      <c r="I66" s="8">
        <v>1</v>
      </c>
      <c r="J66" s="8">
        <v>207818</v>
      </c>
      <c r="K66" s="8">
        <v>2081818</v>
      </c>
    </row>
    <row r="67" spans="1:11">
      <c r="A67" s="7" t="s">
        <v>61</v>
      </c>
      <c r="B67" s="7" t="s">
        <v>62</v>
      </c>
      <c r="C67" s="7" t="s">
        <v>105</v>
      </c>
      <c r="D67" s="7" t="s">
        <v>106</v>
      </c>
      <c r="E67" s="7" t="s">
        <v>65</v>
      </c>
      <c r="F67" s="7" t="s">
        <v>66</v>
      </c>
      <c r="G67" s="7" t="s">
        <v>69</v>
      </c>
      <c r="H67" s="7" t="s">
        <v>36</v>
      </c>
      <c r="I67" s="8">
        <v>3</v>
      </c>
      <c r="J67" s="8">
        <v>300937</v>
      </c>
      <c r="K67" s="8">
        <v>3981817</v>
      </c>
    </row>
    <row r="68" spans="1:11">
      <c r="A68" s="7" t="s">
        <v>61</v>
      </c>
      <c r="B68" s="7" t="s">
        <v>62</v>
      </c>
      <c r="C68" s="7" t="s">
        <v>105</v>
      </c>
      <c r="D68" s="7" t="s">
        <v>106</v>
      </c>
      <c r="E68" s="7" t="s">
        <v>65</v>
      </c>
      <c r="F68" s="7" t="s">
        <v>66</v>
      </c>
      <c r="G68" s="7" t="s">
        <v>70</v>
      </c>
      <c r="H68" s="7" t="s">
        <v>28</v>
      </c>
      <c r="I68" s="8">
        <v>4</v>
      </c>
      <c r="J68" s="8">
        <v>194638</v>
      </c>
      <c r="K68" s="8">
        <v>2423638</v>
      </c>
    </row>
    <row r="69" spans="1:11">
      <c r="A69" s="7" t="s">
        <v>61</v>
      </c>
      <c r="B69" s="7" t="s">
        <v>62</v>
      </c>
      <c r="C69" s="7" t="s">
        <v>105</v>
      </c>
      <c r="D69" s="7" t="s">
        <v>106</v>
      </c>
      <c r="E69" s="7" t="s">
        <v>65</v>
      </c>
      <c r="F69" s="7" t="s">
        <v>66</v>
      </c>
      <c r="G69" s="7" t="s">
        <v>97</v>
      </c>
      <c r="H69" s="7" t="s">
        <v>98</v>
      </c>
      <c r="I69" s="8">
        <v>1</v>
      </c>
      <c r="J69" s="8">
        <v>27636</v>
      </c>
      <c r="K69" s="8">
        <v>453636</v>
      </c>
    </row>
    <row r="70" spans="1:11">
      <c r="A70" s="7" t="s">
        <v>61</v>
      </c>
      <c r="B70" s="7" t="s">
        <v>62</v>
      </c>
      <c r="C70" s="7" t="s">
        <v>105</v>
      </c>
      <c r="D70" s="7" t="s">
        <v>106</v>
      </c>
      <c r="E70" s="7" t="s">
        <v>65</v>
      </c>
      <c r="F70" s="7" t="s">
        <v>66</v>
      </c>
      <c r="G70" s="7" t="s">
        <v>71</v>
      </c>
      <c r="H70" s="7" t="s">
        <v>72</v>
      </c>
      <c r="I70" s="8">
        <v>17</v>
      </c>
      <c r="J70" s="8">
        <v>557094</v>
      </c>
      <c r="K70" s="8">
        <v>8039094</v>
      </c>
    </row>
    <row r="71" spans="1:11">
      <c r="A71" s="7" t="s">
        <v>61</v>
      </c>
      <c r="B71" s="7" t="s">
        <v>62</v>
      </c>
      <c r="C71" s="7" t="s">
        <v>105</v>
      </c>
      <c r="D71" s="7" t="s">
        <v>106</v>
      </c>
      <c r="E71" s="7" t="s">
        <v>65</v>
      </c>
      <c r="F71" s="7" t="s">
        <v>66</v>
      </c>
      <c r="G71" s="7" t="s">
        <v>73</v>
      </c>
      <c r="H71" s="7" t="s">
        <v>74</v>
      </c>
      <c r="I71" s="8">
        <v>3</v>
      </c>
      <c r="J71" s="8">
        <v>282637</v>
      </c>
      <c r="K71" s="8">
        <v>3533637</v>
      </c>
    </row>
    <row r="72" spans="1:11">
      <c r="A72" s="7" t="s">
        <v>61</v>
      </c>
      <c r="B72" s="7" t="s">
        <v>62</v>
      </c>
      <c r="C72" s="7" t="s">
        <v>105</v>
      </c>
      <c r="D72" s="7" t="s">
        <v>106</v>
      </c>
      <c r="E72" s="7" t="s">
        <v>75</v>
      </c>
      <c r="F72" s="7" t="s">
        <v>76</v>
      </c>
      <c r="G72" s="7" t="s">
        <v>77</v>
      </c>
      <c r="H72" s="7" t="s">
        <v>78</v>
      </c>
      <c r="I72" s="8">
        <v>8</v>
      </c>
      <c r="J72" s="8">
        <v>86180.955254</v>
      </c>
      <c r="K72" s="8">
        <v>638181</v>
      </c>
    </row>
    <row r="73" spans="1:11">
      <c r="A73" s="7" t="s">
        <v>61</v>
      </c>
      <c r="B73" s="7" t="s">
        <v>62</v>
      </c>
      <c r="C73" s="7" t="s">
        <v>105</v>
      </c>
      <c r="D73" s="7" t="s">
        <v>106</v>
      </c>
      <c r="E73" s="7" t="s">
        <v>75</v>
      </c>
      <c r="F73" s="7" t="s">
        <v>76</v>
      </c>
      <c r="G73" s="7" t="s">
        <v>79</v>
      </c>
      <c r="H73" s="7" t="s">
        <v>80</v>
      </c>
      <c r="I73" s="8">
        <v>76</v>
      </c>
      <c r="J73" s="8">
        <v>3433457.0876190001</v>
      </c>
      <c r="K73" s="8">
        <v>13695454</v>
      </c>
    </row>
    <row r="74" spans="1:11">
      <c r="A74" s="7" t="s">
        <v>61</v>
      </c>
      <c r="B74" s="7" t="s">
        <v>62</v>
      </c>
      <c r="C74" s="7" t="s">
        <v>105</v>
      </c>
      <c r="D74" s="7" t="s">
        <v>106</v>
      </c>
      <c r="E74" s="7" t="s">
        <v>75</v>
      </c>
      <c r="F74" s="7" t="s">
        <v>76</v>
      </c>
      <c r="G74" s="7" t="s">
        <v>81</v>
      </c>
      <c r="H74" s="7" t="s">
        <v>82</v>
      </c>
      <c r="I74" s="8">
        <v>29</v>
      </c>
      <c r="J74" s="8">
        <v>339271.03807299997</v>
      </c>
      <c r="K74" s="8">
        <v>2727271</v>
      </c>
    </row>
    <row r="75" spans="1:11">
      <c r="A75" s="7" t="s">
        <v>61</v>
      </c>
      <c r="B75" s="7" t="s">
        <v>62</v>
      </c>
      <c r="C75" s="7" t="s">
        <v>105</v>
      </c>
      <c r="D75" s="7" t="s">
        <v>106</v>
      </c>
      <c r="E75" s="7" t="s">
        <v>75</v>
      </c>
      <c r="F75" s="7" t="s">
        <v>76</v>
      </c>
      <c r="G75" s="7" t="s">
        <v>87</v>
      </c>
      <c r="H75" s="7" t="s">
        <v>88</v>
      </c>
      <c r="I75" s="8">
        <v>3</v>
      </c>
      <c r="J75" s="8">
        <v>34637</v>
      </c>
      <c r="K75" s="8">
        <v>153637</v>
      </c>
    </row>
    <row r="76" spans="1:11">
      <c r="A76" s="7" t="s">
        <v>61</v>
      </c>
      <c r="B76" s="7" t="s">
        <v>62</v>
      </c>
      <c r="C76" s="7" t="s">
        <v>105</v>
      </c>
      <c r="D76" s="7" t="s">
        <v>106</v>
      </c>
      <c r="E76" s="7" t="s">
        <v>83</v>
      </c>
      <c r="F76" s="7" t="s">
        <v>84</v>
      </c>
      <c r="G76" s="7" t="s">
        <v>77</v>
      </c>
      <c r="H76" s="7" t="s">
        <v>78</v>
      </c>
      <c r="I76" s="8">
        <v>21</v>
      </c>
      <c r="J76" s="8">
        <v>236680</v>
      </c>
      <c r="K76" s="8">
        <v>774653</v>
      </c>
    </row>
    <row r="77" spans="1:11">
      <c r="A77" s="7" t="s">
        <v>61</v>
      </c>
      <c r="B77" s="7" t="s">
        <v>62</v>
      </c>
      <c r="C77" s="7" t="s">
        <v>105</v>
      </c>
      <c r="D77" s="7" t="s">
        <v>106</v>
      </c>
      <c r="E77" s="7" t="s">
        <v>83</v>
      </c>
      <c r="F77" s="7" t="s">
        <v>84</v>
      </c>
      <c r="G77" s="7" t="s">
        <v>79</v>
      </c>
      <c r="H77" s="7" t="s">
        <v>80</v>
      </c>
      <c r="I77" s="8">
        <v>30</v>
      </c>
      <c r="J77" s="8">
        <v>310501.46824000002</v>
      </c>
      <c r="K77" s="8">
        <v>657366</v>
      </c>
    </row>
    <row r="78" spans="1:11">
      <c r="A78" s="7" t="s">
        <v>61</v>
      </c>
      <c r="B78" s="7" t="s">
        <v>62</v>
      </c>
      <c r="C78" s="7" t="s">
        <v>105</v>
      </c>
      <c r="D78" s="7" t="s">
        <v>106</v>
      </c>
      <c r="E78" s="7" t="s">
        <v>83</v>
      </c>
      <c r="F78" s="7" t="s">
        <v>84</v>
      </c>
      <c r="G78" s="7" t="s">
        <v>81</v>
      </c>
      <c r="H78" s="7" t="s">
        <v>82</v>
      </c>
      <c r="I78" s="8">
        <v>53</v>
      </c>
      <c r="J78" s="8">
        <v>595928</v>
      </c>
      <c r="K78" s="8">
        <v>1249728</v>
      </c>
    </row>
    <row r="79" spans="1:11">
      <c r="A79" s="7" t="s">
        <v>61</v>
      </c>
      <c r="B79" s="7" t="s">
        <v>62</v>
      </c>
      <c r="C79" s="7" t="s">
        <v>105</v>
      </c>
      <c r="D79" s="7" t="s">
        <v>106</v>
      </c>
      <c r="E79" s="7" t="s">
        <v>83</v>
      </c>
      <c r="F79" s="7" t="s">
        <v>84</v>
      </c>
      <c r="G79" s="7" t="s">
        <v>85</v>
      </c>
      <c r="H79" s="7" t="s">
        <v>86</v>
      </c>
      <c r="I79" s="8">
        <v>39</v>
      </c>
      <c r="J79" s="8">
        <v>231138</v>
      </c>
      <c r="K79" s="8">
        <v>724358</v>
      </c>
    </row>
    <row r="80" spans="1:11">
      <c r="A80" s="7" t="s">
        <v>61</v>
      </c>
      <c r="B80" s="7" t="s">
        <v>62</v>
      </c>
      <c r="C80" s="7" t="s">
        <v>105</v>
      </c>
      <c r="D80" s="7" t="s">
        <v>106</v>
      </c>
      <c r="E80" s="7" t="s">
        <v>83</v>
      </c>
      <c r="F80" s="7" t="s">
        <v>84</v>
      </c>
      <c r="G80" s="7" t="s">
        <v>107</v>
      </c>
      <c r="H80" s="7" t="s">
        <v>108</v>
      </c>
      <c r="I80" s="8">
        <v>2</v>
      </c>
      <c r="J80" s="8">
        <v>65291</v>
      </c>
      <c r="K80" s="8">
        <v>353591</v>
      </c>
    </row>
    <row r="81" spans="1:11">
      <c r="A81" s="7" t="s">
        <v>61</v>
      </c>
      <c r="B81" s="7" t="s">
        <v>62</v>
      </c>
      <c r="C81" s="7" t="s">
        <v>105</v>
      </c>
      <c r="D81" s="7" t="s">
        <v>106</v>
      </c>
      <c r="E81" s="7" t="s">
        <v>83</v>
      </c>
      <c r="F81" s="7" t="s">
        <v>84</v>
      </c>
      <c r="G81" s="7" t="s">
        <v>87</v>
      </c>
      <c r="H81" s="7" t="s">
        <v>88</v>
      </c>
      <c r="I81" s="8">
        <v>12</v>
      </c>
      <c r="J81" s="8">
        <v>87044</v>
      </c>
      <c r="K81" s="8">
        <v>266544</v>
      </c>
    </row>
    <row r="82" spans="1:11">
      <c r="A82" s="7" t="s">
        <v>61</v>
      </c>
      <c r="B82" s="7" t="s">
        <v>62</v>
      </c>
      <c r="C82" s="7" t="s">
        <v>105</v>
      </c>
      <c r="D82" s="7" t="s">
        <v>106</v>
      </c>
      <c r="E82" s="7" t="s">
        <v>89</v>
      </c>
      <c r="F82" s="7" t="s">
        <v>90</v>
      </c>
      <c r="G82" s="7" t="s">
        <v>91</v>
      </c>
      <c r="H82" s="7" t="s">
        <v>90</v>
      </c>
      <c r="I82" s="8">
        <v>2</v>
      </c>
      <c r="J82" s="8">
        <v>3182</v>
      </c>
      <c r="K82" s="8">
        <v>8182</v>
      </c>
    </row>
    <row r="83" spans="1:11">
      <c r="A83" s="7" t="s">
        <v>61</v>
      </c>
      <c r="B83" s="7" t="s">
        <v>62</v>
      </c>
      <c r="C83" s="7" t="s">
        <v>105</v>
      </c>
      <c r="D83" s="7" t="s">
        <v>106</v>
      </c>
      <c r="E83" s="7" t="s">
        <v>92</v>
      </c>
      <c r="F83" s="7" t="s">
        <v>92</v>
      </c>
      <c r="G83" s="7" t="s">
        <v>92</v>
      </c>
      <c r="H83" s="7" t="s">
        <v>92</v>
      </c>
      <c r="I83" s="8">
        <v>-700</v>
      </c>
      <c r="J83" s="8">
        <v>-12728</v>
      </c>
      <c r="K83" s="8">
        <v>-12728</v>
      </c>
    </row>
    <row r="84" spans="1:11">
      <c r="A84" s="7" t="s">
        <v>61</v>
      </c>
      <c r="B84" s="7" t="s">
        <v>62</v>
      </c>
      <c r="C84" s="7" t="s">
        <v>109</v>
      </c>
      <c r="D84" s="7" t="s">
        <v>110</v>
      </c>
      <c r="E84" s="7" t="s">
        <v>65</v>
      </c>
      <c r="F84" s="7" t="s">
        <v>66</v>
      </c>
      <c r="G84" s="7" t="s">
        <v>67</v>
      </c>
      <c r="H84" s="7" t="s">
        <v>68</v>
      </c>
      <c r="I84" s="8">
        <v>3</v>
      </c>
      <c r="J84" s="8">
        <v>856636</v>
      </c>
      <c r="K84" s="8">
        <v>8563636</v>
      </c>
    </row>
    <row r="85" spans="1:11">
      <c r="A85" s="7" t="s">
        <v>61</v>
      </c>
      <c r="B85" s="7" t="s">
        <v>62</v>
      </c>
      <c r="C85" s="7" t="s">
        <v>109</v>
      </c>
      <c r="D85" s="7" t="s">
        <v>110</v>
      </c>
      <c r="E85" s="7" t="s">
        <v>65</v>
      </c>
      <c r="F85" s="7" t="s">
        <v>66</v>
      </c>
      <c r="G85" s="7" t="s">
        <v>69</v>
      </c>
      <c r="H85" s="7" t="s">
        <v>36</v>
      </c>
      <c r="I85" s="8">
        <v>7</v>
      </c>
      <c r="J85" s="8">
        <v>658389</v>
      </c>
      <c r="K85" s="8">
        <v>8709089</v>
      </c>
    </row>
    <row r="86" spans="1:11">
      <c r="A86" s="7" t="s">
        <v>61</v>
      </c>
      <c r="B86" s="7" t="s">
        <v>62</v>
      </c>
      <c r="C86" s="7" t="s">
        <v>109</v>
      </c>
      <c r="D86" s="7" t="s">
        <v>110</v>
      </c>
      <c r="E86" s="7" t="s">
        <v>65</v>
      </c>
      <c r="F86" s="7" t="s">
        <v>66</v>
      </c>
      <c r="G86" s="7" t="s">
        <v>70</v>
      </c>
      <c r="H86" s="7" t="s">
        <v>28</v>
      </c>
      <c r="I86" s="8">
        <v>20</v>
      </c>
      <c r="J86" s="8">
        <v>888000</v>
      </c>
      <c r="K86" s="8">
        <v>11100000</v>
      </c>
    </row>
    <row r="87" spans="1:11">
      <c r="A87" s="7" t="s">
        <v>61</v>
      </c>
      <c r="B87" s="7" t="s">
        <v>62</v>
      </c>
      <c r="C87" s="7" t="s">
        <v>109</v>
      </c>
      <c r="D87" s="7" t="s">
        <v>110</v>
      </c>
      <c r="E87" s="7" t="s">
        <v>65</v>
      </c>
      <c r="F87" s="7" t="s">
        <v>66</v>
      </c>
      <c r="G87" s="7" t="s">
        <v>97</v>
      </c>
      <c r="H87" s="7" t="s">
        <v>98</v>
      </c>
      <c r="I87" s="8">
        <v>1</v>
      </c>
      <c r="J87" s="8">
        <v>27637</v>
      </c>
      <c r="K87" s="8">
        <v>453637</v>
      </c>
    </row>
    <row r="88" spans="1:11">
      <c r="A88" s="7" t="s">
        <v>61</v>
      </c>
      <c r="B88" s="7" t="s">
        <v>62</v>
      </c>
      <c r="C88" s="7" t="s">
        <v>109</v>
      </c>
      <c r="D88" s="7" t="s">
        <v>110</v>
      </c>
      <c r="E88" s="7" t="s">
        <v>65</v>
      </c>
      <c r="F88" s="7" t="s">
        <v>66</v>
      </c>
      <c r="G88" s="7" t="s">
        <v>71</v>
      </c>
      <c r="H88" s="7" t="s">
        <v>72</v>
      </c>
      <c r="I88" s="8">
        <v>17</v>
      </c>
      <c r="J88" s="8">
        <v>539549</v>
      </c>
      <c r="K88" s="8">
        <v>7784549</v>
      </c>
    </row>
    <row r="89" spans="1:11">
      <c r="A89" s="7" t="s">
        <v>61</v>
      </c>
      <c r="B89" s="7" t="s">
        <v>62</v>
      </c>
      <c r="C89" s="7" t="s">
        <v>109</v>
      </c>
      <c r="D89" s="7" t="s">
        <v>110</v>
      </c>
      <c r="E89" s="7" t="s">
        <v>75</v>
      </c>
      <c r="F89" s="7" t="s">
        <v>76</v>
      </c>
      <c r="G89" s="7" t="s">
        <v>77</v>
      </c>
      <c r="H89" s="7" t="s">
        <v>78</v>
      </c>
      <c r="I89" s="8">
        <v>13</v>
      </c>
      <c r="J89" s="8">
        <v>144543.94016500001</v>
      </c>
      <c r="K89" s="8">
        <v>1086544</v>
      </c>
    </row>
    <row r="90" spans="1:11">
      <c r="A90" s="7" t="s">
        <v>61</v>
      </c>
      <c r="B90" s="7" t="s">
        <v>62</v>
      </c>
      <c r="C90" s="7" t="s">
        <v>109</v>
      </c>
      <c r="D90" s="7" t="s">
        <v>110</v>
      </c>
      <c r="E90" s="7" t="s">
        <v>75</v>
      </c>
      <c r="F90" s="7" t="s">
        <v>76</v>
      </c>
      <c r="G90" s="7" t="s">
        <v>79</v>
      </c>
      <c r="H90" s="7" t="s">
        <v>80</v>
      </c>
      <c r="I90" s="8">
        <v>73</v>
      </c>
      <c r="J90" s="8">
        <v>2295925.5888899998</v>
      </c>
      <c r="K90" s="8">
        <v>9880904</v>
      </c>
    </row>
    <row r="91" spans="1:11">
      <c r="A91" s="7" t="s">
        <v>61</v>
      </c>
      <c r="B91" s="7" t="s">
        <v>62</v>
      </c>
      <c r="C91" s="7" t="s">
        <v>109</v>
      </c>
      <c r="D91" s="7" t="s">
        <v>110</v>
      </c>
      <c r="E91" s="7" t="s">
        <v>75</v>
      </c>
      <c r="F91" s="7" t="s">
        <v>76</v>
      </c>
      <c r="G91" s="7" t="s">
        <v>81</v>
      </c>
      <c r="H91" s="7" t="s">
        <v>82</v>
      </c>
      <c r="I91" s="8">
        <v>41</v>
      </c>
      <c r="J91" s="8">
        <v>521726.13855899998</v>
      </c>
      <c r="K91" s="8">
        <v>3212726</v>
      </c>
    </row>
    <row r="92" spans="1:11">
      <c r="A92" s="7" t="s">
        <v>61</v>
      </c>
      <c r="B92" s="7" t="s">
        <v>62</v>
      </c>
      <c r="C92" s="7" t="s">
        <v>109</v>
      </c>
      <c r="D92" s="7" t="s">
        <v>110</v>
      </c>
      <c r="E92" s="7" t="s">
        <v>75</v>
      </c>
      <c r="F92" s="7" t="s">
        <v>76</v>
      </c>
      <c r="G92" s="7" t="s">
        <v>87</v>
      </c>
      <c r="H92" s="7" t="s">
        <v>88</v>
      </c>
      <c r="I92" s="8">
        <v>6</v>
      </c>
      <c r="J92" s="8">
        <v>106546</v>
      </c>
      <c r="K92" s="8">
        <v>514546</v>
      </c>
    </row>
    <row r="93" spans="1:11">
      <c r="A93" s="7" t="s">
        <v>61</v>
      </c>
      <c r="B93" s="7" t="s">
        <v>62</v>
      </c>
      <c r="C93" s="7" t="s">
        <v>109</v>
      </c>
      <c r="D93" s="7" t="s">
        <v>110</v>
      </c>
      <c r="E93" s="7" t="s">
        <v>83</v>
      </c>
      <c r="F93" s="7" t="s">
        <v>84</v>
      </c>
      <c r="G93" s="7" t="s">
        <v>77</v>
      </c>
      <c r="H93" s="7" t="s">
        <v>78</v>
      </c>
      <c r="I93" s="8">
        <v>35</v>
      </c>
      <c r="J93" s="8">
        <v>434910.48297000001</v>
      </c>
      <c r="K93" s="8">
        <v>1201455</v>
      </c>
    </row>
    <row r="94" spans="1:11">
      <c r="A94" s="7" t="s">
        <v>61</v>
      </c>
      <c r="B94" s="7" t="s">
        <v>62</v>
      </c>
      <c r="C94" s="7" t="s">
        <v>109</v>
      </c>
      <c r="D94" s="7" t="s">
        <v>110</v>
      </c>
      <c r="E94" s="7" t="s">
        <v>83</v>
      </c>
      <c r="F94" s="7" t="s">
        <v>84</v>
      </c>
      <c r="G94" s="7" t="s">
        <v>79</v>
      </c>
      <c r="H94" s="7" t="s">
        <v>80</v>
      </c>
      <c r="I94" s="8">
        <v>60</v>
      </c>
      <c r="J94" s="8">
        <v>711412.85207999998</v>
      </c>
      <c r="K94" s="8">
        <v>1514454</v>
      </c>
    </row>
    <row r="95" spans="1:11">
      <c r="A95" s="7" t="s">
        <v>61</v>
      </c>
      <c r="B95" s="7" t="s">
        <v>62</v>
      </c>
      <c r="C95" s="7" t="s">
        <v>109</v>
      </c>
      <c r="D95" s="7" t="s">
        <v>110</v>
      </c>
      <c r="E95" s="7" t="s">
        <v>83</v>
      </c>
      <c r="F95" s="7" t="s">
        <v>84</v>
      </c>
      <c r="G95" s="7" t="s">
        <v>81</v>
      </c>
      <c r="H95" s="7" t="s">
        <v>82</v>
      </c>
      <c r="I95" s="8">
        <v>67</v>
      </c>
      <c r="J95" s="8">
        <v>821419</v>
      </c>
      <c r="K95" s="8">
        <v>1670546</v>
      </c>
    </row>
    <row r="96" spans="1:11">
      <c r="A96" s="7" t="s">
        <v>61</v>
      </c>
      <c r="B96" s="7" t="s">
        <v>62</v>
      </c>
      <c r="C96" s="7" t="s">
        <v>109</v>
      </c>
      <c r="D96" s="7" t="s">
        <v>110</v>
      </c>
      <c r="E96" s="7" t="s">
        <v>83</v>
      </c>
      <c r="F96" s="7" t="s">
        <v>84</v>
      </c>
      <c r="G96" s="7" t="s">
        <v>85</v>
      </c>
      <c r="H96" s="7" t="s">
        <v>86</v>
      </c>
      <c r="I96" s="8">
        <v>18</v>
      </c>
      <c r="J96" s="8">
        <v>103507</v>
      </c>
      <c r="K96" s="8">
        <v>299727</v>
      </c>
    </row>
    <row r="97" spans="1:11">
      <c r="A97" s="7" t="s">
        <v>61</v>
      </c>
      <c r="B97" s="7" t="s">
        <v>62</v>
      </c>
      <c r="C97" s="7" t="s">
        <v>109</v>
      </c>
      <c r="D97" s="7" t="s">
        <v>110</v>
      </c>
      <c r="E97" s="7" t="s">
        <v>83</v>
      </c>
      <c r="F97" s="7" t="s">
        <v>84</v>
      </c>
      <c r="G97" s="7" t="s">
        <v>107</v>
      </c>
      <c r="H97" s="7" t="s">
        <v>108</v>
      </c>
      <c r="I97" s="8">
        <v>2</v>
      </c>
      <c r="J97" s="8">
        <v>15018</v>
      </c>
      <c r="K97" s="8">
        <v>38818</v>
      </c>
    </row>
    <row r="98" spans="1:11">
      <c r="A98" s="7" t="s">
        <v>61</v>
      </c>
      <c r="B98" s="7" t="s">
        <v>62</v>
      </c>
      <c r="C98" s="7" t="s">
        <v>109</v>
      </c>
      <c r="D98" s="7" t="s">
        <v>110</v>
      </c>
      <c r="E98" s="7" t="s">
        <v>83</v>
      </c>
      <c r="F98" s="7" t="s">
        <v>84</v>
      </c>
      <c r="G98" s="7" t="s">
        <v>87</v>
      </c>
      <c r="H98" s="7" t="s">
        <v>88</v>
      </c>
      <c r="I98" s="8">
        <v>12</v>
      </c>
      <c r="J98" s="8">
        <v>91621</v>
      </c>
      <c r="K98" s="8">
        <v>219271</v>
      </c>
    </row>
    <row r="99" spans="1:11">
      <c r="A99" s="7" t="s">
        <v>61</v>
      </c>
      <c r="B99" s="7" t="s">
        <v>62</v>
      </c>
      <c r="C99" s="7" t="s">
        <v>109</v>
      </c>
      <c r="D99" s="7" t="s">
        <v>110</v>
      </c>
      <c r="E99" s="7" t="s">
        <v>89</v>
      </c>
      <c r="F99" s="7" t="s">
        <v>90</v>
      </c>
      <c r="G99" s="7" t="s">
        <v>91</v>
      </c>
      <c r="H99" s="7" t="s">
        <v>90</v>
      </c>
      <c r="I99" s="8">
        <v>3</v>
      </c>
      <c r="J99" s="8">
        <v>91</v>
      </c>
      <c r="K99" s="8">
        <v>91</v>
      </c>
    </row>
    <row r="100" spans="1:11">
      <c r="A100" s="7" t="s">
        <v>61</v>
      </c>
      <c r="B100" s="7" t="s">
        <v>62</v>
      </c>
      <c r="C100" s="7" t="s">
        <v>109</v>
      </c>
      <c r="D100" s="7" t="s">
        <v>110</v>
      </c>
      <c r="E100" s="7" t="s">
        <v>92</v>
      </c>
      <c r="F100" s="7" t="s">
        <v>92</v>
      </c>
      <c r="G100" s="7" t="s">
        <v>92</v>
      </c>
      <c r="H100" s="7" t="s">
        <v>92</v>
      </c>
      <c r="I100" s="8">
        <v>-10277</v>
      </c>
      <c r="J100" s="8">
        <v>-186855</v>
      </c>
      <c r="K100" s="8">
        <v>-186855</v>
      </c>
    </row>
    <row r="101" spans="1:11">
      <c r="A101" s="7" t="s">
        <v>61</v>
      </c>
      <c r="B101" s="7" t="s">
        <v>62</v>
      </c>
      <c r="C101" s="7" t="s">
        <v>111</v>
      </c>
      <c r="D101" s="7" t="s">
        <v>112</v>
      </c>
      <c r="E101" s="7" t="s">
        <v>65</v>
      </c>
      <c r="F101" s="7" t="s">
        <v>66</v>
      </c>
      <c r="G101" s="7" t="s">
        <v>67</v>
      </c>
      <c r="H101" s="7" t="s">
        <v>68</v>
      </c>
      <c r="I101" s="8">
        <v>1</v>
      </c>
      <c r="J101" s="8">
        <v>157818</v>
      </c>
      <c r="K101" s="8">
        <v>1581818</v>
      </c>
    </row>
    <row r="102" spans="1:11">
      <c r="A102" s="7" t="s">
        <v>61</v>
      </c>
      <c r="B102" s="7" t="s">
        <v>62</v>
      </c>
      <c r="C102" s="7" t="s">
        <v>111</v>
      </c>
      <c r="D102" s="7" t="s">
        <v>112</v>
      </c>
      <c r="E102" s="7" t="s">
        <v>65</v>
      </c>
      <c r="F102" s="7" t="s">
        <v>66</v>
      </c>
      <c r="G102" s="7" t="s">
        <v>69</v>
      </c>
      <c r="H102" s="7" t="s">
        <v>36</v>
      </c>
      <c r="I102" s="8">
        <v>6</v>
      </c>
      <c r="J102" s="8">
        <v>599593</v>
      </c>
      <c r="K102" s="8">
        <v>7936363</v>
      </c>
    </row>
    <row r="103" spans="1:11">
      <c r="A103" s="7" t="s">
        <v>61</v>
      </c>
      <c r="B103" s="7" t="s">
        <v>62</v>
      </c>
      <c r="C103" s="7" t="s">
        <v>111</v>
      </c>
      <c r="D103" s="7" t="s">
        <v>112</v>
      </c>
      <c r="E103" s="7" t="s">
        <v>65</v>
      </c>
      <c r="F103" s="7" t="s">
        <v>66</v>
      </c>
      <c r="G103" s="7" t="s">
        <v>70</v>
      </c>
      <c r="H103" s="7" t="s">
        <v>28</v>
      </c>
      <c r="I103" s="8">
        <v>20</v>
      </c>
      <c r="J103" s="8">
        <v>853908</v>
      </c>
      <c r="K103" s="8">
        <v>10990908</v>
      </c>
    </row>
    <row r="104" spans="1:11">
      <c r="A104" s="7" t="s">
        <v>61</v>
      </c>
      <c r="B104" s="7" t="s">
        <v>62</v>
      </c>
      <c r="C104" s="7" t="s">
        <v>111</v>
      </c>
      <c r="D104" s="7" t="s">
        <v>112</v>
      </c>
      <c r="E104" s="7" t="s">
        <v>65</v>
      </c>
      <c r="F104" s="7" t="s">
        <v>66</v>
      </c>
      <c r="G104" s="7" t="s">
        <v>97</v>
      </c>
      <c r="H104" s="7" t="s">
        <v>98</v>
      </c>
      <c r="I104" s="8">
        <v>2</v>
      </c>
      <c r="J104" s="8">
        <v>55272</v>
      </c>
      <c r="K104" s="8">
        <v>907272</v>
      </c>
    </row>
    <row r="105" spans="1:11">
      <c r="A105" s="7" t="s">
        <v>61</v>
      </c>
      <c r="B105" s="7" t="s">
        <v>62</v>
      </c>
      <c r="C105" s="7" t="s">
        <v>111</v>
      </c>
      <c r="D105" s="7" t="s">
        <v>112</v>
      </c>
      <c r="E105" s="7" t="s">
        <v>65</v>
      </c>
      <c r="F105" s="7" t="s">
        <v>66</v>
      </c>
      <c r="G105" s="7" t="s">
        <v>71</v>
      </c>
      <c r="H105" s="7" t="s">
        <v>72</v>
      </c>
      <c r="I105" s="8">
        <v>7</v>
      </c>
      <c r="J105" s="8">
        <v>225182</v>
      </c>
      <c r="K105" s="8">
        <v>3248182</v>
      </c>
    </row>
    <row r="106" spans="1:11">
      <c r="A106" s="7" t="s">
        <v>61</v>
      </c>
      <c r="B106" s="7" t="s">
        <v>62</v>
      </c>
      <c r="C106" s="7" t="s">
        <v>111</v>
      </c>
      <c r="D106" s="7" t="s">
        <v>112</v>
      </c>
      <c r="E106" s="7" t="s">
        <v>65</v>
      </c>
      <c r="F106" s="7" t="s">
        <v>66</v>
      </c>
      <c r="G106" s="7" t="s">
        <v>73</v>
      </c>
      <c r="H106" s="7" t="s">
        <v>74</v>
      </c>
      <c r="I106" s="8">
        <v>1</v>
      </c>
      <c r="J106" s="8">
        <v>74455</v>
      </c>
      <c r="K106" s="8">
        <v>935455</v>
      </c>
    </row>
    <row r="107" spans="1:11">
      <c r="A107" s="7" t="s">
        <v>61</v>
      </c>
      <c r="B107" s="7" t="s">
        <v>62</v>
      </c>
      <c r="C107" s="7" t="s">
        <v>111</v>
      </c>
      <c r="D107" s="7" t="s">
        <v>112</v>
      </c>
      <c r="E107" s="7" t="s">
        <v>75</v>
      </c>
      <c r="F107" s="7" t="s">
        <v>76</v>
      </c>
      <c r="G107" s="7" t="s">
        <v>77</v>
      </c>
      <c r="H107" s="7" t="s">
        <v>78</v>
      </c>
      <c r="I107" s="8">
        <v>7</v>
      </c>
      <c r="J107" s="8">
        <v>65999.959348999997</v>
      </c>
      <c r="K107" s="8">
        <v>490000</v>
      </c>
    </row>
    <row r="108" spans="1:11">
      <c r="A108" s="7" t="s">
        <v>61</v>
      </c>
      <c r="B108" s="7" t="s">
        <v>62</v>
      </c>
      <c r="C108" s="7" t="s">
        <v>111</v>
      </c>
      <c r="D108" s="7" t="s">
        <v>112</v>
      </c>
      <c r="E108" s="7" t="s">
        <v>75</v>
      </c>
      <c r="F108" s="7" t="s">
        <v>76</v>
      </c>
      <c r="G108" s="7" t="s">
        <v>79</v>
      </c>
      <c r="H108" s="7" t="s">
        <v>80</v>
      </c>
      <c r="I108" s="8">
        <v>85</v>
      </c>
      <c r="J108" s="8">
        <v>2739684.5115959998</v>
      </c>
      <c r="K108" s="8">
        <v>10895449</v>
      </c>
    </row>
    <row r="109" spans="1:11">
      <c r="A109" s="7" t="s">
        <v>61</v>
      </c>
      <c r="B109" s="7" t="s">
        <v>62</v>
      </c>
      <c r="C109" s="7" t="s">
        <v>111</v>
      </c>
      <c r="D109" s="7" t="s">
        <v>112</v>
      </c>
      <c r="E109" s="7" t="s">
        <v>75</v>
      </c>
      <c r="F109" s="7" t="s">
        <v>76</v>
      </c>
      <c r="G109" s="7" t="s">
        <v>81</v>
      </c>
      <c r="H109" s="7" t="s">
        <v>82</v>
      </c>
      <c r="I109" s="8">
        <v>35</v>
      </c>
      <c r="J109" s="8">
        <v>440729.04052799998</v>
      </c>
      <c r="K109" s="8">
        <v>2882729</v>
      </c>
    </row>
    <row r="110" spans="1:11">
      <c r="A110" s="7" t="s">
        <v>61</v>
      </c>
      <c r="B110" s="7" t="s">
        <v>62</v>
      </c>
      <c r="C110" s="7" t="s">
        <v>111</v>
      </c>
      <c r="D110" s="7" t="s">
        <v>112</v>
      </c>
      <c r="E110" s="7" t="s">
        <v>75</v>
      </c>
      <c r="F110" s="7" t="s">
        <v>76</v>
      </c>
      <c r="G110" s="7" t="s">
        <v>87</v>
      </c>
      <c r="H110" s="7" t="s">
        <v>88</v>
      </c>
      <c r="I110" s="8">
        <v>2</v>
      </c>
      <c r="J110" s="8">
        <v>16910</v>
      </c>
      <c r="K110" s="8">
        <v>70910</v>
      </c>
    </row>
    <row r="111" spans="1:11">
      <c r="A111" s="7" t="s">
        <v>61</v>
      </c>
      <c r="B111" s="7" t="s">
        <v>62</v>
      </c>
      <c r="C111" s="7" t="s">
        <v>111</v>
      </c>
      <c r="D111" s="7" t="s">
        <v>112</v>
      </c>
      <c r="E111" s="7" t="s">
        <v>83</v>
      </c>
      <c r="F111" s="7" t="s">
        <v>84</v>
      </c>
      <c r="G111" s="7" t="s">
        <v>77</v>
      </c>
      <c r="H111" s="7" t="s">
        <v>78</v>
      </c>
      <c r="I111" s="8">
        <v>36</v>
      </c>
      <c r="J111" s="8">
        <v>458490.24148500001</v>
      </c>
      <c r="K111" s="8">
        <v>1427182</v>
      </c>
    </row>
    <row r="112" spans="1:11">
      <c r="A112" s="7" t="s">
        <v>61</v>
      </c>
      <c r="B112" s="7" t="s">
        <v>62</v>
      </c>
      <c r="C112" s="7" t="s">
        <v>111</v>
      </c>
      <c r="D112" s="7" t="s">
        <v>112</v>
      </c>
      <c r="E112" s="7" t="s">
        <v>83</v>
      </c>
      <c r="F112" s="7" t="s">
        <v>84</v>
      </c>
      <c r="G112" s="7" t="s">
        <v>79</v>
      </c>
      <c r="H112" s="7" t="s">
        <v>80</v>
      </c>
      <c r="I112" s="8">
        <v>54</v>
      </c>
      <c r="J112" s="8">
        <v>647689.44820999994</v>
      </c>
      <c r="K112" s="8">
        <v>1543359</v>
      </c>
    </row>
    <row r="113" spans="1:11">
      <c r="A113" s="7" t="s">
        <v>61</v>
      </c>
      <c r="B113" s="7" t="s">
        <v>62</v>
      </c>
      <c r="C113" s="7" t="s">
        <v>111</v>
      </c>
      <c r="D113" s="7" t="s">
        <v>112</v>
      </c>
      <c r="E113" s="7" t="s">
        <v>83</v>
      </c>
      <c r="F113" s="7" t="s">
        <v>84</v>
      </c>
      <c r="G113" s="7" t="s">
        <v>81</v>
      </c>
      <c r="H113" s="7" t="s">
        <v>82</v>
      </c>
      <c r="I113" s="8">
        <v>79</v>
      </c>
      <c r="J113" s="8">
        <v>890518</v>
      </c>
      <c r="K113" s="8">
        <v>1874545</v>
      </c>
    </row>
    <row r="114" spans="1:11">
      <c r="A114" s="7" t="s">
        <v>61</v>
      </c>
      <c r="B114" s="7" t="s">
        <v>62</v>
      </c>
      <c r="C114" s="7" t="s">
        <v>111</v>
      </c>
      <c r="D114" s="7" t="s">
        <v>112</v>
      </c>
      <c r="E114" s="7" t="s">
        <v>83</v>
      </c>
      <c r="F114" s="7" t="s">
        <v>84</v>
      </c>
      <c r="G114" s="7" t="s">
        <v>101</v>
      </c>
      <c r="H114" s="7" t="s">
        <v>102</v>
      </c>
      <c r="I114" s="8">
        <v>2</v>
      </c>
      <c r="J114" s="8">
        <v>23354</v>
      </c>
      <c r="K114" s="8">
        <v>125454</v>
      </c>
    </row>
    <row r="115" spans="1:11">
      <c r="A115" s="7" t="s">
        <v>61</v>
      </c>
      <c r="B115" s="7" t="s">
        <v>62</v>
      </c>
      <c r="C115" s="7" t="s">
        <v>111</v>
      </c>
      <c r="D115" s="7" t="s">
        <v>112</v>
      </c>
      <c r="E115" s="7" t="s">
        <v>83</v>
      </c>
      <c r="F115" s="7" t="s">
        <v>84</v>
      </c>
      <c r="G115" s="7" t="s">
        <v>85</v>
      </c>
      <c r="H115" s="7" t="s">
        <v>86</v>
      </c>
      <c r="I115" s="8">
        <v>38</v>
      </c>
      <c r="J115" s="8">
        <v>272000</v>
      </c>
      <c r="K115" s="8">
        <v>744090</v>
      </c>
    </row>
    <row r="116" spans="1:11">
      <c r="A116" s="7" t="s">
        <v>61</v>
      </c>
      <c r="B116" s="7" t="s">
        <v>62</v>
      </c>
      <c r="C116" s="7" t="s">
        <v>111</v>
      </c>
      <c r="D116" s="7" t="s">
        <v>112</v>
      </c>
      <c r="E116" s="7" t="s">
        <v>83</v>
      </c>
      <c r="F116" s="7" t="s">
        <v>84</v>
      </c>
      <c r="G116" s="7" t="s">
        <v>87</v>
      </c>
      <c r="H116" s="7" t="s">
        <v>88</v>
      </c>
      <c r="I116" s="8">
        <v>13</v>
      </c>
      <c r="J116" s="8">
        <v>160281</v>
      </c>
      <c r="K116" s="8">
        <v>358181</v>
      </c>
    </row>
    <row r="117" spans="1:11">
      <c r="A117" s="7" t="s">
        <v>61</v>
      </c>
      <c r="B117" s="7" t="s">
        <v>62</v>
      </c>
      <c r="C117" s="7" t="s">
        <v>111</v>
      </c>
      <c r="D117" s="7" t="s">
        <v>112</v>
      </c>
      <c r="E117" s="7" t="s">
        <v>89</v>
      </c>
      <c r="F117" s="7" t="s">
        <v>90</v>
      </c>
      <c r="G117" s="7" t="s">
        <v>91</v>
      </c>
      <c r="H117" s="7" t="s">
        <v>90</v>
      </c>
      <c r="I117" s="8">
        <v>12</v>
      </c>
      <c r="J117" s="8">
        <v>6618.7955119999997</v>
      </c>
      <c r="K117" s="8">
        <v>24273</v>
      </c>
    </row>
    <row r="118" spans="1:11">
      <c r="A118" s="7" t="s">
        <v>61</v>
      </c>
      <c r="B118" s="7" t="s">
        <v>62</v>
      </c>
      <c r="C118" s="7" t="s">
        <v>111</v>
      </c>
      <c r="D118" s="7" t="s">
        <v>112</v>
      </c>
      <c r="E118" s="7" t="s">
        <v>92</v>
      </c>
      <c r="F118" s="7" t="s">
        <v>92</v>
      </c>
      <c r="G118" s="7" t="s">
        <v>92</v>
      </c>
      <c r="H118" s="7" t="s">
        <v>92</v>
      </c>
      <c r="I118" s="8">
        <v>-5917</v>
      </c>
      <c r="J118" s="8">
        <v>-107582</v>
      </c>
      <c r="K118" s="8">
        <v>-107582</v>
      </c>
    </row>
    <row r="119" spans="1:11">
      <c r="A119" s="7" t="s">
        <v>113</v>
      </c>
      <c r="B119" s="7" t="s">
        <v>114</v>
      </c>
      <c r="C119" s="7" t="s">
        <v>115</v>
      </c>
      <c r="D119" s="7" t="s">
        <v>116</v>
      </c>
      <c r="E119" s="7" t="s">
        <v>65</v>
      </c>
      <c r="F119" s="7" t="s">
        <v>66</v>
      </c>
      <c r="G119" s="7" t="s">
        <v>67</v>
      </c>
      <c r="H119" s="7" t="s">
        <v>68</v>
      </c>
      <c r="I119" s="8">
        <v>1</v>
      </c>
      <c r="J119" s="8">
        <v>335545</v>
      </c>
      <c r="K119" s="8">
        <v>3354545</v>
      </c>
    </row>
    <row r="120" spans="1:11">
      <c r="A120" s="7" t="s">
        <v>113</v>
      </c>
      <c r="B120" s="7" t="s">
        <v>114</v>
      </c>
      <c r="C120" s="7" t="s">
        <v>115</v>
      </c>
      <c r="D120" s="7" t="s">
        <v>116</v>
      </c>
      <c r="E120" s="7" t="s">
        <v>65</v>
      </c>
      <c r="F120" s="7" t="s">
        <v>66</v>
      </c>
      <c r="G120" s="7" t="s">
        <v>71</v>
      </c>
      <c r="H120" s="7" t="s">
        <v>72</v>
      </c>
      <c r="I120" s="8">
        <v>1</v>
      </c>
      <c r="J120" s="8">
        <v>36364</v>
      </c>
      <c r="K120" s="8">
        <v>526364</v>
      </c>
    </row>
    <row r="121" spans="1:11">
      <c r="A121" s="7" t="s">
        <v>113</v>
      </c>
      <c r="B121" s="7" t="s">
        <v>114</v>
      </c>
      <c r="C121" s="7" t="s">
        <v>115</v>
      </c>
      <c r="D121" s="7" t="s">
        <v>116</v>
      </c>
      <c r="E121" s="7" t="s">
        <v>75</v>
      </c>
      <c r="F121" s="7" t="s">
        <v>76</v>
      </c>
      <c r="G121" s="7" t="s">
        <v>79</v>
      </c>
      <c r="H121" s="7" t="s">
        <v>80</v>
      </c>
      <c r="I121" s="8">
        <v>1</v>
      </c>
      <c r="J121" s="8">
        <v>7821.0837199999996</v>
      </c>
      <c r="K121" s="8">
        <v>31818</v>
      </c>
    </row>
    <row r="122" spans="1:11">
      <c r="A122" s="7" t="s">
        <v>113</v>
      </c>
      <c r="B122" s="7" t="s">
        <v>114</v>
      </c>
      <c r="C122" s="7" t="s">
        <v>115</v>
      </c>
      <c r="D122" s="7" t="s">
        <v>116</v>
      </c>
      <c r="E122" s="7" t="s">
        <v>75</v>
      </c>
      <c r="F122" s="7" t="s">
        <v>76</v>
      </c>
      <c r="G122" s="7" t="s">
        <v>87</v>
      </c>
      <c r="H122" s="7" t="s">
        <v>88</v>
      </c>
      <c r="I122" s="8">
        <v>1</v>
      </c>
      <c r="J122" s="8">
        <v>20091</v>
      </c>
      <c r="K122" s="8">
        <v>99091</v>
      </c>
    </row>
    <row r="123" spans="1:11">
      <c r="A123" s="7" t="s">
        <v>113</v>
      </c>
      <c r="B123" s="7" t="s">
        <v>114</v>
      </c>
      <c r="C123" s="7" t="s">
        <v>115</v>
      </c>
      <c r="D123" s="7" t="s">
        <v>116</v>
      </c>
      <c r="E123" s="7" t="s">
        <v>83</v>
      </c>
      <c r="F123" s="7" t="s">
        <v>84</v>
      </c>
      <c r="G123" s="7" t="s">
        <v>79</v>
      </c>
      <c r="H123" s="7" t="s">
        <v>80</v>
      </c>
      <c r="I123" s="8">
        <v>1</v>
      </c>
      <c r="J123" s="8">
        <v>13500</v>
      </c>
      <c r="K123" s="8">
        <v>30000</v>
      </c>
    </row>
    <row r="124" spans="1:11">
      <c r="A124" s="7" t="s">
        <v>113</v>
      </c>
      <c r="B124" s="7" t="s">
        <v>114</v>
      </c>
      <c r="C124" s="7" t="s">
        <v>115</v>
      </c>
      <c r="D124" s="7" t="s">
        <v>116</v>
      </c>
      <c r="E124" s="7" t="s">
        <v>89</v>
      </c>
      <c r="F124" s="7" t="s">
        <v>90</v>
      </c>
      <c r="G124" s="7" t="s">
        <v>91</v>
      </c>
      <c r="H124" s="7" t="s">
        <v>90</v>
      </c>
      <c r="I124" s="8">
        <v>1</v>
      </c>
      <c r="J124" s="8">
        <v>0</v>
      </c>
      <c r="K124" s="8">
        <v>0</v>
      </c>
    </row>
    <row r="125" spans="1:11">
      <c r="A125" s="7" t="s">
        <v>113</v>
      </c>
      <c r="B125" s="7" t="s">
        <v>114</v>
      </c>
      <c r="C125" s="7" t="s">
        <v>117</v>
      </c>
      <c r="D125" s="7" t="s">
        <v>118</v>
      </c>
      <c r="E125" s="7" t="s">
        <v>65</v>
      </c>
      <c r="F125" s="7" t="s">
        <v>66</v>
      </c>
      <c r="G125" s="7" t="s">
        <v>67</v>
      </c>
      <c r="H125" s="7" t="s">
        <v>68</v>
      </c>
      <c r="I125" s="8">
        <v>2</v>
      </c>
      <c r="J125" s="8">
        <v>497818</v>
      </c>
      <c r="K125" s="8">
        <v>4981818</v>
      </c>
    </row>
    <row r="126" spans="1:11">
      <c r="A126" s="7" t="s">
        <v>113</v>
      </c>
      <c r="B126" s="7" t="s">
        <v>114</v>
      </c>
      <c r="C126" s="7" t="s">
        <v>117</v>
      </c>
      <c r="D126" s="7" t="s">
        <v>118</v>
      </c>
      <c r="E126" s="7" t="s">
        <v>65</v>
      </c>
      <c r="F126" s="7" t="s">
        <v>66</v>
      </c>
      <c r="G126" s="7" t="s">
        <v>69</v>
      </c>
      <c r="H126" s="7" t="s">
        <v>36</v>
      </c>
      <c r="I126" s="8">
        <v>6</v>
      </c>
      <c r="J126" s="8">
        <v>531613</v>
      </c>
      <c r="K126" s="8">
        <v>7036363</v>
      </c>
    </row>
    <row r="127" spans="1:11">
      <c r="A127" s="7" t="s">
        <v>113</v>
      </c>
      <c r="B127" s="7" t="s">
        <v>114</v>
      </c>
      <c r="C127" s="7" t="s">
        <v>117</v>
      </c>
      <c r="D127" s="7" t="s">
        <v>118</v>
      </c>
      <c r="E127" s="7" t="s">
        <v>65</v>
      </c>
      <c r="F127" s="7" t="s">
        <v>66</v>
      </c>
      <c r="G127" s="7" t="s">
        <v>70</v>
      </c>
      <c r="H127" s="7" t="s">
        <v>28</v>
      </c>
      <c r="I127" s="8">
        <v>15</v>
      </c>
      <c r="J127" s="8">
        <v>698545</v>
      </c>
      <c r="K127" s="8">
        <v>8704545</v>
      </c>
    </row>
    <row r="128" spans="1:11">
      <c r="A128" s="7" t="s">
        <v>113</v>
      </c>
      <c r="B128" s="7" t="s">
        <v>114</v>
      </c>
      <c r="C128" s="7" t="s">
        <v>117</v>
      </c>
      <c r="D128" s="7" t="s">
        <v>118</v>
      </c>
      <c r="E128" s="7" t="s">
        <v>65</v>
      </c>
      <c r="F128" s="7" t="s">
        <v>66</v>
      </c>
      <c r="G128" s="7" t="s">
        <v>97</v>
      </c>
      <c r="H128" s="7" t="s">
        <v>98</v>
      </c>
      <c r="I128" s="8">
        <v>4</v>
      </c>
      <c r="J128" s="8">
        <v>110544</v>
      </c>
      <c r="K128" s="8">
        <v>1814544</v>
      </c>
    </row>
    <row r="129" spans="1:11">
      <c r="A129" s="7" t="s">
        <v>113</v>
      </c>
      <c r="B129" s="7" t="s">
        <v>114</v>
      </c>
      <c r="C129" s="7" t="s">
        <v>117</v>
      </c>
      <c r="D129" s="7" t="s">
        <v>118</v>
      </c>
      <c r="E129" s="7" t="s">
        <v>65</v>
      </c>
      <c r="F129" s="7" t="s">
        <v>66</v>
      </c>
      <c r="G129" s="7" t="s">
        <v>71</v>
      </c>
      <c r="H129" s="7" t="s">
        <v>72</v>
      </c>
      <c r="I129" s="8">
        <v>7</v>
      </c>
      <c r="J129" s="8">
        <v>215729</v>
      </c>
      <c r="K129" s="8">
        <v>3102729</v>
      </c>
    </row>
    <row r="130" spans="1:11">
      <c r="A130" s="7" t="s">
        <v>113</v>
      </c>
      <c r="B130" s="7" t="s">
        <v>114</v>
      </c>
      <c r="C130" s="7" t="s">
        <v>117</v>
      </c>
      <c r="D130" s="7" t="s">
        <v>118</v>
      </c>
      <c r="E130" s="7" t="s">
        <v>65</v>
      </c>
      <c r="F130" s="7" t="s">
        <v>66</v>
      </c>
      <c r="G130" s="7" t="s">
        <v>73</v>
      </c>
      <c r="H130" s="7" t="s">
        <v>74</v>
      </c>
      <c r="I130" s="8">
        <v>7</v>
      </c>
      <c r="J130" s="8">
        <v>660181</v>
      </c>
      <c r="K130" s="8">
        <v>8248181</v>
      </c>
    </row>
    <row r="131" spans="1:11">
      <c r="A131" s="7" t="s">
        <v>113</v>
      </c>
      <c r="B131" s="7" t="s">
        <v>114</v>
      </c>
      <c r="C131" s="7" t="s">
        <v>117</v>
      </c>
      <c r="D131" s="7" t="s">
        <v>118</v>
      </c>
      <c r="E131" s="7" t="s">
        <v>75</v>
      </c>
      <c r="F131" s="7" t="s">
        <v>76</v>
      </c>
      <c r="G131" s="7" t="s">
        <v>77</v>
      </c>
      <c r="H131" s="7" t="s">
        <v>78</v>
      </c>
      <c r="I131" s="8">
        <v>6</v>
      </c>
      <c r="J131" s="8">
        <v>56165.983308000003</v>
      </c>
      <c r="K131" s="8">
        <v>418181</v>
      </c>
    </row>
    <row r="132" spans="1:11">
      <c r="A132" s="7" t="s">
        <v>113</v>
      </c>
      <c r="B132" s="7" t="s">
        <v>114</v>
      </c>
      <c r="C132" s="7" t="s">
        <v>117</v>
      </c>
      <c r="D132" s="7" t="s">
        <v>118</v>
      </c>
      <c r="E132" s="7" t="s">
        <v>75</v>
      </c>
      <c r="F132" s="7" t="s">
        <v>76</v>
      </c>
      <c r="G132" s="7" t="s">
        <v>79</v>
      </c>
      <c r="H132" s="7" t="s">
        <v>80</v>
      </c>
      <c r="I132" s="8">
        <v>87</v>
      </c>
      <c r="J132" s="8">
        <v>3300835.5081549999</v>
      </c>
      <c r="K132" s="8">
        <v>13192817</v>
      </c>
    </row>
    <row r="133" spans="1:11">
      <c r="A133" s="7" t="s">
        <v>113</v>
      </c>
      <c r="B133" s="7" t="s">
        <v>114</v>
      </c>
      <c r="C133" s="7" t="s">
        <v>117</v>
      </c>
      <c r="D133" s="7" t="s">
        <v>118</v>
      </c>
      <c r="E133" s="7" t="s">
        <v>75</v>
      </c>
      <c r="F133" s="7" t="s">
        <v>76</v>
      </c>
      <c r="G133" s="7" t="s">
        <v>81</v>
      </c>
      <c r="H133" s="7" t="s">
        <v>82</v>
      </c>
      <c r="I133" s="8">
        <v>49</v>
      </c>
      <c r="J133" s="8">
        <v>798637.03858099994</v>
      </c>
      <c r="K133" s="8">
        <v>4853637</v>
      </c>
    </row>
    <row r="134" spans="1:11">
      <c r="A134" s="7" t="s">
        <v>113</v>
      </c>
      <c r="B134" s="7" t="s">
        <v>114</v>
      </c>
      <c r="C134" s="7" t="s">
        <v>117</v>
      </c>
      <c r="D134" s="7" t="s">
        <v>118</v>
      </c>
      <c r="E134" s="7" t="s">
        <v>75</v>
      </c>
      <c r="F134" s="7" t="s">
        <v>76</v>
      </c>
      <c r="G134" s="7" t="s">
        <v>87</v>
      </c>
      <c r="H134" s="7" t="s">
        <v>88</v>
      </c>
      <c r="I134" s="8">
        <v>1</v>
      </c>
      <c r="J134" s="8">
        <v>8455</v>
      </c>
      <c r="K134" s="8">
        <v>35455</v>
      </c>
    </row>
    <row r="135" spans="1:11">
      <c r="A135" s="7" t="s">
        <v>113</v>
      </c>
      <c r="B135" s="7" t="s">
        <v>114</v>
      </c>
      <c r="C135" s="7" t="s">
        <v>117</v>
      </c>
      <c r="D135" s="7" t="s">
        <v>118</v>
      </c>
      <c r="E135" s="7" t="s">
        <v>83</v>
      </c>
      <c r="F135" s="7" t="s">
        <v>84</v>
      </c>
      <c r="G135" s="7" t="s">
        <v>77</v>
      </c>
      <c r="H135" s="7" t="s">
        <v>78</v>
      </c>
      <c r="I135" s="8">
        <v>7</v>
      </c>
      <c r="J135" s="8">
        <v>88554</v>
      </c>
      <c r="K135" s="8">
        <v>232836</v>
      </c>
    </row>
    <row r="136" spans="1:11">
      <c r="A136" s="7" t="s">
        <v>113</v>
      </c>
      <c r="B136" s="7" t="s">
        <v>114</v>
      </c>
      <c r="C136" s="7" t="s">
        <v>117</v>
      </c>
      <c r="D136" s="7" t="s">
        <v>118</v>
      </c>
      <c r="E136" s="7" t="s">
        <v>83</v>
      </c>
      <c r="F136" s="7" t="s">
        <v>84</v>
      </c>
      <c r="G136" s="7" t="s">
        <v>79</v>
      </c>
      <c r="H136" s="7" t="s">
        <v>80</v>
      </c>
      <c r="I136" s="8">
        <v>39</v>
      </c>
      <c r="J136" s="8">
        <v>383556.614413</v>
      </c>
      <c r="K136" s="8">
        <v>810455</v>
      </c>
    </row>
    <row r="137" spans="1:11">
      <c r="A137" s="7" t="s">
        <v>113</v>
      </c>
      <c r="B137" s="7" t="s">
        <v>114</v>
      </c>
      <c r="C137" s="7" t="s">
        <v>117</v>
      </c>
      <c r="D137" s="7" t="s">
        <v>118</v>
      </c>
      <c r="E137" s="7" t="s">
        <v>83</v>
      </c>
      <c r="F137" s="7" t="s">
        <v>84</v>
      </c>
      <c r="G137" s="7" t="s">
        <v>81</v>
      </c>
      <c r="H137" s="7" t="s">
        <v>82</v>
      </c>
      <c r="I137" s="8">
        <v>51</v>
      </c>
      <c r="J137" s="8">
        <v>507645</v>
      </c>
      <c r="K137" s="8">
        <v>1104545</v>
      </c>
    </row>
    <row r="138" spans="1:11">
      <c r="A138" s="7" t="s">
        <v>113</v>
      </c>
      <c r="B138" s="7" t="s">
        <v>114</v>
      </c>
      <c r="C138" s="7" t="s">
        <v>117</v>
      </c>
      <c r="D138" s="7" t="s">
        <v>118</v>
      </c>
      <c r="E138" s="7" t="s">
        <v>83</v>
      </c>
      <c r="F138" s="7" t="s">
        <v>84</v>
      </c>
      <c r="G138" s="7" t="s">
        <v>85</v>
      </c>
      <c r="H138" s="7" t="s">
        <v>86</v>
      </c>
      <c r="I138" s="8">
        <v>43</v>
      </c>
      <c r="J138" s="8">
        <v>207542</v>
      </c>
      <c r="K138" s="8">
        <v>540542</v>
      </c>
    </row>
    <row r="139" spans="1:11">
      <c r="A139" s="7" t="s">
        <v>113</v>
      </c>
      <c r="B139" s="7" t="s">
        <v>114</v>
      </c>
      <c r="C139" s="7" t="s">
        <v>117</v>
      </c>
      <c r="D139" s="7" t="s">
        <v>118</v>
      </c>
      <c r="E139" s="7" t="s">
        <v>83</v>
      </c>
      <c r="F139" s="7" t="s">
        <v>84</v>
      </c>
      <c r="G139" s="7" t="s">
        <v>87</v>
      </c>
      <c r="H139" s="7" t="s">
        <v>88</v>
      </c>
      <c r="I139" s="8">
        <v>3</v>
      </c>
      <c r="J139" s="8">
        <v>16799</v>
      </c>
      <c r="K139" s="8">
        <v>36999</v>
      </c>
    </row>
    <row r="140" spans="1:11">
      <c r="A140" s="7" t="s">
        <v>113</v>
      </c>
      <c r="B140" s="7" t="s">
        <v>114</v>
      </c>
      <c r="C140" s="7" t="s">
        <v>117</v>
      </c>
      <c r="D140" s="7" t="s">
        <v>118</v>
      </c>
      <c r="E140" s="7" t="s">
        <v>89</v>
      </c>
      <c r="F140" s="7" t="s">
        <v>90</v>
      </c>
      <c r="G140" s="7" t="s">
        <v>91</v>
      </c>
      <c r="H140" s="7" t="s">
        <v>90</v>
      </c>
      <c r="I140" s="8">
        <v>34</v>
      </c>
      <c r="J140" s="8">
        <v>0</v>
      </c>
      <c r="K140" s="8">
        <v>0</v>
      </c>
    </row>
    <row r="141" spans="1:11">
      <c r="A141" s="7" t="s">
        <v>113</v>
      </c>
      <c r="B141" s="7" t="s">
        <v>114</v>
      </c>
      <c r="C141" s="7" t="s">
        <v>117</v>
      </c>
      <c r="D141" s="7" t="s">
        <v>118</v>
      </c>
      <c r="E141" s="7" t="s">
        <v>92</v>
      </c>
      <c r="F141" s="7" t="s">
        <v>92</v>
      </c>
      <c r="G141" s="7" t="s">
        <v>92</v>
      </c>
      <c r="H141" s="7" t="s">
        <v>92</v>
      </c>
      <c r="I141" s="8">
        <v>-6520</v>
      </c>
      <c r="J141" s="8">
        <v>-118545</v>
      </c>
      <c r="K141" s="8">
        <v>-118545</v>
      </c>
    </row>
    <row r="142" spans="1:11">
      <c r="A142" s="7" t="s">
        <v>113</v>
      </c>
      <c r="B142" s="7" t="s">
        <v>114</v>
      </c>
      <c r="C142" s="7" t="s">
        <v>119</v>
      </c>
      <c r="D142" s="7" t="s">
        <v>120</v>
      </c>
      <c r="E142" s="7" t="s">
        <v>65</v>
      </c>
      <c r="F142" s="7" t="s">
        <v>66</v>
      </c>
      <c r="G142" s="7" t="s">
        <v>67</v>
      </c>
      <c r="H142" s="7" t="s">
        <v>68</v>
      </c>
      <c r="I142" s="8">
        <v>4</v>
      </c>
      <c r="J142" s="8">
        <v>654545</v>
      </c>
      <c r="K142" s="8">
        <v>6554545</v>
      </c>
    </row>
    <row r="143" spans="1:11">
      <c r="A143" s="7" t="s">
        <v>113</v>
      </c>
      <c r="B143" s="7" t="s">
        <v>114</v>
      </c>
      <c r="C143" s="7" t="s">
        <v>119</v>
      </c>
      <c r="D143" s="7" t="s">
        <v>120</v>
      </c>
      <c r="E143" s="7" t="s">
        <v>65</v>
      </c>
      <c r="F143" s="7" t="s">
        <v>66</v>
      </c>
      <c r="G143" s="7" t="s">
        <v>69</v>
      </c>
      <c r="H143" s="7" t="s">
        <v>36</v>
      </c>
      <c r="I143" s="8">
        <v>4</v>
      </c>
      <c r="J143" s="8">
        <v>371471</v>
      </c>
      <c r="K143" s="8">
        <v>4918181</v>
      </c>
    </row>
    <row r="144" spans="1:11">
      <c r="A144" s="7" t="s">
        <v>113</v>
      </c>
      <c r="B144" s="7" t="s">
        <v>114</v>
      </c>
      <c r="C144" s="7" t="s">
        <v>119</v>
      </c>
      <c r="D144" s="7" t="s">
        <v>120</v>
      </c>
      <c r="E144" s="7" t="s">
        <v>65</v>
      </c>
      <c r="F144" s="7" t="s">
        <v>66</v>
      </c>
      <c r="G144" s="7" t="s">
        <v>70</v>
      </c>
      <c r="H144" s="7" t="s">
        <v>28</v>
      </c>
      <c r="I144" s="8">
        <v>19</v>
      </c>
      <c r="J144" s="8">
        <v>824928.47058800003</v>
      </c>
      <c r="K144" s="8">
        <v>10910002</v>
      </c>
    </row>
    <row r="145" spans="1:11">
      <c r="A145" s="7" t="s">
        <v>113</v>
      </c>
      <c r="B145" s="7" t="s">
        <v>114</v>
      </c>
      <c r="C145" s="7" t="s">
        <v>119</v>
      </c>
      <c r="D145" s="7" t="s">
        <v>120</v>
      </c>
      <c r="E145" s="7" t="s">
        <v>65</v>
      </c>
      <c r="F145" s="7" t="s">
        <v>66</v>
      </c>
      <c r="G145" s="7" t="s">
        <v>97</v>
      </c>
      <c r="H145" s="7" t="s">
        <v>98</v>
      </c>
      <c r="I145" s="8">
        <v>4</v>
      </c>
      <c r="J145" s="8">
        <v>110545</v>
      </c>
      <c r="K145" s="8">
        <v>1814545</v>
      </c>
    </row>
    <row r="146" spans="1:11">
      <c r="A146" s="7" t="s">
        <v>113</v>
      </c>
      <c r="B146" s="7" t="s">
        <v>114</v>
      </c>
      <c r="C146" s="7" t="s">
        <v>119</v>
      </c>
      <c r="D146" s="7" t="s">
        <v>120</v>
      </c>
      <c r="E146" s="7" t="s">
        <v>65</v>
      </c>
      <c r="F146" s="7" t="s">
        <v>66</v>
      </c>
      <c r="G146" s="7" t="s">
        <v>71</v>
      </c>
      <c r="H146" s="7" t="s">
        <v>72</v>
      </c>
      <c r="I146" s="8">
        <v>10</v>
      </c>
      <c r="J146" s="8">
        <v>344729</v>
      </c>
      <c r="K146" s="8">
        <v>4972729</v>
      </c>
    </row>
    <row r="147" spans="1:11">
      <c r="A147" s="7" t="s">
        <v>113</v>
      </c>
      <c r="B147" s="7" t="s">
        <v>114</v>
      </c>
      <c r="C147" s="7" t="s">
        <v>119</v>
      </c>
      <c r="D147" s="7" t="s">
        <v>120</v>
      </c>
      <c r="E147" s="7" t="s">
        <v>75</v>
      </c>
      <c r="F147" s="7" t="s">
        <v>76</v>
      </c>
      <c r="G147" s="7" t="s">
        <v>77</v>
      </c>
      <c r="H147" s="7" t="s">
        <v>78</v>
      </c>
      <c r="I147" s="8">
        <v>8</v>
      </c>
      <c r="J147" s="8">
        <v>62725.995905000003</v>
      </c>
      <c r="K147" s="8">
        <v>472726</v>
      </c>
    </row>
    <row r="148" spans="1:11">
      <c r="A148" s="7" t="s">
        <v>113</v>
      </c>
      <c r="B148" s="7" t="s">
        <v>114</v>
      </c>
      <c r="C148" s="7" t="s">
        <v>119</v>
      </c>
      <c r="D148" s="7" t="s">
        <v>120</v>
      </c>
      <c r="E148" s="7" t="s">
        <v>75</v>
      </c>
      <c r="F148" s="7" t="s">
        <v>76</v>
      </c>
      <c r="G148" s="7" t="s">
        <v>79</v>
      </c>
      <c r="H148" s="7" t="s">
        <v>80</v>
      </c>
      <c r="I148" s="8">
        <v>85</v>
      </c>
      <c r="J148" s="8">
        <v>2633935.8377789999</v>
      </c>
      <c r="K148" s="8">
        <v>10490905</v>
      </c>
    </row>
    <row r="149" spans="1:11">
      <c r="A149" s="7" t="s">
        <v>113</v>
      </c>
      <c r="B149" s="7" t="s">
        <v>114</v>
      </c>
      <c r="C149" s="7" t="s">
        <v>119</v>
      </c>
      <c r="D149" s="7" t="s">
        <v>120</v>
      </c>
      <c r="E149" s="7" t="s">
        <v>75</v>
      </c>
      <c r="F149" s="7" t="s">
        <v>76</v>
      </c>
      <c r="G149" s="7" t="s">
        <v>81</v>
      </c>
      <c r="H149" s="7" t="s">
        <v>82</v>
      </c>
      <c r="I149" s="8">
        <v>33</v>
      </c>
      <c r="J149" s="8">
        <v>411362.07270899997</v>
      </c>
      <c r="K149" s="8">
        <v>2576362</v>
      </c>
    </row>
    <row r="150" spans="1:11">
      <c r="A150" s="7" t="s">
        <v>113</v>
      </c>
      <c r="B150" s="7" t="s">
        <v>114</v>
      </c>
      <c r="C150" s="7" t="s">
        <v>119</v>
      </c>
      <c r="D150" s="7" t="s">
        <v>120</v>
      </c>
      <c r="E150" s="7" t="s">
        <v>75</v>
      </c>
      <c r="F150" s="7" t="s">
        <v>76</v>
      </c>
      <c r="G150" s="7" t="s">
        <v>99</v>
      </c>
      <c r="H150" s="7" t="s">
        <v>100</v>
      </c>
      <c r="I150" s="8">
        <v>3</v>
      </c>
      <c r="J150" s="8">
        <v>34635</v>
      </c>
      <c r="K150" s="8">
        <v>133635</v>
      </c>
    </row>
    <row r="151" spans="1:11">
      <c r="A151" s="7" t="s">
        <v>113</v>
      </c>
      <c r="B151" s="7" t="s">
        <v>114</v>
      </c>
      <c r="C151" s="7" t="s">
        <v>119</v>
      </c>
      <c r="D151" s="7" t="s">
        <v>120</v>
      </c>
      <c r="E151" s="7" t="s">
        <v>75</v>
      </c>
      <c r="F151" s="7" t="s">
        <v>76</v>
      </c>
      <c r="G151" s="7" t="s">
        <v>87</v>
      </c>
      <c r="H151" s="7" t="s">
        <v>88</v>
      </c>
      <c r="I151" s="8">
        <v>1</v>
      </c>
      <c r="J151" s="8">
        <v>20091</v>
      </c>
      <c r="K151" s="8">
        <v>99091</v>
      </c>
    </row>
    <row r="152" spans="1:11">
      <c r="A152" s="7" t="s">
        <v>113</v>
      </c>
      <c r="B152" s="7" t="s">
        <v>114</v>
      </c>
      <c r="C152" s="7" t="s">
        <v>119</v>
      </c>
      <c r="D152" s="7" t="s">
        <v>120</v>
      </c>
      <c r="E152" s="7" t="s">
        <v>83</v>
      </c>
      <c r="F152" s="7" t="s">
        <v>84</v>
      </c>
      <c r="G152" s="7" t="s">
        <v>77</v>
      </c>
      <c r="H152" s="7" t="s">
        <v>78</v>
      </c>
      <c r="I152" s="8">
        <v>10</v>
      </c>
      <c r="J152" s="8">
        <v>64319</v>
      </c>
      <c r="K152" s="8">
        <v>198819</v>
      </c>
    </row>
    <row r="153" spans="1:11">
      <c r="A153" s="7" t="s">
        <v>113</v>
      </c>
      <c r="B153" s="7" t="s">
        <v>114</v>
      </c>
      <c r="C153" s="7" t="s">
        <v>119</v>
      </c>
      <c r="D153" s="7" t="s">
        <v>120</v>
      </c>
      <c r="E153" s="7" t="s">
        <v>83</v>
      </c>
      <c r="F153" s="7" t="s">
        <v>84</v>
      </c>
      <c r="G153" s="7" t="s">
        <v>79</v>
      </c>
      <c r="H153" s="7" t="s">
        <v>80</v>
      </c>
      <c r="I153" s="8">
        <v>24</v>
      </c>
      <c r="J153" s="8">
        <v>259431.42405</v>
      </c>
      <c r="K153" s="8">
        <v>502546</v>
      </c>
    </row>
    <row r="154" spans="1:11">
      <c r="A154" s="7" t="s">
        <v>113</v>
      </c>
      <c r="B154" s="7" t="s">
        <v>114</v>
      </c>
      <c r="C154" s="7" t="s">
        <v>119</v>
      </c>
      <c r="D154" s="7" t="s">
        <v>120</v>
      </c>
      <c r="E154" s="7" t="s">
        <v>83</v>
      </c>
      <c r="F154" s="7" t="s">
        <v>84</v>
      </c>
      <c r="G154" s="7" t="s">
        <v>81</v>
      </c>
      <c r="H154" s="7" t="s">
        <v>82</v>
      </c>
      <c r="I154" s="8">
        <v>74</v>
      </c>
      <c r="J154" s="8">
        <v>732545</v>
      </c>
      <c r="K154" s="8">
        <v>1554545</v>
      </c>
    </row>
    <row r="155" spans="1:11">
      <c r="A155" s="7" t="s">
        <v>113</v>
      </c>
      <c r="B155" s="7" t="s">
        <v>114</v>
      </c>
      <c r="C155" s="7" t="s">
        <v>119</v>
      </c>
      <c r="D155" s="7" t="s">
        <v>120</v>
      </c>
      <c r="E155" s="7" t="s">
        <v>83</v>
      </c>
      <c r="F155" s="7" t="s">
        <v>84</v>
      </c>
      <c r="G155" s="7" t="s">
        <v>85</v>
      </c>
      <c r="H155" s="7" t="s">
        <v>86</v>
      </c>
      <c r="I155" s="8">
        <v>30</v>
      </c>
      <c r="J155" s="8">
        <v>150648</v>
      </c>
      <c r="K155" s="8">
        <v>376448</v>
      </c>
    </row>
    <row r="156" spans="1:11">
      <c r="A156" s="7" t="s">
        <v>113</v>
      </c>
      <c r="B156" s="7" t="s">
        <v>114</v>
      </c>
      <c r="C156" s="7" t="s">
        <v>119</v>
      </c>
      <c r="D156" s="7" t="s">
        <v>120</v>
      </c>
      <c r="E156" s="7" t="s">
        <v>83</v>
      </c>
      <c r="F156" s="7" t="s">
        <v>84</v>
      </c>
      <c r="G156" s="7" t="s">
        <v>107</v>
      </c>
      <c r="H156" s="7" t="s">
        <v>108</v>
      </c>
      <c r="I156" s="8">
        <v>1</v>
      </c>
      <c r="J156" s="8">
        <v>2700</v>
      </c>
      <c r="K156" s="8">
        <v>9000</v>
      </c>
    </row>
    <row r="157" spans="1:11">
      <c r="A157" s="7" t="s">
        <v>113</v>
      </c>
      <c r="B157" s="7" t="s">
        <v>114</v>
      </c>
      <c r="C157" s="7" t="s">
        <v>119</v>
      </c>
      <c r="D157" s="7" t="s">
        <v>120</v>
      </c>
      <c r="E157" s="7" t="s">
        <v>83</v>
      </c>
      <c r="F157" s="7" t="s">
        <v>84</v>
      </c>
      <c r="G157" s="7" t="s">
        <v>87</v>
      </c>
      <c r="H157" s="7" t="s">
        <v>88</v>
      </c>
      <c r="I157" s="8">
        <v>13</v>
      </c>
      <c r="J157" s="8">
        <v>126872</v>
      </c>
      <c r="K157" s="8">
        <v>253272</v>
      </c>
    </row>
    <row r="158" spans="1:11">
      <c r="A158" s="7" t="s">
        <v>113</v>
      </c>
      <c r="B158" s="7" t="s">
        <v>114</v>
      </c>
      <c r="C158" s="7" t="s">
        <v>119</v>
      </c>
      <c r="D158" s="7" t="s">
        <v>120</v>
      </c>
      <c r="E158" s="7" t="s">
        <v>89</v>
      </c>
      <c r="F158" s="7" t="s">
        <v>90</v>
      </c>
      <c r="G158" s="7" t="s">
        <v>91</v>
      </c>
      <c r="H158" s="7" t="s">
        <v>90</v>
      </c>
      <c r="I158" s="8">
        <v>1</v>
      </c>
      <c r="J158" s="8">
        <v>0</v>
      </c>
      <c r="K158" s="8">
        <v>0</v>
      </c>
    </row>
    <row r="159" spans="1:11">
      <c r="A159" s="7" t="s">
        <v>113</v>
      </c>
      <c r="B159" s="7" t="s">
        <v>114</v>
      </c>
      <c r="C159" s="7" t="s">
        <v>119</v>
      </c>
      <c r="D159" s="7" t="s">
        <v>120</v>
      </c>
      <c r="E159" s="7" t="s">
        <v>92</v>
      </c>
      <c r="F159" s="7" t="s">
        <v>92</v>
      </c>
      <c r="G159" s="7" t="s">
        <v>92</v>
      </c>
      <c r="H159" s="7" t="s">
        <v>92</v>
      </c>
      <c r="I159" s="8">
        <v>-250</v>
      </c>
      <c r="J159" s="8">
        <v>-4545</v>
      </c>
      <c r="K159" s="8">
        <v>-4545</v>
      </c>
    </row>
    <row r="160" spans="1:11">
      <c r="A160" s="7" t="s">
        <v>113</v>
      </c>
      <c r="B160" s="7" t="s">
        <v>114</v>
      </c>
      <c r="C160" s="7" t="s">
        <v>121</v>
      </c>
      <c r="D160" s="7" t="s">
        <v>122</v>
      </c>
      <c r="E160" s="7" t="s">
        <v>65</v>
      </c>
      <c r="F160" s="7" t="s">
        <v>66</v>
      </c>
      <c r="G160" s="7" t="s">
        <v>67</v>
      </c>
      <c r="H160" s="7" t="s">
        <v>68</v>
      </c>
      <c r="I160" s="8">
        <v>6</v>
      </c>
      <c r="J160" s="8">
        <v>1644455</v>
      </c>
      <c r="K160" s="8">
        <v>16445455</v>
      </c>
    </row>
    <row r="161" spans="1:11">
      <c r="A161" s="7" t="s">
        <v>113</v>
      </c>
      <c r="B161" s="7" t="s">
        <v>114</v>
      </c>
      <c r="C161" s="7" t="s">
        <v>121</v>
      </c>
      <c r="D161" s="7" t="s">
        <v>122</v>
      </c>
      <c r="E161" s="7" t="s">
        <v>65</v>
      </c>
      <c r="F161" s="7" t="s">
        <v>66</v>
      </c>
      <c r="G161" s="7" t="s">
        <v>69</v>
      </c>
      <c r="H161" s="7" t="s">
        <v>36</v>
      </c>
      <c r="I161" s="8">
        <v>7</v>
      </c>
      <c r="J161" s="8">
        <v>606711</v>
      </c>
      <c r="K161" s="8">
        <v>8027271</v>
      </c>
    </row>
    <row r="162" spans="1:11">
      <c r="A162" s="7" t="s">
        <v>113</v>
      </c>
      <c r="B162" s="7" t="s">
        <v>114</v>
      </c>
      <c r="C162" s="7" t="s">
        <v>121</v>
      </c>
      <c r="D162" s="7" t="s">
        <v>122</v>
      </c>
      <c r="E162" s="7" t="s">
        <v>65</v>
      </c>
      <c r="F162" s="7" t="s">
        <v>66</v>
      </c>
      <c r="G162" s="7" t="s">
        <v>70</v>
      </c>
      <c r="H162" s="7" t="s">
        <v>28</v>
      </c>
      <c r="I162" s="8">
        <v>11</v>
      </c>
      <c r="J162" s="8">
        <v>471000</v>
      </c>
      <c r="K162" s="8">
        <v>5890000</v>
      </c>
    </row>
    <row r="163" spans="1:11">
      <c r="A163" s="7" t="s">
        <v>113</v>
      </c>
      <c r="B163" s="7" t="s">
        <v>114</v>
      </c>
      <c r="C163" s="7" t="s">
        <v>121</v>
      </c>
      <c r="D163" s="7" t="s">
        <v>122</v>
      </c>
      <c r="E163" s="7" t="s">
        <v>65</v>
      </c>
      <c r="F163" s="7" t="s">
        <v>66</v>
      </c>
      <c r="G163" s="7" t="s">
        <v>97</v>
      </c>
      <c r="H163" s="7" t="s">
        <v>98</v>
      </c>
      <c r="I163" s="8">
        <v>3</v>
      </c>
      <c r="J163" s="8">
        <v>82908</v>
      </c>
      <c r="K163" s="8">
        <v>1360908</v>
      </c>
    </row>
    <row r="164" spans="1:11">
      <c r="A164" s="7" t="s">
        <v>113</v>
      </c>
      <c r="B164" s="7" t="s">
        <v>114</v>
      </c>
      <c r="C164" s="7" t="s">
        <v>121</v>
      </c>
      <c r="D164" s="7" t="s">
        <v>122</v>
      </c>
      <c r="E164" s="7" t="s">
        <v>65</v>
      </c>
      <c r="F164" s="7" t="s">
        <v>66</v>
      </c>
      <c r="G164" s="7" t="s">
        <v>71</v>
      </c>
      <c r="H164" s="7" t="s">
        <v>72</v>
      </c>
      <c r="I164" s="8">
        <v>10</v>
      </c>
      <c r="J164" s="8">
        <v>309636</v>
      </c>
      <c r="K164" s="8">
        <v>4463636</v>
      </c>
    </row>
    <row r="165" spans="1:11">
      <c r="A165" s="7" t="s">
        <v>113</v>
      </c>
      <c r="B165" s="7" t="s">
        <v>114</v>
      </c>
      <c r="C165" s="7" t="s">
        <v>121</v>
      </c>
      <c r="D165" s="7" t="s">
        <v>122</v>
      </c>
      <c r="E165" s="7" t="s">
        <v>65</v>
      </c>
      <c r="F165" s="7" t="s">
        <v>66</v>
      </c>
      <c r="G165" s="7" t="s">
        <v>73</v>
      </c>
      <c r="H165" s="7" t="s">
        <v>74</v>
      </c>
      <c r="I165" s="8">
        <v>3</v>
      </c>
      <c r="J165" s="8">
        <v>297363</v>
      </c>
      <c r="K165" s="8">
        <v>3706363</v>
      </c>
    </row>
    <row r="166" spans="1:11">
      <c r="A166" s="7" t="s">
        <v>113</v>
      </c>
      <c r="B166" s="7" t="s">
        <v>114</v>
      </c>
      <c r="C166" s="7" t="s">
        <v>121</v>
      </c>
      <c r="D166" s="7" t="s">
        <v>122</v>
      </c>
      <c r="E166" s="7" t="s">
        <v>75</v>
      </c>
      <c r="F166" s="7" t="s">
        <v>76</v>
      </c>
      <c r="G166" s="7" t="s">
        <v>77</v>
      </c>
      <c r="H166" s="7" t="s">
        <v>78</v>
      </c>
      <c r="I166" s="8">
        <v>12</v>
      </c>
      <c r="J166" s="8">
        <v>134906.98175899999</v>
      </c>
      <c r="K166" s="8">
        <v>1032907</v>
      </c>
    </row>
    <row r="167" spans="1:11">
      <c r="A167" s="7" t="s">
        <v>113</v>
      </c>
      <c r="B167" s="7" t="s">
        <v>114</v>
      </c>
      <c r="C167" s="7" t="s">
        <v>121</v>
      </c>
      <c r="D167" s="7" t="s">
        <v>122</v>
      </c>
      <c r="E167" s="7" t="s">
        <v>75</v>
      </c>
      <c r="F167" s="7" t="s">
        <v>76</v>
      </c>
      <c r="G167" s="7" t="s">
        <v>79</v>
      </c>
      <c r="H167" s="7" t="s">
        <v>80</v>
      </c>
      <c r="I167" s="8">
        <v>99</v>
      </c>
      <c r="J167" s="8">
        <v>3077313.4653320001</v>
      </c>
      <c r="K167" s="8">
        <v>12308263</v>
      </c>
    </row>
    <row r="168" spans="1:11">
      <c r="A168" s="7" t="s">
        <v>113</v>
      </c>
      <c r="B168" s="7" t="s">
        <v>114</v>
      </c>
      <c r="C168" s="7" t="s">
        <v>121</v>
      </c>
      <c r="D168" s="7" t="s">
        <v>122</v>
      </c>
      <c r="E168" s="7" t="s">
        <v>75</v>
      </c>
      <c r="F168" s="7" t="s">
        <v>76</v>
      </c>
      <c r="G168" s="7" t="s">
        <v>81</v>
      </c>
      <c r="H168" s="7" t="s">
        <v>82</v>
      </c>
      <c r="I168" s="8">
        <v>61</v>
      </c>
      <c r="J168" s="8">
        <v>767002.07504999998</v>
      </c>
      <c r="K168" s="8">
        <v>5410002</v>
      </c>
    </row>
    <row r="169" spans="1:11">
      <c r="A169" s="7" t="s">
        <v>113</v>
      </c>
      <c r="B169" s="7" t="s">
        <v>114</v>
      </c>
      <c r="C169" s="7" t="s">
        <v>121</v>
      </c>
      <c r="D169" s="7" t="s">
        <v>122</v>
      </c>
      <c r="E169" s="7" t="s">
        <v>75</v>
      </c>
      <c r="F169" s="7" t="s">
        <v>76</v>
      </c>
      <c r="G169" s="7" t="s">
        <v>87</v>
      </c>
      <c r="H169" s="7" t="s">
        <v>88</v>
      </c>
      <c r="I169" s="8">
        <v>4</v>
      </c>
      <c r="J169" s="8">
        <v>50092</v>
      </c>
      <c r="K169" s="8">
        <v>229092</v>
      </c>
    </row>
    <row r="170" spans="1:11">
      <c r="A170" s="7" t="s">
        <v>113</v>
      </c>
      <c r="B170" s="7" t="s">
        <v>114</v>
      </c>
      <c r="C170" s="7" t="s">
        <v>121</v>
      </c>
      <c r="D170" s="7" t="s">
        <v>122</v>
      </c>
      <c r="E170" s="7" t="s">
        <v>83</v>
      </c>
      <c r="F170" s="7" t="s">
        <v>84</v>
      </c>
      <c r="G170" s="7" t="s">
        <v>77</v>
      </c>
      <c r="H170" s="7" t="s">
        <v>78</v>
      </c>
      <c r="I170" s="8">
        <v>19</v>
      </c>
      <c r="J170" s="8">
        <v>208875</v>
      </c>
      <c r="K170" s="8">
        <v>545566</v>
      </c>
    </row>
    <row r="171" spans="1:11">
      <c r="A171" s="7" t="s">
        <v>113</v>
      </c>
      <c r="B171" s="7" t="s">
        <v>114</v>
      </c>
      <c r="C171" s="7" t="s">
        <v>121</v>
      </c>
      <c r="D171" s="7" t="s">
        <v>122</v>
      </c>
      <c r="E171" s="7" t="s">
        <v>83</v>
      </c>
      <c r="F171" s="7" t="s">
        <v>84</v>
      </c>
      <c r="G171" s="7" t="s">
        <v>79</v>
      </c>
      <c r="H171" s="7" t="s">
        <v>80</v>
      </c>
      <c r="I171" s="8">
        <v>33</v>
      </c>
      <c r="J171" s="8">
        <v>315799.05614</v>
      </c>
      <c r="K171" s="8">
        <v>660103</v>
      </c>
    </row>
    <row r="172" spans="1:11">
      <c r="A172" s="7" t="s">
        <v>113</v>
      </c>
      <c r="B172" s="7" t="s">
        <v>114</v>
      </c>
      <c r="C172" s="7" t="s">
        <v>121</v>
      </c>
      <c r="D172" s="7" t="s">
        <v>122</v>
      </c>
      <c r="E172" s="7" t="s">
        <v>83</v>
      </c>
      <c r="F172" s="7" t="s">
        <v>84</v>
      </c>
      <c r="G172" s="7" t="s">
        <v>81</v>
      </c>
      <c r="H172" s="7" t="s">
        <v>82</v>
      </c>
      <c r="I172" s="8">
        <v>60</v>
      </c>
      <c r="J172" s="8">
        <v>678002</v>
      </c>
      <c r="K172" s="8">
        <v>1448002</v>
      </c>
    </row>
    <row r="173" spans="1:11">
      <c r="A173" s="7" t="s">
        <v>113</v>
      </c>
      <c r="B173" s="7" t="s">
        <v>114</v>
      </c>
      <c r="C173" s="7" t="s">
        <v>121</v>
      </c>
      <c r="D173" s="7" t="s">
        <v>122</v>
      </c>
      <c r="E173" s="7" t="s">
        <v>83</v>
      </c>
      <c r="F173" s="7" t="s">
        <v>84</v>
      </c>
      <c r="G173" s="7" t="s">
        <v>85</v>
      </c>
      <c r="H173" s="7" t="s">
        <v>86</v>
      </c>
      <c r="I173" s="8">
        <v>39</v>
      </c>
      <c r="J173" s="8">
        <v>222051</v>
      </c>
      <c r="K173" s="8">
        <v>564451</v>
      </c>
    </row>
    <row r="174" spans="1:11">
      <c r="A174" s="7" t="s">
        <v>113</v>
      </c>
      <c r="B174" s="7" t="s">
        <v>114</v>
      </c>
      <c r="C174" s="7" t="s">
        <v>121</v>
      </c>
      <c r="D174" s="7" t="s">
        <v>122</v>
      </c>
      <c r="E174" s="7" t="s">
        <v>83</v>
      </c>
      <c r="F174" s="7" t="s">
        <v>84</v>
      </c>
      <c r="G174" s="7" t="s">
        <v>87</v>
      </c>
      <c r="H174" s="7" t="s">
        <v>88</v>
      </c>
      <c r="I174" s="8">
        <v>9</v>
      </c>
      <c r="J174" s="8">
        <v>59576</v>
      </c>
      <c r="K174" s="8">
        <v>143910</v>
      </c>
    </row>
    <row r="175" spans="1:11">
      <c r="A175" s="7" t="s">
        <v>113</v>
      </c>
      <c r="B175" s="7" t="s">
        <v>114</v>
      </c>
      <c r="C175" s="7" t="s">
        <v>121</v>
      </c>
      <c r="D175" s="7" t="s">
        <v>122</v>
      </c>
      <c r="E175" s="7" t="s">
        <v>89</v>
      </c>
      <c r="F175" s="7" t="s">
        <v>90</v>
      </c>
      <c r="G175" s="7" t="s">
        <v>91</v>
      </c>
      <c r="H175" s="7" t="s">
        <v>90</v>
      </c>
      <c r="I175" s="8">
        <v>23</v>
      </c>
      <c r="J175" s="8">
        <v>0</v>
      </c>
      <c r="K175" s="8">
        <v>0</v>
      </c>
    </row>
    <row r="176" spans="1:11">
      <c r="A176" s="7" t="s">
        <v>113</v>
      </c>
      <c r="B176" s="7" t="s">
        <v>114</v>
      </c>
      <c r="C176" s="7" t="s">
        <v>121</v>
      </c>
      <c r="D176" s="7" t="s">
        <v>122</v>
      </c>
      <c r="E176" s="7" t="s">
        <v>92</v>
      </c>
      <c r="F176" s="7" t="s">
        <v>92</v>
      </c>
      <c r="G176" s="7" t="s">
        <v>92</v>
      </c>
      <c r="H176" s="7" t="s">
        <v>92</v>
      </c>
      <c r="I176" s="8">
        <v>-24219</v>
      </c>
      <c r="J176" s="8">
        <v>-440348</v>
      </c>
      <c r="K176" s="8">
        <v>-440348</v>
      </c>
    </row>
    <row r="177" spans="1:11">
      <c r="A177" s="7" t="s">
        <v>113</v>
      </c>
      <c r="B177" s="7" t="s">
        <v>114</v>
      </c>
      <c r="C177" s="7" t="s">
        <v>123</v>
      </c>
      <c r="D177" s="7" t="s">
        <v>124</v>
      </c>
      <c r="E177" s="7" t="s">
        <v>65</v>
      </c>
      <c r="F177" s="7" t="s">
        <v>66</v>
      </c>
      <c r="G177" s="7" t="s">
        <v>95</v>
      </c>
      <c r="H177" s="7" t="s">
        <v>96</v>
      </c>
      <c r="I177" s="8">
        <v>1</v>
      </c>
      <c r="J177" s="8">
        <v>267818</v>
      </c>
      <c r="K177" s="8">
        <v>2681818</v>
      </c>
    </row>
    <row r="178" spans="1:11">
      <c r="A178" s="7" t="s">
        <v>113</v>
      </c>
      <c r="B178" s="7" t="s">
        <v>114</v>
      </c>
      <c r="C178" s="7" t="s">
        <v>123</v>
      </c>
      <c r="D178" s="7" t="s">
        <v>124</v>
      </c>
      <c r="E178" s="7" t="s">
        <v>65</v>
      </c>
      <c r="F178" s="7" t="s">
        <v>66</v>
      </c>
      <c r="G178" s="7" t="s">
        <v>69</v>
      </c>
      <c r="H178" s="7" t="s">
        <v>36</v>
      </c>
      <c r="I178" s="8">
        <v>1</v>
      </c>
      <c r="J178" s="8">
        <v>72817</v>
      </c>
      <c r="K178" s="8">
        <v>963637</v>
      </c>
    </row>
    <row r="179" spans="1:11">
      <c r="A179" s="7" t="s">
        <v>113</v>
      </c>
      <c r="B179" s="7" t="s">
        <v>114</v>
      </c>
      <c r="C179" s="7" t="s">
        <v>123</v>
      </c>
      <c r="D179" s="7" t="s">
        <v>124</v>
      </c>
      <c r="E179" s="7" t="s">
        <v>65</v>
      </c>
      <c r="F179" s="7" t="s">
        <v>66</v>
      </c>
      <c r="G179" s="7" t="s">
        <v>70</v>
      </c>
      <c r="H179" s="7" t="s">
        <v>28</v>
      </c>
      <c r="I179" s="8">
        <v>7</v>
      </c>
      <c r="J179" s="8">
        <v>301197.47058800003</v>
      </c>
      <c r="K179" s="8">
        <v>4057271</v>
      </c>
    </row>
    <row r="180" spans="1:11">
      <c r="A180" s="7" t="s">
        <v>113</v>
      </c>
      <c r="B180" s="7" t="s">
        <v>114</v>
      </c>
      <c r="C180" s="7" t="s">
        <v>123</v>
      </c>
      <c r="D180" s="7" t="s">
        <v>124</v>
      </c>
      <c r="E180" s="7" t="s">
        <v>65</v>
      </c>
      <c r="F180" s="7" t="s">
        <v>66</v>
      </c>
      <c r="G180" s="7" t="s">
        <v>97</v>
      </c>
      <c r="H180" s="7" t="s">
        <v>98</v>
      </c>
      <c r="I180" s="8">
        <v>1</v>
      </c>
      <c r="J180" s="8">
        <v>27636</v>
      </c>
      <c r="K180" s="8">
        <v>453636</v>
      </c>
    </row>
    <row r="181" spans="1:11">
      <c r="A181" s="7" t="s">
        <v>113</v>
      </c>
      <c r="B181" s="7" t="s">
        <v>114</v>
      </c>
      <c r="C181" s="7" t="s">
        <v>123</v>
      </c>
      <c r="D181" s="7" t="s">
        <v>124</v>
      </c>
      <c r="E181" s="7" t="s">
        <v>65</v>
      </c>
      <c r="F181" s="7" t="s">
        <v>66</v>
      </c>
      <c r="G181" s="7" t="s">
        <v>71</v>
      </c>
      <c r="H181" s="7" t="s">
        <v>72</v>
      </c>
      <c r="I181" s="8">
        <v>9</v>
      </c>
      <c r="J181" s="8">
        <v>283728</v>
      </c>
      <c r="K181" s="8">
        <v>4082728</v>
      </c>
    </row>
    <row r="182" spans="1:11">
      <c r="A182" s="7" t="s">
        <v>113</v>
      </c>
      <c r="B182" s="7" t="s">
        <v>114</v>
      </c>
      <c r="C182" s="7" t="s">
        <v>123</v>
      </c>
      <c r="D182" s="7" t="s">
        <v>124</v>
      </c>
      <c r="E182" s="7" t="s">
        <v>75</v>
      </c>
      <c r="F182" s="7" t="s">
        <v>76</v>
      </c>
      <c r="G182" s="7" t="s">
        <v>77</v>
      </c>
      <c r="H182" s="7" t="s">
        <v>78</v>
      </c>
      <c r="I182" s="8">
        <v>5</v>
      </c>
      <c r="J182" s="8">
        <v>46362.985853999999</v>
      </c>
      <c r="K182" s="8">
        <v>346363</v>
      </c>
    </row>
    <row r="183" spans="1:11">
      <c r="A183" s="7" t="s">
        <v>113</v>
      </c>
      <c r="B183" s="7" t="s">
        <v>114</v>
      </c>
      <c r="C183" s="7" t="s">
        <v>123</v>
      </c>
      <c r="D183" s="7" t="s">
        <v>124</v>
      </c>
      <c r="E183" s="7" t="s">
        <v>75</v>
      </c>
      <c r="F183" s="7" t="s">
        <v>76</v>
      </c>
      <c r="G183" s="7" t="s">
        <v>79</v>
      </c>
      <c r="H183" s="7" t="s">
        <v>80</v>
      </c>
      <c r="I183" s="8">
        <v>67</v>
      </c>
      <c r="J183" s="8">
        <v>2298196.5039209998</v>
      </c>
      <c r="K183" s="8">
        <v>9219178</v>
      </c>
    </row>
    <row r="184" spans="1:11">
      <c r="A184" s="7" t="s">
        <v>113</v>
      </c>
      <c r="B184" s="7" t="s">
        <v>114</v>
      </c>
      <c r="C184" s="7" t="s">
        <v>123</v>
      </c>
      <c r="D184" s="7" t="s">
        <v>124</v>
      </c>
      <c r="E184" s="7" t="s">
        <v>75</v>
      </c>
      <c r="F184" s="7" t="s">
        <v>76</v>
      </c>
      <c r="G184" s="7" t="s">
        <v>81</v>
      </c>
      <c r="H184" s="7" t="s">
        <v>82</v>
      </c>
      <c r="I184" s="8">
        <v>16</v>
      </c>
      <c r="J184" s="8">
        <v>191544.034136</v>
      </c>
      <c r="K184" s="8">
        <v>1154544</v>
      </c>
    </row>
    <row r="185" spans="1:11">
      <c r="A185" s="7" t="s">
        <v>113</v>
      </c>
      <c r="B185" s="7" t="s">
        <v>114</v>
      </c>
      <c r="C185" s="7" t="s">
        <v>123</v>
      </c>
      <c r="D185" s="7" t="s">
        <v>124</v>
      </c>
      <c r="E185" s="7" t="s">
        <v>75</v>
      </c>
      <c r="F185" s="7" t="s">
        <v>76</v>
      </c>
      <c r="G185" s="7" t="s">
        <v>87</v>
      </c>
      <c r="H185" s="7" t="s">
        <v>88</v>
      </c>
      <c r="I185" s="8">
        <v>2</v>
      </c>
      <c r="J185" s="8">
        <v>40182</v>
      </c>
      <c r="K185" s="8">
        <v>198182</v>
      </c>
    </row>
    <row r="186" spans="1:11">
      <c r="A186" s="7" t="s">
        <v>113</v>
      </c>
      <c r="B186" s="7" t="s">
        <v>114</v>
      </c>
      <c r="C186" s="7" t="s">
        <v>123</v>
      </c>
      <c r="D186" s="7" t="s">
        <v>124</v>
      </c>
      <c r="E186" s="7" t="s">
        <v>83</v>
      </c>
      <c r="F186" s="7" t="s">
        <v>84</v>
      </c>
      <c r="G186" s="7" t="s">
        <v>77</v>
      </c>
      <c r="H186" s="7" t="s">
        <v>78</v>
      </c>
      <c r="I186" s="8">
        <v>11</v>
      </c>
      <c r="J186" s="8">
        <v>103695.41248899999</v>
      </c>
      <c r="K186" s="8">
        <v>289366</v>
      </c>
    </row>
    <row r="187" spans="1:11">
      <c r="A187" s="7" t="s">
        <v>113</v>
      </c>
      <c r="B187" s="7" t="s">
        <v>114</v>
      </c>
      <c r="C187" s="7" t="s">
        <v>123</v>
      </c>
      <c r="D187" s="7" t="s">
        <v>124</v>
      </c>
      <c r="E187" s="7" t="s">
        <v>83</v>
      </c>
      <c r="F187" s="7" t="s">
        <v>84</v>
      </c>
      <c r="G187" s="7" t="s">
        <v>79</v>
      </c>
      <c r="H187" s="7" t="s">
        <v>80</v>
      </c>
      <c r="I187" s="8">
        <v>22</v>
      </c>
      <c r="J187" s="8">
        <v>256943.58987299999</v>
      </c>
      <c r="K187" s="8">
        <v>530729</v>
      </c>
    </row>
    <row r="188" spans="1:11">
      <c r="A188" s="7" t="s">
        <v>113</v>
      </c>
      <c r="B188" s="7" t="s">
        <v>114</v>
      </c>
      <c r="C188" s="7" t="s">
        <v>123</v>
      </c>
      <c r="D188" s="7" t="s">
        <v>124</v>
      </c>
      <c r="E188" s="7" t="s">
        <v>83</v>
      </c>
      <c r="F188" s="7" t="s">
        <v>84</v>
      </c>
      <c r="G188" s="7" t="s">
        <v>81</v>
      </c>
      <c r="H188" s="7" t="s">
        <v>82</v>
      </c>
      <c r="I188" s="8">
        <v>37</v>
      </c>
      <c r="J188" s="8">
        <v>377173</v>
      </c>
      <c r="K188" s="8">
        <v>788273</v>
      </c>
    </row>
    <row r="189" spans="1:11">
      <c r="A189" s="7" t="s">
        <v>113</v>
      </c>
      <c r="B189" s="7" t="s">
        <v>114</v>
      </c>
      <c r="C189" s="7" t="s">
        <v>123</v>
      </c>
      <c r="D189" s="7" t="s">
        <v>124</v>
      </c>
      <c r="E189" s="7" t="s">
        <v>83</v>
      </c>
      <c r="F189" s="7" t="s">
        <v>84</v>
      </c>
      <c r="G189" s="7" t="s">
        <v>85</v>
      </c>
      <c r="H189" s="7" t="s">
        <v>86</v>
      </c>
      <c r="I189" s="8">
        <v>20</v>
      </c>
      <c r="J189" s="8">
        <v>89216</v>
      </c>
      <c r="K189" s="8">
        <v>223816</v>
      </c>
    </row>
    <row r="190" spans="1:11">
      <c r="A190" s="7" t="s">
        <v>113</v>
      </c>
      <c r="B190" s="7" t="s">
        <v>114</v>
      </c>
      <c r="C190" s="7" t="s">
        <v>123</v>
      </c>
      <c r="D190" s="7" t="s">
        <v>124</v>
      </c>
      <c r="E190" s="7" t="s">
        <v>83</v>
      </c>
      <c r="F190" s="7" t="s">
        <v>84</v>
      </c>
      <c r="G190" s="7" t="s">
        <v>107</v>
      </c>
      <c r="H190" s="7" t="s">
        <v>108</v>
      </c>
      <c r="I190" s="8">
        <v>1</v>
      </c>
      <c r="J190" s="8">
        <v>9036</v>
      </c>
      <c r="K190" s="8">
        <v>22636</v>
      </c>
    </row>
    <row r="191" spans="1:11">
      <c r="A191" s="7" t="s">
        <v>113</v>
      </c>
      <c r="B191" s="7" t="s">
        <v>114</v>
      </c>
      <c r="C191" s="7" t="s">
        <v>123</v>
      </c>
      <c r="D191" s="7" t="s">
        <v>124</v>
      </c>
      <c r="E191" s="7" t="s">
        <v>83</v>
      </c>
      <c r="F191" s="7" t="s">
        <v>84</v>
      </c>
      <c r="G191" s="7" t="s">
        <v>87</v>
      </c>
      <c r="H191" s="7" t="s">
        <v>88</v>
      </c>
      <c r="I191" s="8">
        <v>3</v>
      </c>
      <c r="J191" s="8">
        <v>23795</v>
      </c>
      <c r="K191" s="8">
        <v>52545</v>
      </c>
    </row>
    <row r="192" spans="1:11">
      <c r="A192" s="7" t="s">
        <v>113</v>
      </c>
      <c r="B192" s="7" t="s">
        <v>114</v>
      </c>
      <c r="C192" s="7" t="s">
        <v>123</v>
      </c>
      <c r="D192" s="7" t="s">
        <v>124</v>
      </c>
      <c r="E192" s="7" t="s">
        <v>89</v>
      </c>
      <c r="F192" s="7" t="s">
        <v>90</v>
      </c>
      <c r="G192" s="7" t="s">
        <v>91</v>
      </c>
      <c r="H192" s="7" t="s">
        <v>90</v>
      </c>
      <c r="I192" s="8">
        <v>20</v>
      </c>
      <c r="J192" s="8">
        <v>0</v>
      </c>
      <c r="K192" s="8">
        <v>0</v>
      </c>
    </row>
    <row r="193" spans="1:11">
      <c r="A193" s="7" t="s">
        <v>113</v>
      </c>
      <c r="B193" s="7" t="s">
        <v>114</v>
      </c>
      <c r="C193" s="7" t="s">
        <v>123</v>
      </c>
      <c r="D193" s="7" t="s">
        <v>124</v>
      </c>
      <c r="E193" s="7" t="s">
        <v>92</v>
      </c>
      <c r="F193" s="7" t="s">
        <v>92</v>
      </c>
      <c r="G193" s="7" t="s">
        <v>92</v>
      </c>
      <c r="H193" s="7" t="s">
        <v>92</v>
      </c>
      <c r="I193" s="8">
        <v>-7470</v>
      </c>
      <c r="J193" s="8">
        <v>-135818</v>
      </c>
      <c r="K193" s="8">
        <v>-135818</v>
      </c>
    </row>
    <row r="194" spans="1:11">
      <c r="A194" s="7" t="s">
        <v>127</v>
      </c>
      <c r="B194" s="7" t="s">
        <v>128</v>
      </c>
      <c r="C194" s="7" t="s">
        <v>129</v>
      </c>
      <c r="D194" s="7" t="s">
        <v>130</v>
      </c>
      <c r="E194" s="7" t="s">
        <v>65</v>
      </c>
      <c r="F194" s="7" t="s">
        <v>66</v>
      </c>
      <c r="G194" s="7" t="s">
        <v>67</v>
      </c>
      <c r="H194" s="7" t="s">
        <v>68</v>
      </c>
      <c r="I194" s="8">
        <v>2</v>
      </c>
      <c r="J194" s="8">
        <v>455545</v>
      </c>
      <c r="K194" s="8">
        <v>4554545</v>
      </c>
    </row>
    <row r="195" spans="1:11">
      <c r="A195" s="7" t="s">
        <v>127</v>
      </c>
      <c r="B195" s="7" t="s">
        <v>128</v>
      </c>
      <c r="C195" s="7" t="s">
        <v>129</v>
      </c>
      <c r="D195" s="7" t="s">
        <v>130</v>
      </c>
      <c r="E195" s="7" t="s">
        <v>65</v>
      </c>
      <c r="F195" s="7" t="s">
        <v>66</v>
      </c>
      <c r="G195" s="7" t="s">
        <v>69</v>
      </c>
      <c r="H195" s="7" t="s">
        <v>36</v>
      </c>
      <c r="I195" s="8">
        <v>4</v>
      </c>
      <c r="J195" s="8">
        <v>402772</v>
      </c>
      <c r="K195" s="8">
        <v>5327272</v>
      </c>
    </row>
    <row r="196" spans="1:11">
      <c r="A196" s="7" t="s">
        <v>127</v>
      </c>
      <c r="B196" s="7" t="s">
        <v>128</v>
      </c>
      <c r="C196" s="7" t="s">
        <v>129</v>
      </c>
      <c r="D196" s="7" t="s">
        <v>130</v>
      </c>
      <c r="E196" s="7" t="s">
        <v>65</v>
      </c>
      <c r="F196" s="7" t="s">
        <v>66</v>
      </c>
      <c r="G196" s="7" t="s">
        <v>70</v>
      </c>
      <c r="H196" s="7" t="s">
        <v>28</v>
      </c>
      <c r="I196" s="8">
        <v>15</v>
      </c>
      <c r="J196" s="8">
        <v>669090</v>
      </c>
      <c r="K196" s="8">
        <v>8359090</v>
      </c>
    </row>
    <row r="197" spans="1:11">
      <c r="A197" s="7" t="s">
        <v>127</v>
      </c>
      <c r="B197" s="7" t="s">
        <v>128</v>
      </c>
      <c r="C197" s="7" t="s">
        <v>129</v>
      </c>
      <c r="D197" s="7" t="s">
        <v>130</v>
      </c>
      <c r="E197" s="7" t="s">
        <v>65</v>
      </c>
      <c r="F197" s="7" t="s">
        <v>66</v>
      </c>
      <c r="G197" s="7" t="s">
        <v>71</v>
      </c>
      <c r="H197" s="7" t="s">
        <v>72</v>
      </c>
      <c r="I197" s="8">
        <v>10</v>
      </c>
      <c r="J197" s="8">
        <v>354184</v>
      </c>
      <c r="K197" s="8">
        <v>5118184</v>
      </c>
    </row>
    <row r="198" spans="1:11">
      <c r="A198" s="7" t="s">
        <v>127</v>
      </c>
      <c r="B198" s="7" t="s">
        <v>128</v>
      </c>
      <c r="C198" s="7" t="s">
        <v>129</v>
      </c>
      <c r="D198" s="7" t="s">
        <v>130</v>
      </c>
      <c r="E198" s="7" t="s">
        <v>65</v>
      </c>
      <c r="F198" s="7" t="s">
        <v>66</v>
      </c>
      <c r="G198" s="7" t="s">
        <v>73</v>
      </c>
      <c r="H198" s="7" t="s">
        <v>74</v>
      </c>
      <c r="I198" s="8">
        <v>5</v>
      </c>
      <c r="J198" s="8">
        <v>446181</v>
      </c>
      <c r="K198" s="8">
        <v>5568181</v>
      </c>
    </row>
    <row r="199" spans="1:11">
      <c r="A199" s="7" t="s">
        <v>127</v>
      </c>
      <c r="B199" s="7" t="s">
        <v>128</v>
      </c>
      <c r="C199" s="7" t="s">
        <v>129</v>
      </c>
      <c r="D199" s="7" t="s">
        <v>130</v>
      </c>
      <c r="E199" s="7" t="s">
        <v>75</v>
      </c>
      <c r="F199" s="7" t="s">
        <v>76</v>
      </c>
      <c r="G199" s="7" t="s">
        <v>77</v>
      </c>
      <c r="H199" s="7" t="s">
        <v>78</v>
      </c>
      <c r="I199" s="8">
        <v>6</v>
      </c>
      <c r="J199" s="8">
        <v>56166.004105</v>
      </c>
      <c r="K199" s="8">
        <v>418181</v>
      </c>
    </row>
    <row r="200" spans="1:11">
      <c r="A200" s="7" t="s">
        <v>127</v>
      </c>
      <c r="B200" s="7" t="s">
        <v>128</v>
      </c>
      <c r="C200" s="7" t="s">
        <v>129</v>
      </c>
      <c r="D200" s="7" t="s">
        <v>130</v>
      </c>
      <c r="E200" s="7" t="s">
        <v>75</v>
      </c>
      <c r="F200" s="7" t="s">
        <v>76</v>
      </c>
      <c r="G200" s="7" t="s">
        <v>79</v>
      </c>
      <c r="H200" s="7" t="s">
        <v>80</v>
      </c>
      <c r="I200" s="8">
        <v>60</v>
      </c>
      <c r="J200" s="8">
        <v>2643916.1700360002</v>
      </c>
      <c r="K200" s="8">
        <v>10500910</v>
      </c>
    </row>
    <row r="201" spans="1:11">
      <c r="A201" s="7" t="s">
        <v>127</v>
      </c>
      <c r="B201" s="7" t="s">
        <v>128</v>
      </c>
      <c r="C201" s="7" t="s">
        <v>129</v>
      </c>
      <c r="D201" s="7" t="s">
        <v>130</v>
      </c>
      <c r="E201" s="7" t="s">
        <v>75</v>
      </c>
      <c r="F201" s="7" t="s">
        <v>76</v>
      </c>
      <c r="G201" s="7" t="s">
        <v>81</v>
      </c>
      <c r="H201" s="7" t="s">
        <v>82</v>
      </c>
      <c r="I201" s="8">
        <v>36</v>
      </c>
      <c r="J201" s="8">
        <v>653728.072239</v>
      </c>
      <c r="K201" s="8">
        <v>4222728</v>
      </c>
    </row>
    <row r="202" spans="1:11">
      <c r="A202" s="7" t="s">
        <v>127</v>
      </c>
      <c r="B202" s="7" t="s">
        <v>128</v>
      </c>
      <c r="C202" s="7" t="s">
        <v>129</v>
      </c>
      <c r="D202" s="7" t="s">
        <v>130</v>
      </c>
      <c r="E202" s="7" t="s">
        <v>83</v>
      </c>
      <c r="F202" s="7" t="s">
        <v>84</v>
      </c>
      <c r="G202" s="7" t="s">
        <v>77</v>
      </c>
      <c r="H202" s="7" t="s">
        <v>78</v>
      </c>
      <c r="I202" s="8">
        <v>6</v>
      </c>
      <c r="J202" s="8">
        <v>83187</v>
      </c>
      <c r="K202" s="8">
        <v>181455</v>
      </c>
    </row>
    <row r="203" spans="1:11">
      <c r="A203" s="7" t="s">
        <v>127</v>
      </c>
      <c r="B203" s="7" t="s">
        <v>128</v>
      </c>
      <c r="C203" s="7" t="s">
        <v>129</v>
      </c>
      <c r="D203" s="7" t="s">
        <v>130</v>
      </c>
      <c r="E203" s="7" t="s">
        <v>83</v>
      </c>
      <c r="F203" s="7" t="s">
        <v>84</v>
      </c>
      <c r="G203" s="7" t="s">
        <v>79</v>
      </c>
      <c r="H203" s="7" t="s">
        <v>80</v>
      </c>
      <c r="I203" s="8">
        <v>25</v>
      </c>
      <c r="J203" s="8">
        <v>282140.10000999999</v>
      </c>
      <c r="K203" s="8">
        <v>548089</v>
      </c>
    </row>
    <row r="204" spans="1:11">
      <c r="A204" s="7" t="s">
        <v>127</v>
      </c>
      <c r="B204" s="7" t="s">
        <v>128</v>
      </c>
      <c r="C204" s="7" t="s">
        <v>129</v>
      </c>
      <c r="D204" s="7" t="s">
        <v>130</v>
      </c>
      <c r="E204" s="7" t="s">
        <v>83</v>
      </c>
      <c r="F204" s="7" t="s">
        <v>84</v>
      </c>
      <c r="G204" s="7" t="s">
        <v>81</v>
      </c>
      <c r="H204" s="7" t="s">
        <v>82</v>
      </c>
      <c r="I204" s="8">
        <v>15</v>
      </c>
      <c r="J204" s="8">
        <v>214039</v>
      </c>
      <c r="K204" s="8">
        <v>381639</v>
      </c>
    </row>
    <row r="205" spans="1:11">
      <c r="A205" s="7" t="s">
        <v>127</v>
      </c>
      <c r="B205" s="7" t="s">
        <v>128</v>
      </c>
      <c r="C205" s="7" t="s">
        <v>129</v>
      </c>
      <c r="D205" s="7" t="s">
        <v>130</v>
      </c>
      <c r="E205" s="7" t="s">
        <v>83</v>
      </c>
      <c r="F205" s="7" t="s">
        <v>84</v>
      </c>
      <c r="G205" s="7" t="s">
        <v>85</v>
      </c>
      <c r="H205" s="7" t="s">
        <v>86</v>
      </c>
      <c r="I205" s="8">
        <v>15</v>
      </c>
      <c r="J205" s="8">
        <v>72652</v>
      </c>
      <c r="K205" s="8">
        <v>180452</v>
      </c>
    </row>
    <row r="206" spans="1:11">
      <c r="A206" s="7" t="s">
        <v>127</v>
      </c>
      <c r="B206" s="7" t="s">
        <v>128</v>
      </c>
      <c r="C206" s="7" t="s">
        <v>129</v>
      </c>
      <c r="D206" s="7" t="s">
        <v>130</v>
      </c>
      <c r="E206" s="7" t="s">
        <v>83</v>
      </c>
      <c r="F206" s="7" t="s">
        <v>84</v>
      </c>
      <c r="G206" s="7" t="s">
        <v>87</v>
      </c>
      <c r="H206" s="7" t="s">
        <v>88</v>
      </c>
      <c r="I206" s="8">
        <v>2</v>
      </c>
      <c r="J206" s="8">
        <v>10654</v>
      </c>
      <c r="K206" s="8">
        <v>23454</v>
      </c>
    </row>
    <row r="207" spans="1:11">
      <c r="A207" s="7" t="s">
        <v>127</v>
      </c>
      <c r="B207" s="7" t="s">
        <v>128</v>
      </c>
      <c r="C207" s="7" t="s">
        <v>129</v>
      </c>
      <c r="D207" s="7" t="s">
        <v>130</v>
      </c>
      <c r="E207" s="7" t="s">
        <v>89</v>
      </c>
      <c r="F207" s="7" t="s">
        <v>90</v>
      </c>
      <c r="G207" s="7" t="s">
        <v>91</v>
      </c>
      <c r="H207" s="7" t="s">
        <v>90</v>
      </c>
      <c r="I207" s="8">
        <v>4</v>
      </c>
      <c r="J207" s="8">
        <v>0</v>
      </c>
      <c r="K207" s="8">
        <v>0</v>
      </c>
    </row>
    <row r="208" spans="1:11">
      <c r="A208" s="7" t="s">
        <v>127</v>
      </c>
      <c r="B208" s="7" t="s">
        <v>128</v>
      </c>
      <c r="C208" s="7" t="s">
        <v>131</v>
      </c>
      <c r="D208" s="7" t="s">
        <v>132</v>
      </c>
      <c r="E208" s="7" t="s">
        <v>65</v>
      </c>
      <c r="F208" s="7" t="s">
        <v>66</v>
      </c>
      <c r="G208" s="7" t="s">
        <v>67</v>
      </c>
      <c r="H208" s="7" t="s">
        <v>68</v>
      </c>
      <c r="I208" s="8">
        <v>7</v>
      </c>
      <c r="J208" s="8">
        <v>1623909</v>
      </c>
      <c r="K208" s="8">
        <v>16240909</v>
      </c>
    </row>
    <row r="209" spans="1:11">
      <c r="A209" s="7" t="s">
        <v>127</v>
      </c>
      <c r="B209" s="7" t="s">
        <v>128</v>
      </c>
      <c r="C209" s="7" t="s">
        <v>131</v>
      </c>
      <c r="D209" s="7" t="s">
        <v>132</v>
      </c>
      <c r="E209" s="7" t="s">
        <v>65</v>
      </c>
      <c r="F209" s="7" t="s">
        <v>66</v>
      </c>
      <c r="G209" s="7" t="s">
        <v>69</v>
      </c>
      <c r="H209" s="7" t="s">
        <v>36</v>
      </c>
      <c r="I209" s="8">
        <v>4</v>
      </c>
      <c r="J209" s="8">
        <v>326913</v>
      </c>
      <c r="K209" s="8">
        <v>4327273</v>
      </c>
    </row>
    <row r="210" spans="1:11">
      <c r="A210" s="7" t="s">
        <v>127</v>
      </c>
      <c r="B210" s="7" t="s">
        <v>128</v>
      </c>
      <c r="C210" s="7" t="s">
        <v>131</v>
      </c>
      <c r="D210" s="7" t="s">
        <v>132</v>
      </c>
      <c r="E210" s="7" t="s">
        <v>65</v>
      </c>
      <c r="F210" s="7" t="s">
        <v>66</v>
      </c>
      <c r="G210" s="7" t="s">
        <v>70</v>
      </c>
      <c r="H210" s="7" t="s">
        <v>28</v>
      </c>
      <c r="I210" s="8">
        <v>6</v>
      </c>
      <c r="J210" s="8">
        <v>292000</v>
      </c>
      <c r="K210" s="8">
        <v>3940000</v>
      </c>
    </row>
    <row r="211" spans="1:11">
      <c r="A211" s="7" t="s">
        <v>127</v>
      </c>
      <c r="B211" s="7" t="s">
        <v>128</v>
      </c>
      <c r="C211" s="7" t="s">
        <v>131</v>
      </c>
      <c r="D211" s="7" t="s">
        <v>132</v>
      </c>
      <c r="E211" s="7" t="s">
        <v>65</v>
      </c>
      <c r="F211" s="7" t="s">
        <v>66</v>
      </c>
      <c r="G211" s="7" t="s">
        <v>97</v>
      </c>
      <c r="H211" s="7" t="s">
        <v>98</v>
      </c>
      <c r="I211" s="8">
        <v>2</v>
      </c>
      <c r="J211" s="8">
        <v>55272</v>
      </c>
      <c r="K211" s="8">
        <v>907272</v>
      </c>
    </row>
    <row r="212" spans="1:11">
      <c r="A212" s="7" t="s">
        <v>127</v>
      </c>
      <c r="B212" s="7" t="s">
        <v>128</v>
      </c>
      <c r="C212" s="7" t="s">
        <v>131</v>
      </c>
      <c r="D212" s="7" t="s">
        <v>132</v>
      </c>
      <c r="E212" s="7" t="s">
        <v>65</v>
      </c>
      <c r="F212" s="7" t="s">
        <v>66</v>
      </c>
      <c r="G212" s="7" t="s">
        <v>71</v>
      </c>
      <c r="H212" s="7" t="s">
        <v>72</v>
      </c>
      <c r="I212" s="8">
        <v>2</v>
      </c>
      <c r="J212" s="8">
        <v>68000</v>
      </c>
      <c r="K212" s="8">
        <v>980000</v>
      </c>
    </row>
    <row r="213" spans="1:11">
      <c r="A213" s="7" t="s">
        <v>127</v>
      </c>
      <c r="B213" s="7" t="s">
        <v>128</v>
      </c>
      <c r="C213" s="7" t="s">
        <v>131</v>
      </c>
      <c r="D213" s="7" t="s">
        <v>132</v>
      </c>
      <c r="E213" s="7" t="s">
        <v>65</v>
      </c>
      <c r="F213" s="7" t="s">
        <v>66</v>
      </c>
      <c r="G213" s="7" t="s">
        <v>73</v>
      </c>
      <c r="H213" s="7" t="s">
        <v>74</v>
      </c>
      <c r="I213" s="8">
        <v>4</v>
      </c>
      <c r="J213" s="8">
        <v>376454</v>
      </c>
      <c r="K213" s="8">
        <v>4705454</v>
      </c>
    </row>
    <row r="214" spans="1:11">
      <c r="A214" s="7" t="s">
        <v>127</v>
      </c>
      <c r="B214" s="7" t="s">
        <v>128</v>
      </c>
      <c r="C214" s="7" t="s">
        <v>131</v>
      </c>
      <c r="D214" s="7" t="s">
        <v>132</v>
      </c>
      <c r="E214" s="7" t="s">
        <v>75</v>
      </c>
      <c r="F214" s="7" t="s">
        <v>76</v>
      </c>
      <c r="G214" s="7" t="s">
        <v>77</v>
      </c>
      <c r="H214" s="7" t="s">
        <v>78</v>
      </c>
      <c r="I214" s="8">
        <v>9</v>
      </c>
      <c r="J214" s="8">
        <v>88907.957983999993</v>
      </c>
      <c r="K214" s="8">
        <v>660908</v>
      </c>
    </row>
    <row r="215" spans="1:11">
      <c r="A215" s="7" t="s">
        <v>127</v>
      </c>
      <c r="B215" s="7" t="s">
        <v>128</v>
      </c>
      <c r="C215" s="7" t="s">
        <v>131</v>
      </c>
      <c r="D215" s="7" t="s">
        <v>132</v>
      </c>
      <c r="E215" s="7" t="s">
        <v>75</v>
      </c>
      <c r="F215" s="7" t="s">
        <v>76</v>
      </c>
      <c r="G215" s="7" t="s">
        <v>79</v>
      </c>
      <c r="H215" s="7" t="s">
        <v>80</v>
      </c>
      <c r="I215" s="8">
        <v>52</v>
      </c>
      <c r="J215" s="8">
        <v>1871817.0846609999</v>
      </c>
      <c r="K215" s="8">
        <v>7441814</v>
      </c>
    </row>
    <row r="216" spans="1:11">
      <c r="A216" s="7" t="s">
        <v>127</v>
      </c>
      <c r="B216" s="7" t="s">
        <v>128</v>
      </c>
      <c r="C216" s="7" t="s">
        <v>131</v>
      </c>
      <c r="D216" s="7" t="s">
        <v>132</v>
      </c>
      <c r="E216" s="7" t="s">
        <v>75</v>
      </c>
      <c r="F216" s="7" t="s">
        <v>76</v>
      </c>
      <c r="G216" s="7" t="s">
        <v>81</v>
      </c>
      <c r="H216" s="7" t="s">
        <v>82</v>
      </c>
      <c r="I216" s="8">
        <v>21</v>
      </c>
      <c r="J216" s="8">
        <v>346458.03757400002</v>
      </c>
      <c r="K216" s="8">
        <v>1935458</v>
      </c>
    </row>
    <row r="217" spans="1:11">
      <c r="A217" s="7" t="s">
        <v>127</v>
      </c>
      <c r="B217" s="7" t="s">
        <v>128</v>
      </c>
      <c r="C217" s="7" t="s">
        <v>131</v>
      </c>
      <c r="D217" s="7" t="s">
        <v>132</v>
      </c>
      <c r="E217" s="7" t="s">
        <v>75</v>
      </c>
      <c r="F217" s="7" t="s">
        <v>76</v>
      </c>
      <c r="G217" s="7" t="s">
        <v>87</v>
      </c>
      <c r="H217" s="7" t="s">
        <v>88</v>
      </c>
      <c r="I217" s="8">
        <v>3</v>
      </c>
      <c r="J217" s="8">
        <v>37001</v>
      </c>
      <c r="K217" s="8">
        <v>170001</v>
      </c>
    </row>
    <row r="218" spans="1:11">
      <c r="A218" s="7" t="s">
        <v>127</v>
      </c>
      <c r="B218" s="7" t="s">
        <v>128</v>
      </c>
      <c r="C218" s="7" t="s">
        <v>131</v>
      </c>
      <c r="D218" s="7" t="s">
        <v>132</v>
      </c>
      <c r="E218" s="7" t="s">
        <v>83</v>
      </c>
      <c r="F218" s="7" t="s">
        <v>84</v>
      </c>
      <c r="G218" s="7" t="s">
        <v>77</v>
      </c>
      <c r="H218" s="7" t="s">
        <v>78</v>
      </c>
      <c r="I218" s="8">
        <v>4</v>
      </c>
      <c r="J218" s="8">
        <v>57356</v>
      </c>
      <c r="K218" s="8">
        <v>129456</v>
      </c>
    </row>
    <row r="219" spans="1:11">
      <c r="A219" s="7" t="s">
        <v>127</v>
      </c>
      <c r="B219" s="7" t="s">
        <v>128</v>
      </c>
      <c r="C219" s="7" t="s">
        <v>131</v>
      </c>
      <c r="D219" s="7" t="s">
        <v>132</v>
      </c>
      <c r="E219" s="7" t="s">
        <v>83</v>
      </c>
      <c r="F219" s="7" t="s">
        <v>84</v>
      </c>
      <c r="G219" s="7" t="s">
        <v>79</v>
      </c>
      <c r="H219" s="7" t="s">
        <v>80</v>
      </c>
      <c r="I219" s="8">
        <v>16</v>
      </c>
      <c r="J219" s="8">
        <v>205424.90456</v>
      </c>
      <c r="K219" s="8">
        <v>320545</v>
      </c>
    </row>
    <row r="220" spans="1:11">
      <c r="A220" s="7" t="s">
        <v>127</v>
      </c>
      <c r="B220" s="7" t="s">
        <v>128</v>
      </c>
      <c r="C220" s="7" t="s">
        <v>131</v>
      </c>
      <c r="D220" s="7" t="s">
        <v>132</v>
      </c>
      <c r="E220" s="7" t="s">
        <v>83</v>
      </c>
      <c r="F220" s="7" t="s">
        <v>84</v>
      </c>
      <c r="G220" s="7" t="s">
        <v>81</v>
      </c>
      <c r="H220" s="7" t="s">
        <v>82</v>
      </c>
      <c r="I220" s="8">
        <v>13</v>
      </c>
      <c r="J220" s="8">
        <v>141218</v>
      </c>
      <c r="K220" s="8">
        <v>296818</v>
      </c>
    </row>
    <row r="221" spans="1:11">
      <c r="A221" s="7" t="s">
        <v>127</v>
      </c>
      <c r="B221" s="7" t="s">
        <v>128</v>
      </c>
      <c r="C221" s="7" t="s">
        <v>131</v>
      </c>
      <c r="D221" s="7" t="s">
        <v>132</v>
      </c>
      <c r="E221" s="7" t="s">
        <v>83</v>
      </c>
      <c r="F221" s="7" t="s">
        <v>84</v>
      </c>
      <c r="G221" s="7" t="s">
        <v>85</v>
      </c>
      <c r="H221" s="7" t="s">
        <v>86</v>
      </c>
      <c r="I221" s="8">
        <v>19</v>
      </c>
      <c r="J221" s="8">
        <v>156771</v>
      </c>
      <c r="K221" s="8">
        <v>669271</v>
      </c>
    </row>
    <row r="222" spans="1:11">
      <c r="A222" s="7" t="s">
        <v>127</v>
      </c>
      <c r="B222" s="7" t="s">
        <v>128</v>
      </c>
      <c r="C222" s="7" t="s">
        <v>131</v>
      </c>
      <c r="D222" s="7" t="s">
        <v>132</v>
      </c>
      <c r="E222" s="7" t="s">
        <v>83</v>
      </c>
      <c r="F222" s="7" t="s">
        <v>84</v>
      </c>
      <c r="G222" s="7" t="s">
        <v>87</v>
      </c>
      <c r="H222" s="7" t="s">
        <v>88</v>
      </c>
      <c r="I222" s="8">
        <v>5</v>
      </c>
      <c r="J222" s="8">
        <v>51582</v>
      </c>
      <c r="K222" s="8">
        <v>117182</v>
      </c>
    </row>
    <row r="223" spans="1:11">
      <c r="A223" s="7" t="s">
        <v>127</v>
      </c>
      <c r="B223" s="7" t="s">
        <v>128</v>
      </c>
      <c r="C223" s="7" t="s">
        <v>131</v>
      </c>
      <c r="D223" s="7" t="s">
        <v>132</v>
      </c>
      <c r="E223" s="7" t="s">
        <v>89</v>
      </c>
      <c r="F223" s="7" t="s">
        <v>90</v>
      </c>
      <c r="G223" s="7" t="s">
        <v>91</v>
      </c>
      <c r="H223" s="7" t="s">
        <v>90</v>
      </c>
      <c r="I223" s="8">
        <v>16</v>
      </c>
      <c r="J223" s="8">
        <v>0</v>
      </c>
      <c r="K223" s="8">
        <v>0</v>
      </c>
    </row>
    <row r="224" spans="1:11">
      <c r="A224" s="7" t="s">
        <v>127</v>
      </c>
      <c r="B224" s="7" t="s">
        <v>128</v>
      </c>
      <c r="C224" s="7" t="s">
        <v>131</v>
      </c>
      <c r="D224" s="7" t="s">
        <v>132</v>
      </c>
      <c r="E224" s="7" t="s">
        <v>92</v>
      </c>
      <c r="F224" s="7" t="s">
        <v>92</v>
      </c>
      <c r="G224" s="7" t="s">
        <v>92</v>
      </c>
      <c r="H224" s="7" t="s">
        <v>92</v>
      </c>
      <c r="I224" s="8">
        <v>-28771</v>
      </c>
      <c r="J224" s="8">
        <v>-523110</v>
      </c>
      <c r="K224" s="8">
        <v>-523110</v>
      </c>
    </row>
    <row r="225" spans="1:11">
      <c r="A225" s="7" t="s">
        <v>127</v>
      </c>
      <c r="B225" s="7" t="s">
        <v>128</v>
      </c>
      <c r="C225" s="7" t="s">
        <v>133</v>
      </c>
      <c r="D225" s="7" t="s">
        <v>134</v>
      </c>
      <c r="E225" s="7" t="s">
        <v>65</v>
      </c>
      <c r="F225" s="7" t="s">
        <v>66</v>
      </c>
      <c r="G225" s="7" t="s">
        <v>67</v>
      </c>
      <c r="H225" s="7" t="s">
        <v>68</v>
      </c>
      <c r="I225" s="8">
        <v>3</v>
      </c>
      <c r="J225" s="8">
        <v>797727</v>
      </c>
      <c r="K225" s="8">
        <v>7972727</v>
      </c>
    </row>
    <row r="226" spans="1:11">
      <c r="A226" s="7" t="s">
        <v>127</v>
      </c>
      <c r="B226" s="7" t="s">
        <v>128</v>
      </c>
      <c r="C226" s="7" t="s">
        <v>133</v>
      </c>
      <c r="D226" s="7" t="s">
        <v>134</v>
      </c>
      <c r="E226" s="7" t="s">
        <v>65</v>
      </c>
      <c r="F226" s="7" t="s">
        <v>66</v>
      </c>
      <c r="G226" s="7" t="s">
        <v>69</v>
      </c>
      <c r="H226" s="7" t="s">
        <v>36</v>
      </c>
      <c r="I226" s="8">
        <v>5</v>
      </c>
      <c r="J226" s="8">
        <v>438419</v>
      </c>
      <c r="K226" s="8">
        <v>5799999</v>
      </c>
    </row>
    <row r="227" spans="1:11">
      <c r="A227" s="7" t="s">
        <v>127</v>
      </c>
      <c r="B227" s="7" t="s">
        <v>128</v>
      </c>
      <c r="C227" s="7" t="s">
        <v>133</v>
      </c>
      <c r="D227" s="7" t="s">
        <v>134</v>
      </c>
      <c r="E227" s="7" t="s">
        <v>65</v>
      </c>
      <c r="F227" s="7" t="s">
        <v>66</v>
      </c>
      <c r="G227" s="7" t="s">
        <v>70</v>
      </c>
      <c r="H227" s="7" t="s">
        <v>28</v>
      </c>
      <c r="I227" s="8">
        <v>11</v>
      </c>
      <c r="J227" s="8">
        <v>530943.94117600005</v>
      </c>
      <c r="K227" s="8">
        <v>6599091</v>
      </c>
    </row>
    <row r="228" spans="1:11">
      <c r="A228" s="7" t="s">
        <v>127</v>
      </c>
      <c r="B228" s="7" t="s">
        <v>128</v>
      </c>
      <c r="C228" s="7" t="s">
        <v>133</v>
      </c>
      <c r="D228" s="7" t="s">
        <v>134</v>
      </c>
      <c r="E228" s="7" t="s">
        <v>65</v>
      </c>
      <c r="F228" s="7" t="s">
        <v>66</v>
      </c>
      <c r="G228" s="7" t="s">
        <v>97</v>
      </c>
      <c r="H228" s="7" t="s">
        <v>98</v>
      </c>
      <c r="I228" s="8">
        <v>2</v>
      </c>
      <c r="J228" s="8">
        <v>55272</v>
      </c>
      <c r="K228" s="8">
        <v>907272</v>
      </c>
    </row>
    <row r="229" spans="1:11">
      <c r="A229" s="7" t="s">
        <v>127</v>
      </c>
      <c r="B229" s="7" t="s">
        <v>128</v>
      </c>
      <c r="C229" s="7" t="s">
        <v>133</v>
      </c>
      <c r="D229" s="7" t="s">
        <v>134</v>
      </c>
      <c r="E229" s="7" t="s">
        <v>65</v>
      </c>
      <c r="F229" s="7" t="s">
        <v>66</v>
      </c>
      <c r="G229" s="7" t="s">
        <v>71</v>
      </c>
      <c r="H229" s="7" t="s">
        <v>72</v>
      </c>
      <c r="I229" s="8">
        <v>7</v>
      </c>
      <c r="J229" s="8">
        <v>227548</v>
      </c>
      <c r="K229" s="8">
        <v>3284548</v>
      </c>
    </row>
    <row r="230" spans="1:11">
      <c r="A230" s="7" t="s">
        <v>127</v>
      </c>
      <c r="B230" s="7" t="s">
        <v>128</v>
      </c>
      <c r="C230" s="7" t="s">
        <v>133</v>
      </c>
      <c r="D230" s="7" t="s">
        <v>134</v>
      </c>
      <c r="E230" s="7" t="s">
        <v>65</v>
      </c>
      <c r="F230" s="7" t="s">
        <v>66</v>
      </c>
      <c r="G230" s="7" t="s">
        <v>73</v>
      </c>
      <c r="H230" s="7" t="s">
        <v>74</v>
      </c>
      <c r="I230" s="8">
        <v>1</v>
      </c>
      <c r="J230" s="8">
        <v>94909</v>
      </c>
      <c r="K230" s="8">
        <v>1180909</v>
      </c>
    </row>
    <row r="231" spans="1:11">
      <c r="A231" s="7" t="s">
        <v>127</v>
      </c>
      <c r="B231" s="7" t="s">
        <v>128</v>
      </c>
      <c r="C231" s="7" t="s">
        <v>133</v>
      </c>
      <c r="D231" s="7" t="s">
        <v>134</v>
      </c>
      <c r="E231" s="7" t="s">
        <v>75</v>
      </c>
      <c r="F231" s="7" t="s">
        <v>76</v>
      </c>
      <c r="G231" s="7" t="s">
        <v>77</v>
      </c>
      <c r="H231" s="7" t="s">
        <v>78</v>
      </c>
      <c r="I231" s="8">
        <v>4</v>
      </c>
      <c r="J231" s="8">
        <v>27271.99727</v>
      </c>
      <c r="K231" s="8">
        <v>207272</v>
      </c>
    </row>
    <row r="232" spans="1:11">
      <c r="A232" s="7" t="s">
        <v>127</v>
      </c>
      <c r="B232" s="7" t="s">
        <v>128</v>
      </c>
      <c r="C232" s="7" t="s">
        <v>133</v>
      </c>
      <c r="D232" s="7" t="s">
        <v>134</v>
      </c>
      <c r="E232" s="7" t="s">
        <v>75</v>
      </c>
      <c r="F232" s="7" t="s">
        <v>76</v>
      </c>
      <c r="G232" s="7" t="s">
        <v>79</v>
      </c>
      <c r="H232" s="7" t="s">
        <v>80</v>
      </c>
      <c r="I232" s="8">
        <v>64</v>
      </c>
      <c r="J232" s="8">
        <v>3503921.3347990001</v>
      </c>
      <c r="K232" s="8">
        <v>13970909</v>
      </c>
    </row>
    <row r="233" spans="1:11">
      <c r="A233" s="7" t="s">
        <v>127</v>
      </c>
      <c r="B233" s="7" t="s">
        <v>128</v>
      </c>
      <c r="C233" s="7" t="s">
        <v>133</v>
      </c>
      <c r="D233" s="7" t="s">
        <v>134</v>
      </c>
      <c r="E233" s="7" t="s">
        <v>75</v>
      </c>
      <c r="F233" s="7" t="s">
        <v>76</v>
      </c>
      <c r="G233" s="7" t="s">
        <v>81</v>
      </c>
      <c r="H233" s="7" t="s">
        <v>82</v>
      </c>
      <c r="I233" s="8">
        <v>31</v>
      </c>
      <c r="J233" s="8">
        <v>413637.07270600001</v>
      </c>
      <c r="K233" s="8">
        <v>2853637</v>
      </c>
    </row>
    <row r="234" spans="1:11">
      <c r="A234" s="7" t="s">
        <v>127</v>
      </c>
      <c r="B234" s="7" t="s">
        <v>128</v>
      </c>
      <c r="C234" s="7" t="s">
        <v>133</v>
      </c>
      <c r="D234" s="7" t="s">
        <v>134</v>
      </c>
      <c r="E234" s="7" t="s">
        <v>83</v>
      </c>
      <c r="F234" s="7" t="s">
        <v>84</v>
      </c>
      <c r="G234" s="7" t="s">
        <v>79</v>
      </c>
      <c r="H234" s="7" t="s">
        <v>80</v>
      </c>
      <c r="I234" s="8">
        <v>25</v>
      </c>
      <c r="J234" s="8">
        <v>312786.30804999999</v>
      </c>
      <c r="K234" s="8">
        <v>607726</v>
      </c>
    </row>
    <row r="235" spans="1:11">
      <c r="A235" s="7" t="s">
        <v>127</v>
      </c>
      <c r="B235" s="7" t="s">
        <v>128</v>
      </c>
      <c r="C235" s="7" t="s">
        <v>133</v>
      </c>
      <c r="D235" s="7" t="s">
        <v>134</v>
      </c>
      <c r="E235" s="7" t="s">
        <v>83</v>
      </c>
      <c r="F235" s="7" t="s">
        <v>84</v>
      </c>
      <c r="G235" s="7" t="s">
        <v>81</v>
      </c>
      <c r="H235" s="7" t="s">
        <v>82</v>
      </c>
      <c r="I235" s="8">
        <v>23</v>
      </c>
      <c r="J235" s="8">
        <v>286847</v>
      </c>
      <c r="K235" s="8">
        <v>606547</v>
      </c>
    </row>
    <row r="236" spans="1:11">
      <c r="A236" s="7" t="s">
        <v>127</v>
      </c>
      <c r="B236" s="7" t="s">
        <v>128</v>
      </c>
      <c r="C236" s="7" t="s">
        <v>133</v>
      </c>
      <c r="D236" s="7" t="s">
        <v>134</v>
      </c>
      <c r="E236" s="7" t="s">
        <v>83</v>
      </c>
      <c r="F236" s="7" t="s">
        <v>84</v>
      </c>
      <c r="G236" s="7" t="s">
        <v>85</v>
      </c>
      <c r="H236" s="7" t="s">
        <v>86</v>
      </c>
      <c r="I236" s="8">
        <v>12</v>
      </c>
      <c r="J236" s="8">
        <v>58291</v>
      </c>
      <c r="K236" s="8">
        <v>147091</v>
      </c>
    </row>
    <row r="237" spans="1:11">
      <c r="A237" s="7" t="s">
        <v>127</v>
      </c>
      <c r="B237" s="7" t="s">
        <v>128</v>
      </c>
      <c r="C237" s="7" t="s">
        <v>133</v>
      </c>
      <c r="D237" s="7" t="s">
        <v>134</v>
      </c>
      <c r="E237" s="7" t="s">
        <v>83</v>
      </c>
      <c r="F237" s="7" t="s">
        <v>84</v>
      </c>
      <c r="G237" s="7" t="s">
        <v>87</v>
      </c>
      <c r="H237" s="7" t="s">
        <v>88</v>
      </c>
      <c r="I237" s="8">
        <v>5</v>
      </c>
      <c r="J237" s="8">
        <v>32299</v>
      </c>
      <c r="K237" s="8">
        <v>75999</v>
      </c>
    </row>
    <row r="238" spans="1:11">
      <c r="A238" s="7" t="s">
        <v>127</v>
      </c>
      <c r="B238" s="7" t="s">
        <v>128</v>
      </c>
      <c r="C238" s="7" t="s">
        <v>133</v>
      </c>
      <c r="D238" s="7" t="s">
        <v>134</v>
      </c>
      <c r="E238" s="7" t="s">
        <v>89</v>
      </c>
      <c r="F238" s="7" t="s">
        <v>90</v>
      </c>
      <c r="G238" s="7" t="s">
        <v>91</v>
      </c>
      <c r="H238" s="7" t="s">
        <v>90</v>
      </c>
      <c r="I238" s="8">
        <v>3</v>
      </c>
      <c r="J238" s="8">
        <v>0</v>
      </c>
      <c r="K238" s="8">
        <v>0</v>
      </c>
    </row>
    <row r="239" spans="1:11">
      <c r="A239" s="7" t="s">
        <v>127</v>
      </c>
      <c r="B239" s="7" t="s">
        <v>128</v>
      </c>
      <c r="C239" s="7" t="s">
        <v>133</v>
      </c>
      <c r="D239" s="7" t="s">
        <v>134</v>
      </c>
      <c r="E239" s="7" t="s">
        <v>92</v>
      </c>
      <c r="F239" s="7" t="s">
        <v>92</v>
      </c>
      <c r="G239" s="7" t="s">
        <v>92</v>
      </c>
      <c r="H239" s="7" t="s">
        <v>92</v>
      </c>
      <c r="I239" s="8">
        <v>-400</v>
      </c>
      <c r="J239" s="8">
        <v>-7273</v>
      </c>
      <c r="K239" s="8">
        <v>-7273</v>
      </c>
    </row>
    <row r="240" spans="1:11">
      <c r="A240" s="7" t="s">
        <v>135</v>
      </c>
      <c r="B240" s="7" t="s">
        <v>136</v>
      </c>
      <c r="C240" s="7" t="s">
        <v>137</v>
      </c>
      <c r="D240" s="7" t="s">
        <v>138</v>
      </c>
      <c r="E240" s="7" t="s">
        <v>65</v>
      </c>
      <c r="F240" s="7" t="s">
        <v>66</v>
      </c>
      <c r="G240" s="7" t="s">
        <v>95</v>
      </c>
      <c r="H240" s="7" t="s">
        <v>96</v>
      </c>
      <c r="I240" s="8">
        <v>1</v>
      </c>
      <c r="J240" s="8">
        <v>267818</v>
      </c>
      <c r="K240" s="8">
        <v>2681818</v>
      </c>
    </row>
    <row r="241" spans="1:11">
      <c r="A241" s="7" t="s">
        <v>135</v>
      </c>
      <c r="B241" s="7" t="s">
        <v>136</v>
      </c>
      <c r="C241" s="7" t="s">
        <v>137</v>
      </c>
      <c r="D241" s="7" t="s">
        <v>138</v>
      </c>
      <c r="E241" s="7" t="s">
        <v>65</v>
      </c>
      <c r="F241" s="7" t="s">
        <v>66</v>
      </c>
      <c r="G241" s="7" t="s">
        <v>67</v>
      </c>
      <c r="H241" s="7" t="s">
        <v>68</v>
      </c>
      <c r="I241" s="8">
        <v>2</v>
      </c>
      <c r="J241" s="8">
        <v>438909</v>
      </c>
      <c r="K241" s="8">
        <v>4390909</v>
      </c>
    </row>
    <row r="242" spans="1:11">
      <c r="A242" s="7" t="s">
        <v>135</v>
      </c>
      <c r="B242" s="7" t="s">
        <v>136</v>
      </c>
      <c r="C242" s="7" t="s">
        <v>137</v>
      </c>
      <c r="D242" s="7" t="s">
        <v>138</v>
      </c>
      <c r="E242" s="7" t="s">
        <v>65</v>
      </c>
      <c r="F242" s="7" t="s">
        <v>66</v>
      </c>
      <c r="G242" s="7" t="s">
        <v>69</v>
      </c>
      <c r="H242" s="7" t="s">
        <v>36</v>
      </c>
      <c r="I242" s="8">
        <v>2</v>
      </c>
      <c r="J242" s="8">
        <v>205462</v>
      </c>
      <c r="K242" s="8">
        <v>2718182</v>
      </c>
    </row>
    <row r="243" spans="1:11">
      <c r="A243" s="7" t="s">
        <v>135</v>
      </c>
      <c r="B243" s="7" t="s">
        <v>136</v>
      </c>
      <c r="C243" s="7" t="s">
        <v>137</v>
      </c>
      <c r="D243" s="7" t="s">
        <v>138</v>
      </c>
      <c r="E243" s="7" t="s">
        <v>65</v>
      </c>
      <c r="F243" s="7" t="s">
        <v>66</v>
      </c>
      <c r="G243" s="7" t="s">
        <v>70</v>
      </c>
      <c r="H243" s="7" t="s">
        <v>28</v>
      </c>
      <c r="I243" s="8">
        <v>8</v>
      </c>
      <c r="J243" s="8">
        <v>371092</v>
      </c>
      <c r="K243" s="8">
        <v>4929092</v>
      </c>
    </row>
    <row r="244" spans="1:11">
      <c r="A244" s="7" t="s">
        <v>135</v>
      </c>
      <c r="B244" s="7" t="s">
        <v>136</v>
      </c>
      <c r="C244" s="7" t="s">
        <v>137</v>
      </c>
      <c r="D244" s="7" t="s">
        <v>138</v>
      </c>
      <c r="E244" s="7" t="s">
        <v>65</v>
      </c>
      <c r="F244" s="7" t="s">
        <v>66</v>
      </c>
      <c r="G244" s="7" t="s">
        <v>97</v>
      </c>
      <c r="H244" s="7" t="s">
        <v>98</v>
      </c>
      <c r="I244" s="8">
        <v>2</v>
      </c>
      <c r="J244" s="8">
        <v>55272</v>
      </c>
      <c r="K244" s="8">
        <v>907272</v>
      </c>
    </row>
    <row r="245" spans="1:11">
      <c r="A245" s="7" t="s">
        <v>135</v>
      </c>
      <c r="B245" s="7" t="s">
        <v>136</v>
      </c>
      <c r="C245" s="7" t="s">
        <v>137</v>
      </c>
      <c r="D245" s="7" t="s">
        <v>138</v>
      </c>
      <c r="E245" s="7" t="s">
        <v>65</v>
      </c>
      <c r="F245" s="7" t="s">
        <v>66</v>
      </c>
      <c r="G245" s="7" t="s">
        <v>71</v>
      </c>
      <c r="H245" s="7" t="s">
        <v>72</v>
      </c>
      <c r="I245" s="8">
        <v>9</v>
      </c>
      <c r="J245" s="8">
        <v>225366</v>
      </c>
      <c r="K245" s="8">
        <v>3246366</v>
      </c>
    </row>
    <row r="246" spans="1:11">
      <c r="A246" s="7" t="s">
        <v>135</v>
      </c>
      <c r="B246" s="7" t="s">
        <v>136</v>
      </c>
      <c r="C246" s="7" t="s">
        <v>137</v>
      </c>
      <c r="D246" s="7" t="s">
        <v>138</v>
      </c>
      <c r="E246" s="7" t="s">
        <v>65</v>
      </c>
      <c r="F246" s="7" t="s">
        <v>66</v>
      </c>
      <c r="G246" s="7" t="s">
        <v>73</v>
      </c>
      <c r="H246" s="7" t="s">
        <v>74</v>
      </c>
      <c r="I246" s="8">
        <v>1</v>
      </c>
      <c r="J246" s="8">
        <v>98455</v>
      </c>
      <c r="K246" s="8">
        <v>1235455</v>
      </c>
    </row>
    <row r="247" spans="1:11">
      <c r="A247" s="7" t="s">
        <v>135</v>
      </c>
      <c r="B247" s="7" t="s">
        <v>136</v>
      </c>
      <c r="C247" s="7" t="s">
        <v>137</v>
      </c>
      <c r="D247" s="7" t="s">
        <v>138</v>
      </c>
      <c r="E247" s="7" t="s">
        <v>75</v>
      </c>
      <c r="F247" s="7" t="s">
        <v>76</v>
      </c>
      <c r="G247" s="7" t="s">
        <v>77</v>
      </c>
      <c r="H247" s="7" t="s">
        <v>78</v>
      </c>
      <c r="I247" s="8">
        <v>13</v>
      </c>
      <c r="J247" s="8">
        <v>128543.99181000001</v>
      </c>
      <c r="K247" s="8">
        <v>988544</v>
      </c>
    </row>
    <row r="248" spans="1:11">
      <c r="A248" s="7" t="s">
        <v>135</v>
      </c>
      <c r="B248" s="7" t="s">
        <v>136</v>
      </c>
      <c r="C248" s="7" t="s">
        <v>137</v>
      </c>
      <c r="D248" s="7" t="s">
        <v>138</v>
      </c>
      <c r="E248" s="7" t="s">
        <v>75</v>
      </c>
      <c r="F248" s="7" t="s">
        <v>76</v>
      </c>
      <c r="G248" s="7" t="s">
        <v>79</v>
      </c>
      <c r="H248" s="7" t="s">
        <v>80</v>
      </c>
      <c r="I248" s="8">
        <v>56</v>
      </c>
      <c r="J248" s="8">
        <v>2004709.8387529999</v>
      </c>
      <c r="K248" s="8">
        <v>8160089</v>
      </c>
    </row>
    <row r="249" spans="1:11">
      <c r="A249" s="7" t="s">
        <v>135</v>
      </c>
      <c r="B249" s="7" t="s">
        <v>136</v>
      </c>
      <c r="C249" s="7" t="s">
        <v>137</v>
      </c>
      <c r="D249" s="7" t="s">
        <v>138</v>
      </c>
      <c r="E249" s="7" t="s">
        <v>75</v>
      </c>
      <c r="F249" s="7" t="s">
        <v>76</v>
      </c>
      <c r="G249" s="7" t="s">
        <v>81</v>
      </c>
      <c r="H249" s="7" t="s">
        <v>82</v>
      </c>
      <c r="I249" s="8">
        <v>28</v>
      </c>
      <c r="J249" s="8">
        <v>403185.387705</v>
      </c>
      <c r="K249" s="8">
        <v>2368183</v>
      </c>
    </row>
    <row r="250" spans="1:11">
      <c r="A250" s="7" t="s">
        <v>135</v>
      </c>
      <c r="B250" s="7" t="s">
        <v>136</v>
      </c>
      <c r="C250" s="7" t="s">
        <v>137</v>
      </c>
      <c r="D250" s="7" t="s">
        <v>138</v>
      </c>
      <c r="E250" s="7" t="s">
        <v>75</v>
      </c>
      <c r="F250" s="7" t="s">
        <v>76</v>
      </c>
      <c r="G250" s="7" t="s">
        <v>87</v>
      </c>
      <c r="H250" s="7" t="s">
        <v>88</v>
      </c>
      <c r="I250" s="8">
        <v>1</v>
      </c>
      <c r="J250" s="8">
        <v>8455</v>
      </c>
      <c r="K250" s="8">
        <v>35455</v>
      </c>
    </row>
    <row r="251" spans="1:11">
      <c r="A251" s="7" t="s">
        <v>135</v>
      </c>
      <c r="B251" s="7" t="s">
        <v>136</v>
      </c>
      <c r="C251" s="7" t="s">
        <v>137</v>
      </c>
      <c r="D251" s="7" t="s">
        <v>138</v>
      </c>
      <c r="E251" s="7" t="s">
        <v>83</v>
      </c>
      <c r="F251" s="7" t="s">
        <v>84</v>
      </c>
      <c r="G251" s="7" t="s">
        <v>77</v>
      </c>
      <c r="H251" s="7" t="s">
        <v>78</v>
      </c>
      <c r="I251" s="8">
        <v>4</v>
      </c>
      <c r="J251" s="8">
        <v>56274</v>
      </c>
      <c r="K251" s="8">
        <v>124274</v>
      </c>
    </row>
    <row r="252" spans="1:11">
      <c r="A252" s="7" t="s">
        <v>135</v>
      </c>
      <c r="B252" s="7" t="s">
        <v>136</v>
      </c>
      <c r="C252" s="7" t="s">
        <v>137</v>
      </c>
      <c r="D252" s="7" t="s">
        <v>138</v>
      </c>
      <c r="E252" s="7" t="s">
        <v>83</v>
      </c>
      <c r="F252" s="7" t="s">
        <v>84</v>
      </c>
      <c r="G252" s="7" t="s">
        <v>79</v>
      </c>
      <c r="H252" s="7" t="s">
        <v>80</v>
      </c>
      <c r="I252" s="8">
        <v>22</v>
      </c>
      <c r="J252" s="8">
        <v>239107.39245000001</v>
      </c>
      <c r="K252" s="8">
        <v>485191</v>
      </c>
    </row>
    <row r="253" spans="1:11">
      <c r="A253" s="7" t="s">
        <v>135</v>
      </c>
      <c r="B253" s="7" t="s">
        <v>136</v>
      </c>
      <c r="C253" s="7" t="s">
        <v>137</v>
      </c>
      <c r="D253" s="7" t="s">
        <v>138</v>
      </c>
      <c r="E253" s="7" t="s">
        <v>83</v>
      </c>
      <c r="F253" s="7" t="s">
        <v>84</v>
      </c>
      <c r="G253" s="7" t="s">
        <v>81</v>
      </c>
      <c r="H253" s="7" t="s">
        <v>82</v>
      </c>
      <c r="I253" s="8">
        <v>34</v>
      </c>
      <c r="J253" s="8">
        <v>361045</v>
      </c>
      <c r="K253" s="8">
        <v>713545</v>
      </c>
    </row>
    <row r="254" spans="1:11">
      <c r="A254" s="7" t="s">
        <v>135</v>
      </c>
      <c r="B254" s="7" t="s">
        <v>136</v>
      </c>
      <c r="C254" s="7" t="s">
        <v>137</v>
      </c>
      <c r="D254" s="7" t="s">
        <v>138</v>
      </c>
      <c r="E254" s="7" t="s">
        <v>83</v>
      </c>
      <c r="F254" s="7" t="s">
        <v>84</v>
      </c>
      <c r="G254" s="7" t="s">
        <v>85</v>
      </c>
      <c r="H254" s="7" t="s">
        <v>86</v>
      </c>
      <c r="I254" s="8">
        <v>24</v>
      </c>
      <c r="J254" s="8">
        <v>108915</v>
      </c>
      <c r="K254" s="8">
        <v>267815</v>
      </c>
    </row>
    <row r="255" spans="1:11">
      <c r="A255" s="7" t="s">
        <v>135</v>
      </c>
      <c r="B255" s="7" t="s">
        <v>136</v>
      </c>
      <c r="C255" s="7" t="s">
        <v>137</v>
      </c>
      <c r="D255" s="7" t="s">
        <v>138</v>
      </c>
      <c r="E255" s="7" t="s">
        <v>83</v>
      </c>
      <c r="F255" s="7" t="s">
        <v>84</v>
      </c>
      <c r="G255" s="7" t="s">
        <v>87</v>
      </c>
      <c r="H255" s="7" t="s">
        <v>88</v>
      </c>
      <c r="I255" s="8">
        <v>7</v>
      </c>
      <c r="J255" s="8">
        <v>57577</v>
      </c>
      <c r="K255" s="8">
        <v>128727</v>
      </c>
    </row>
    <row r="256" spans="1:11">
      <c r="A256" s="7" t="s">
        <v>135</v>
      </c>
      <c r="B256" s="7" t="s">
        <v>136</v>
      </c>
      <c r="C256" s="7" t="s">
        <v>137</v>
      </c>
      <c r="D256" s="7" t="s">
        <v>138</v>
      </c>
      <c r="E256" s="7" t="s">
        <v>89</v>
      </c>
      <c r="F256" s="7" t="s">
        <v>90</v>
      </c>
      <c r="G256" s="7" t="s">
        <v>91</v>
      </c>
      <c r="H256" s="7" t="s">
        <v>90</v>
      </c>
      <c r="I256" s="8">
        <v>27</v>
      </c>
      <c r="J256" s="8">
        <v>0</v>
      </c>
      <c r="K256" s="8">
        <v>0</v>
      </c>
    </row>
    <row r="257" spans="1:11">
      <c r="A257" s="7" t="s">
        <v>135</v>
      </c>
      <c r="B257" s="7" t="s">
        <v>136</v>
      </c>
      <c r="C257" s="7" t="s">
        <v>137</v>
      </c>
      <c r="D257" s="7" t="s">
        <v>138</v>
      </c>
      <c r="E257" s="7" t="s">
        <v>92</v>
      </c>
      <c r="F257" s="7" t="s">
        <v>92</v>
      </c>
      <c r="G257" s="7" t="s">
        <v>92</v>
      </c>
      <c r="H257" s="7" t="s">
        <v>92</v>
      </c>
      <c r="I257" s="8">
        <v>-4580</v>
      </c>
      <c r="J257" s="8">
        <v>-83273</v>
      </c>
      <c r="K257" s="8">
        <v>-83273</v>
      </c>
    </row>
    <row r="258" spans="1:11">
      <c r="A258" s="7" t="s">
        <v>135</v>
      </c>
      <c r="B258" s="7" t="s">
        <v>136</v>
      </c>
      <c r="C258" s="7" t="s">
        <v>139</v>
      </c>
      <c r="D258" s="7" t="s">
        <v>140</v>
      </c>
      <c r="E258" s="7" t="s">
        <v>65</v>
      </c>
      <c r="F258" s="7" t="s">
        <v>66</v>
      </c>
      <c r="G258" s="7" t="s">
        <v>67</v>
      </c>
      <c r="H258" s="7" t="s">
        <v>68</v>
      </c>
      <c r="I258" s="8">
        <v>2</v>
      </c>
      <c r="J258" s="8">
        <v>671092</v>
      </c>
      <c r="K258" s="8">
        <v>6709092</v>
      </c>
    </row>
    <row r="259" spans="1:11">
      <c r="A259" s="7" t="s">
        <v>135</v>
      </c>
      <c r="B259" s="7" t="s">
        <v>136</v>
      </c>
      <c r="C259" s="7" t="s">
        <v>139</v>
      </c>
      <c r="D259" s="7" t="s">
        <v>140</v>
      </c>
      <c r="E259" s="7" t="s">
        <v>65</v>
      </c>
      <c r="F259" s="7" t="s">
        <v>66</v>
      </c>
      <c r="G259" s="7" t="s">
        <v>69</v>
      </c>
      <c r="H259" s="7" t="s">
        <v>36</v>
      </c>
      <c r="I259" s="8">
        <v>2</v>
      </c>
      <c r="J259" s="8">
        <v>145633</v>
      </c>
      <c r="K259" s="8">
        <v>1927273</v>
      </c>
    </row>
    <row r="260" spans="1:11">
      <c r="A260" s="7" t="s">
        <v>135</v>
      </c>
      <c r="B260" s="7" t="s">
        <v>136</v>
      </c>
      <c r="C260" s="7" t="s">
        <v>139</v>
      </c>
      <c r="D260" s="7" t="s">
        <v>140</v>
      </c>
      <c r="E260" s="7" t="s">
        <v>65</v>
      </c>
      <c r="F260" s="7" t="s">
        <v>66</v>
      </c>
      <c r="G260" s="7" t="s">
        <v>70</v>
      </c>
      <c r="H260" s="7" t="s">
        <v>28</v>
      </c>
      <c r="I260" s="8">
        <v>17</v>
      </c>
      <c r="J260" s="8">
        <v>760306.94117600005</v>
      </c>
      <c r="K260" s="8">
        <v>9475454</v>
      </c>
    </row>
    <row r="261" spans="1:11">
      <c r="A261" s="7" t="s">
        <v>135</v>
      </c>
      <c r="B261" s="7" t="s">
        <v>136</v>
      </c>
      <c r="C261" s="7" t="s">
        <v>139</v>
      </c>
      <c r="D261" s="7" t="s">
        <v>140</v>
      </c>
      <c r="E261" s="7" t="s">
        <v>65</v>
      </c>
      <c r="F261" s="7" t="s">
        <v>66</v>
      </c>
      <c r="G261" s="7" t="s">
        <v>97</v>
      </c>
      <c r="H261" s="7" t="s">
        <v>98</v>
      </c>
      <c r="I261" s="8">
        <v>5</v>
      </c>
      <c r="J261" s="8">
        <v>138180</v>
      </c>
      <c r="K261" s="8">
        <v>2268180</v>
      </c>
    </row>
    <row r="262" spans="1:11">
      <c r="A262" s="7" t="s">
        <v>135</v>
      </c>
      <c r="B262" s="7" t="s">
        <v>136</v>
      </c>
      <c r="C262" s="7" t="s">
        <v>139</v>
      </c>
      <c r="D262" s="7" t="s">
        <v>140</v>
      </c>
      <c r="E262" s="7" t="s">
        <v>65</v>
      </c>
      <c r="F262" s="7" t="s">
        <v>66</v>
      </c>
      <c r="G262" s="7" t="s">
        <v>71</v>
      </c>
      <c r="H262" s="7" t="s">
        <v>72</v>
      </c>
      <c r="I262" s="8">
        <v>10</v>
      </c>
      <c r="J262" s="8">
        <v>293093</v>
      </c>
      <c r="K262" s="8">
        <v>4209093</v>
      </c>
    </row>
    <row r="263" spans="1:11">
      <c r="A263" s="7" t="s">
        <v>135</v>
      </c>
      <c r="B263" s="7" t="s">
        <v>136</v>
      </c>
      <c r="C263" s="7" t="s">
        <v>139</v>
      </c>
      <c r="D263" s="7" t="s">
        <v>140</v>
      </c>
      <c r="E263" s="7" t="s">
        <v>65</v>
      </c>
      <c r="F263" s="7" t="s">
        <v>66</v>
      </c>
      <c r="G263" s="7" t="s">
        <v>73</v>
      </c>
      <c r="H263" s="7" t="s">
        <v>74</v>
      </c>
      <c r="I263" s="8">
        <v>4</v>
      </c>
      <c r="J263" s="8">
        <v>353454</v>
      </c>
      <c r="K263" s="8">
        <v>4405454</v>
      </c>
    </row>
    <row r="264" spans="1:11">
      <c r="A264" s="7" t="s">
        <v>135</v>
      </c>
      <c r="B264" s="7" t="s">
        <v>136</v>
      </c>
      <c r="C264" s="7" t="s">
        <v>139</v>
      </c>
      <c r="D264" s="7" t="s">
        <v>140</v>
      </c>
      <c r="E264" s="7" t="s">
        <v>75</v>
      </c>
      <c r="F264" s="7" t="s">
        <v>76</v>
      </c>
      <c r="G264" s="7" t="s">
        <v>77</v>
      </c>
      <c r="H264" s="7" t="s">
        <v>78</v>
      </c>
      <c r="I264" s="8">
        <v>8</v>
      </c>
      <c r="J264" s="8">
        <v>137270.94153000001</v>
      </c>
      <c r="K264" s="8">
        <v>1071271</v>
      </c>
    </row>
    <row r="265" spans="1:11">
      <c r="A265" s="7" t="s">
        <v>135</v>
      </c>
      <c r="B265" s="7" t="s">
        <v>136</v>
      </c>
      <c r="C265" s="7" t="s">
        <v>139</v>
      </c>
      <c r="D265" s="7" t="s">
        <v>140</v>
      </c>
      <c r="E265" s="7" t="s">
        <v>75</v>
      </c>
      <c r="F265" s="7" t="s">
        <v>76</v>
      </c>
      <c r="G265" s="7" t="s">
        <v>79</v>
      </c>
      <c r="H265" s="7" t="s">
        <v>80</v>
      </c>
      <c r="I265" s="8">
        <v>75</v>
      </c>
      <c r="J265" s="8">
        <v>2597025.7564380001</v>
      </c>
      <c r="K265" s="8">
        <v>10400998</v>
      </c>
    </row>
    <row r="266" spans="1:11">
      <c r="A266" s="7" t="s">
        <v>135</v>
      </c>
      <c r="B266" s="7" t="s">
        <v>136</v>
      </c>
      <c r="C266" s="7" t="s">
        <v>139</v>
      </c>
      <c r="D266" s="7" t="s">
        <v>140</v>
      </c>
      <c r="E266" s="7" t="s">
        <v>75</v>
      </c>
      <c r="F266" s="7" t="s">
        <v>76</v>
      </c>
      <c r="G266" s="7" t="s">
        <v>81</v>
      </c>
      <c r="H266" s="7" t="s">
        <v>82</v>
      </c>
      <c r="I266" s="8">
        <v>39</v>
      </c>
      <c r="J266" s="8">
        <v>545093.79183100001</v>
      </c>
      <c r="K266" s="8">
        <v>3839093</v>
      </c>
    </row>
    <row r="267" spans="1:11">
      <c r="A267" s="7" t="s">
        <v>135</v>
      </c>
      <c r="B267" s="7" t="s">
        <v>136</v>
      </c>
      <c r="C267" s="7" t="s">
        <v>139</v>
      </c>
      <c r="D267" s="7" t="s">
        <v>140</v>
      </c>
      <c r="E267" s="7" t="s">
        <v>75</v>
      </c>
      <c r="F267" s="7" t="s">
        <v>76</v>
      </c>
      <c r="G267" s="7" t="s">
        <v>87</v>
      </c>
      <c r="H267" s="7" t="s">
        <v>88</v>
      </c>
      <c r="I267" s="8">
        <v>4</v>
      </c>
      <c r="J267" s="8">
        <v>61364</v>
      </c>
      <c r="K267" s="8">
        <v>296364</v>
      </c>
    </row>
    <row r="268" spans="1:11">
      <c r="A268" s="7" t="s">
        <v>135</v>
      </c>
      <c r="B268" s="7" t="s">
        <v>136</v>
      </c>
      <c r="C268" s="7" t="s">
        <v>139</v>
      </c>
      <c r="D268" s="7" t="s">
        <v>140</v>
      </c>
      <c r="E268" s="7" t="s">
        <v>83</v>
      </c>
      <c r="F268" s="7" t="s">
        <v>84</v>
      </c>
      <c r="G268" s="7" t="s">
        <v>77</v>
      </c>
      <c r="H268" s="7" t="s">
        <v>78</v>
      </c>
      <c r="I268" s="8">
        <v>10</v>
      </c>
      <c r="J268" s="8">
        <v>154654</v>
      </c>
      <c r="K268" s="8">
        <v>352854</v>
      </c>
    </row>
    <row r="269" spans="1:11">
      <c r="A269" s="7" t="s">
        <v>135</v>
      </c>
      <c r="B269" s="7" t="s">
        <v>136</v>
      </c>
      <c r="C269" s="7" t="s">
        <v>139</v>
      </c>
      <c r="D269" s="7" t="s">
        <v>140</v>
      </c>
      <c r="E269" s="7" t="s">
        <v>83</v>
      </c>
      <c r="F269" s="7" t="s">
        <v>84</v>
      </c>
      <c r="G269" s="7" t="s">
        <v>79</v>
      </c>
      <c r="H269" s="7" t="s">
        <v>80</v>
      </c>
      <c r="I269" s="8">
        <v>22</v>
      </c>
      <c r="J269" s="8">
        <v>230001.60016999999</v>
      </c>
      <c r="K269" s="8">
        <v>439454</v>
      </c>
    </row>
    <row r="270" spans="1:11">
      <c r="A270" s="7" t="s">
        <v>135</v>
      </c>
      <c r="B270" s="7" t="s">
        <v>136</v>
      </c>
      <c r="C270" s="7" t="s">
        <v>139</v>
      </c>
      <c r="D270" s="7" t="s">
        <v>140</v>
      </c>
      <c r="E270" s="7" t="s">
        <v>83</v>
      </c>
      <c r="F270" s="7" t="s">
        <v>84</v>
      </c>
      <c r="G270" s="7" t="s">
        <v>81</v>
      </c>
      <c r="H270" s="7" t="s">
        <v>82</v>
      </c>
      <c r="I270" s="8">
        <v>58</v>
      </c>
      <c r="J270" s="8">
        <v>669499</v>
      </c>
      <c r="K270" s="8">
        <v>1352999</v>
      </c>
    </row>
    <row r="271" spans="1:11">
      <c r="A271" s="7" t="s">
        <v>135</v>
      </c>
      <c r="B271" s="7" t="s">
        <v>136</v>
      </c>
      <c r="C271" s="7" t="s">
        <v>139</v>
      </c>
      <c r="D271" s="7" t="s">
        <v>140</v>
      </c>
      <c r="E271" s="7" t="s">
        <v>83</v>
      </c>
      <c r="F271" s="7" t="s">
        <v>84</v>
      </c>
      <c r="G271" s="7" t="s">
        <v>85</v>
      </c>
      <c r="H271" s="7" t="s">
        <v>86</v>
      </c>
      <c r="I271" s="8">
        <v>31</v>
      </c>
      <c r="J271" s="8">
        <v>142060</v>
      </c>
      <c r="K271" s="8">
        <v>377271</v>
      </c>
    </row>
    <row r="272" spans="1:11">
      <c r="A272" s="7" t="s">
        <v>135</v>
      </c>
      <c r="B272" s="7" t="s">
        <v>136</v>
      </c>
      <c r="C272" s="7" t="s">
        <v>139</v>
      </c>
      <c r="D272" s="7" t="s">
        <v>140</v>
      </c>
      <c r="E272" s="7" t="s">
        <v>83</v>
      </c>
      <c r="F272" s="7" t="s">
        <v>84</v>
      </c>
      <c r="G272" s="7" t="s">
        <v>87</v>
      </c>
      <c r="H272" s="7" t="s">
        <v>88</v>
      </c>
      <c r="I272" s="8">
        <v>8</v>
      </c>
      <c r="J272" s="8">
        <v>79136</v>
      </c>
      <c r="K272" s="8">
        <v>155636</v>
      </c>
    </row>
    <row r="273" spans="1:11">
      <c r="A273" s="7" t="s">
        <v>135</v>
      </c>
      <c r="B273" s="7" t="s">
        <v>136</v>
      </c>
      <c r="C273" s="7" t="s">
        <v>139</v>
      </c>
      <c r="D273" s="7" t="s">
        <v>140</v>
      </c>
      <c r="E273" s="7" t="s">
        <v>89</v>
      </c>
      <c r="F273" s="7" t="s">
        <v>90</v>
      </c>
      <c r="G273" s="7" t="s">
        <v>91</v>
      </c>
      <c r="H273" s="7" t="s">
        <v>90</v>
      </c>
      <c r="I273" s="8">
        <v>45</v>
      </c>
      <c r="J273" s="8">
        <v>2182</v>
      </c>
      <c r="K273" s="8">
        <v>8182</v>
      </c>
    </row>
    <row r="274" spans="1:11">
      <c r="A274" s="7" t="s">
        <v>135</v>
      </c>
      <c r="B274" s="7" t="s">
        <v>136</v>
      </c>
      <c r="C274" s="7" t="s">
        <v>139</v>
      </c>
      <c r="D274" s="7" t="s">
        <v>140</v>
      </c>
      <c r="E274" s="7" t="s">
        <v>92</v>
      </c>
      <c r="F274" s="7" t="s">
        <v>92</v>
      </c>
      <c r="G274" s="7" t="s">
        <v>92</v>
      </c>
      <c r="H274" s="7" t="s">
        <v>92</v>
      </c>
      <c r="I274" s="8">
        <v>-7590</v>
      </c>
      <c r="J274" s="8">
        <v>-138000</v>
      </c>
      <c r="K274" s="8">
        <v>-138000</v>
      </c>
    </row>
    <row r="275" spans="1:11">
      <c r="A275" s="7" t="s">
        <v>135</v>
      </c>
      <c r="B275" s="7" t="s">
        <v>136</v>
      </c>
      <c r="C275" s="7" t="s">
        <v>328</v>
      </c>
      <c r="D275" s="7" t="s">
        <v>329</v>
      </c>
      <c r="E275" s="7" t="s">
        <v>65</v>
      </c>
      <c r="F275" s="7" t="s">
        <v>66</v>
      </c>
      <c r="G275" s="7" t="s">
        <v>69</v>
      </c>
      <c r="H275" s="7" t="s">
        <v>36</v>
      </c>
      <c r="I275" s="8">
        <v>2</v>
      </c>
      <c r="J275" s="8">
        <v>177965</v>
      </c>
      <c r="K275" s="8">
        <v>2354545</v>
      </c>
    </row>
    <row r="276" spans="1:11">
      <c r="A276" s="7" t="s">
        <v>135</v>
      </c>
      <c r="B276" s="7" t="s">
        <v>136</v>
      </c>
      <c r="C276" s="7" t="s">
        <v>328</v>
      </c>
      <c r="D276" s="7" t="s">
        <v>329</v>
      </c>
      <c r="E276" s="7" t="s">
        <v>65</v>
      </c>
      <c r="F276" s="7" t="s">
        <v>66</v>
      </c>
      <c r="G276" s="7" t="s">
        <v>70</v>
      </c>
      <c r="H276" s="7" t="s">
        <v>28</v>
      </c>
      <c r="I276" s="8">
        <v>4</v>
      </c>
      <c r="J276" s="8">
        <v>183272</v>
      </c>
      <c r="K276" s="8">
        <v>2287272</v>
      </c>
    </row>
    <row r="277" spans="1:11">
      <c r="A277" s="7" t="s">
        <v>135</v>
      </c>
      <c r="B277" s="7" t="s">
        <v>136</v>
      </c>
      <c r="C277" s="7" t="s">
        <v>328</v>
      </c>
      <c r="D277" s="7" t="s">
        <v>329</v>
      </c>
      <c r="E277" s="7" t="s">
        <v>65</v>
      </c>
      <c r="F277" s="7" t="s">
        <v>66</v>
      </c>
      <c r="G277" s="7" t="s">
        <v>97</v>
      </c>
      <c r="H277" s="7" t="s">
        <v>98</v>
      </c>
      <c r="I277" s="8">
        <v>2</v>
      </c>
      <c r="J277" s="8">
        <v>55272</v>
      </c>
      <c r="K277" s="8">
        <v>907272</v>
      </c>
    </row>
    <row r="278" spans="1:11">
      <c r="A278" s="7" t="s">
        <v>135</v>
      </c>
      <c r="B278" s="7" t="s">
        <v>136</v>
      </c>
      <c r="C278" s="7" t="s">
        <v>328</v>
      </c>
      <c r="D278" s="7" t="s">
        <v>329</v>
      </c>
      <c r="E278" s="7" t="s">
        <v>65</v>
      </c>
      <c r="F278" s="7" t="s">
        <v>66</v>
      </c>
      <c r="G278" s="7" t="s">
        <v>71</v>
      </c>
      <c r="H278" s="7" t="s">
        <v>72</v>
      </c>
      <c r="I278" s="8">
        <v>4</v>
      </c>
      <c r="J278" s="8">
        <v>103274</v>
      </c>
      <c r="K278" s="8">
        <v>1487274</v>
      </c>
    </row>
    <row r="279" spans="1:11">
      <c r="A279" s="7" t="s">
        <v>135</v>
      </c>
      <c r="B279" s="7" t="s">
        <v>136</v>
      </c>
      <c r="C279" s="7" t="s">
        <v>328</v>
      </c>
      <c r="D279" s="7" t="s">
        <v>329</v>
      </c>
      <c r="E279" s="7" t="s">
        <v>75</v>
      </c>
      <c r="F279" s="7" t="s">
        <v>76</v>
      </c>
      <c r="G279" s="7" t="s">
        <v>77</v>
      </c>
      <c r="H279" s="7" t="s">
        <v>78</v>
      </c>
      <c r="I279" s="8">
        <v>2</v>
      </c>
      <c r="J279" s="8">
        <v>21817.99727</v>
      </c>
      <c r="K279" s="8">
        <v>161818</v>
      </c>
    </row>
    <row r="280" spans="1:11">
      <c r="A280" s="7" t="s">
        <v>135</v>
      </c>
      <c r="B280" s="7" t="s">
        <v>136</v>
      </c>
      <c r="C280" s="7" t="s">
        <v>328</v>
      </c>
      <c r="D280" s="7" t="s">
        <v>329</v>
      </c>
      <c r="E280" s="7" t="s">
        <v>75</v>
      </c>
      <c r="F280" s="7" t="s">
        <v>76</v>
      </c>
      <c r="G280" s="7" t="s">
        <v>79</v>
      </c>
      <c r="H280" s="7" t="s">
        <v>80</v>
      </c>
      <c r="I280" s="8">
        <v>31</v>
      </c>
      <c r="J280" s="8">
        <v>1440640.0843799999</v>
      </c>
      <c r="K280" s="8">
        <v>5723637</v>
      </c>
    </row>
    <row r="281" spans="1:11">
      <c r="A281" s="7" t="s">
        <v>135</v>
      </c>
      <c r="B281" s="7" t="s">
        <v>136</v>
      </c>
      <c r="C281" s="7" t="s">
        <v>328</v>
      </c>
      <c r="D281" s="7" t="s">
        <v>329</v>
      </c>
      <c r="E281" s="7" t="s">
        <v>75</v>
      </c>
      <c r="F281" s="7" t="s">
        <v>76</v>
      </c>
      <c r="G281" s="7" t="s">
        <v>81</v>
      </c>
      <c r="H281" s="7" t="s">
        <v>82</v>
      </c>
      <c r="I281" s="8">
        <v>14</v>
      </c>
      <c r="J281" s="8">
        <v>165093.03657600001</v>
      </c>
      <c r="K281" s="8">
        <v>1389093</v>
      </c>
    </row>
    <row r="282" spans="1:11">
      <c r="A282" s="7" t="s">
        <v>135</v>
      </c>
      <c r="B282" s="7" t="s">
        <v>136</v>
      </c>
      <c r="C282" s="7" t="s">
        <v>328</v>
      </c>
      <c r="D282" s="7" t="s">
        <v>329</v>
      </c>
      <c r="E282" s="7" t="s">
        <v>75</v>
      </c>
      <c r="F282" s="7" t="s">
        <v>76</v>
      </c>
      <c r="G282" s="7" t="s">
        <v>87</v>
      </c>
      <c r="H282" s="7" t="s">
        <v>88</v>
      </c>
      <c r="I282" s="8">
        <v>1</v>
      </c>
      <c r="J282" s="8">
        <v>8455</v>
      </c>
      <c r="K282" s="8">
        <v>35455</v>
      </c>
    </row>
    <row r="283" spans="1:11">
      <c r="A283" s="7" t="s">
        <v>135</v>
      </c>
      <c r="B283" s="7" t="s">
        <v>136</v>
      </c>
      <c r="C283" s="7" t="s">
        <v>328</v>
      </c>
      <c r="D283" s="7" t="s">
        <v>329</v>
      </c>
      <c r="E283" s="7" t="s">
        <v>83</v>
      </c>
      <c r="F283" s="7" t="s">
        <v>84</v>
      </c>
      <c r="G283" s="7" t="s">
        <v>77</v>
      </c>
      <c r="H283" s="7" t="s">
        <v>78</v>
      </c>
      <c r="I283" s="8">
        <v>4</v>
      </c>
      <c r="J283" s="8">
        <v>53881</v>
      </c>
      <c r="K283" s="8">
        <v>122381</v>
      </c>
    </row>
    <row r="284" spans="1:11">
      <c r="A284" s="7" t="s">
        <v>135</v>
      </c>
      <c r="B284" s="7" t="s">
        <v>136</v>
      </c>
      <c r="C284" s="7" t="s">
        <v>328</v>
      </c>
      <c r="D284" s="7" t="s">
        <v>329</v>
      </c>
      <c r="E284" s="7" t="s">
        <v>83</v>
      </c>
      <c r="F284" s="7" t="s">
        <v>84</v>
      </c>
      <c r="G284" s="7" t="s">
        <v>79</v>
      </c>
      <c r="H284" s="7" t="s">
        <v>80</v>
      </c>
      <c r="I284" s="8">
        <v>15</v>
      </c>
      <c r="J284" s="8">
        <v>155609.01227000001</v>
      </c>
      <c r="K284" s="8">
        <v>287454</v>
      </c>
    </row>
    <row r="285" spans="1:11">
      <c r="A285" s="7" t="s">
        <v>135</v>
      </c>
      <c r="B285" s="7" t="s">
        <v>136</v>
      </c>
      <c r="C285" s="7" t="s">
        <v>328</v>
      </c>
      <c r="D285" s="7" t="s">
        <v>329</v>
      </c>
      <c r="E285" s="7" t="s">
        <v>83</v>
      </c>
      <c r="F285" s="7" t="s">
        <v>84</v>
      </c>
      <c r="G285" s="7" t="s">
        <v>81</v>
      </c>
      <c r="H285" s="7" t="s">
        <v>82</v>
      </c>
      <c r="I285" s="8">
        <v>26</v>
      </c>
      <c r="J285" s="8">
        <v>296275</v>
      </c>
      <c r="K285" s="8">
        <v>599275</v>
      </c>
    </row>
    <row r="286" spans="1:11">
      <c r="A286" s="7" t="s">
        <v>135</v>
      </c>
      <c r="B286" s="7" t="s">
        <v>136</v>
      </c>
      <c r="C286" s="7" t="s">
        <v>328</v>
      </c>
      <c r="D286" s="7" t="s">
        <v>329</v>
      </c>
      <c r="E286" s="7" t="s">
        <v>83</v>
      </c>
      <c r="F286" s="7" t="s">
        <v>84</v>
      </c>
      <c r="G286" s="7" t="s">
        <v>85</v>
      </c>
      <c r="H286" s="7" t="s">
        <v>86</v>
      </c>
      <c r="I286" s="8">
        <v>18</v>
      </c>
      <c r="J286" s="8">
        <v>91234</v>
      </c>
      <c r="K286" s="8">
        <v>256634</v>
      </c>
    </row>
    <row r="287" spans="1:11">
      <c r="A287" s="7" t="s">
        <v>135</v>
      </c>
      <c r="B287" s="7" t="s">
        <v>136</v>
      </c>
      <c r="C287" s="7" t="s">
        <v>328</v>
      </c>
      <c r="D287" s="7" t="s">
        <v>329</v>
      </c>
      <c r="E287" s="7" t="s">
        <v>83</v>
      </c>
      <c r="F287" s="7" t="s">
        <v>84</v>
      </c>
      <c r="G287" s="7" t="s">
        <v>107</v>
      </c>
      <c r="H287" s="7" t="s">
        <v>108</v>
      </c>
      <c r="I287" s="8">
        <v>1</v>
      </c>
      <c r="J287" s="8">
        <v>5445</v>
      </c>
      <c r="K287" s="8">
        <v>13545</v>
      </c>
    </row>
    <row r="288" spans="1:11">
      <c r="A288" s="7" t="s">
        <v>135</v>
      </c>
      <c r="B288" s="7" t="s">
        <v>136</v>
      </c>
      <c r="C288" s="7" t="s">
        <v>328</v>
      </c>
      <c r="D288" s="7" t="s">
        <v>329</v>
      </c>
      <c r="E288" s="7" t="s">
        <v>83</v>
      </c>
      <c r="F288" s="7" t="s">
        <v>84</v>
      </c>
      <c r="G288" s="7" t="s">
        <v>87</v>
      </c>
      <c r="H288" s="7" t="s">
        <v>88</v>
      </c>
      <c r="I288" s="8">
        <v>10</v>
      </c>
      <c r="J288" s="8">
        <v>82680</v>
      </c>
      <c r="K288" s="8">
        <v>180180</v>
      </c>
    </row>
    <row r="289" spans="1:11">
      <c r="A289" s="7" t="s">
        <v>135</v>
      </c>
      <c r="B289" s="7" t="s">
        <v>136</v>
      </c>
      <c r="C289" s="7" t="s">
        <v>328</v>
      </c>
      <c r="D289" s="7" t="s">
        <v>329</v>
      </c>
      <c r="E289" s="7" t="s">
        <v>89</v>
      </c>
      <c r="F289" s="7" t="s">
        <v>90</v>
      </c>
      <c r="G289" s="7" t="s">
        <v>91</v>
      </c>
      <c r="H289" s="7" t="s">
        <v>90</v>
      </c>
      <c r="I289" s="8">
        <v>21</v>
      </c>
      <c r="J289" s="8">
        <v>0</v>
      </c>
      <c r="K289" s="8">
        <v>0</v>
      </c>
    </row>
    <row r="290" spans="1:11">
      <c r="A290" s="7" t="s">
        <v>141</v>
      </c>
      <c r="B290" s="7" t="s">
        <v>142</v>
      </c>
      <c r="C290" s="7" t="s">
        <v>143</v>
      </c>
      <c r="D290" s="7" t="s">
        <v>144</v>
      </c>
      <c r="E290" s="7" t="s">
        <v>65</v>
      </c>
      <c r="F290" s="7" t="s">
        <v>66</v>
      </c>
      <c r="G290" s="7" t="s">
        <v>67</v>
      </c>
      <c r="H290" s="7" t="s">
        <v>68</v>
      </c>
      <c r="I290" s="8">
        <v>3</v>
      </c>
      <c r="J290" s="8">
        <v>856636</v>
      </c>
      <c r="K290" s="8">
        <v>8563636</v>
      </c>
    </row>
    <row r="291" spans="1:11">
      <c r="A291" s="7" t="s">
        <v>141</v>
      </c>
      <c r="B291" s="7" t="s">
        <v>142</v>
      </c>
      <c r="C291" s="7" t="s">
        <v>143</v>
      </c>
      <c r="D291" s="7" t="s">
        <v>144</v>
      </c>
      <c r="E291" s="7" t="s">
        <v>65</v>
      </c>
      <c r="F291" s="7" t="s">
        <v>66</v>
      </c>
      <c r="G291" s="7" t="s">
        <v>69</v>
      </c>
      <c r="H291" s="7" t="s">
        <v>36</v>
      </c>
      <c r="I291" s="8">
        <v>1</v>
      </c>
      <c r="J291" s="8">
        <v>109985</v>
      </c>
      <c r="K291" s="8">
        <v>1454545</v>
      </c>
    </row>
    <row r="292" spans="1:11">
      <c r="A292" s="7" t="s">
        <v>141</v>
      </c>
      <c r="B292" s="7" t="s">
        <v>142</v>
      </c>
      <c r="C292" s="7" t="s">
        <v>143</v>
      </c>
      <c r="D292" s="7" t="s">
        <v>144</v>
      </c>
      <c r="E292" s="7" t="s">
        <v>65</v>
      </c>
      <c r="F292" s="7" t="s">
        <v>66</v>
      </c>
      <c r="G292" s="7" t="s">
        <v>70</v>
      </c>
      <c r="H292" s="7" t="s">
        <v>28</v>
      </c>
      <c r="I292" s="8">
        <v>17</v>
      </c>
      <c r="J292" s="8">
        <v>754908</v>
      </c>
      <c r="K292" s="8">
        <v>9420908</v>
      </c>
    </row>
    <row r="293" spans="1:11">
      <c r="A293" s="7" t="s">
        <v>141</v>
      </c>
      <c r="B293" s="7" t="s">
        <v>142</v>
      </c>
      <c r="C293" s="7" t="s">
        <v>143</v>
      </c>
      <c r="D293" s="7" t="s">
        <v>144</v>
      </c>
      <c r="E293" s="7" t="s">
        <v>65</v>
      </c>
      <c r="F293" s="7" t="s">
        <v>66</v>
      </c>
      <c r="G293" s="7" t="s">
        <v>97</v>
      </c>
      <c r="H293" s="7" t="s">
        <v>98</v>
      </c>
      <c r="I293" s="8">
        <v>3</v>
      </c>
      <c r="J293" s="8">
        <v>82908</v>
      </c>
      <c r="K293" s="8">
        <v>1360908</v>
      </c>
    </row>
    <row r="294" spans="1:11">
      <c r="A294" s="7" t="s">
        <v>141</v>
      </c>
      <c r="B294" s="7" t="s">
        <v>142</v>
      </c>
      <c r="C294" s="7" t="s">
        <v>143</v>
      </c>
      <c r="D294" s="7" t="s">
        <v>144</v>
      </c>
      <c r="E294" s="7" t="s">
        <v>65</v>
      </c>
      <c r="F294" s="7" t="s">
        <v>66</v>
      </c>
      <c r="G294" s="7" t="s">
        <v>71</v>
      </c>
      <c r="H294" s="7" t="s">
        <v>72</v>
      </c>
      <c r="I294" s="8">
        <v>15</v>
      </c>
      <c r="J294" s="8">
        <v>515730</v>
      </c>
      <c r="K294" s="8">
        <v>7422730</v>
      </c>
    </row>
    <row r="295" spans="1:11">
      <c r="A295" s="7" t="s">
        <v>141</v>
      </c>
      <c r="B295" s="7" t="s">
        <v>142</v>
      </c>
      <c r="C295" s="7" t="s">
        <v>143</v>
      </c>
      <c r="D295" s="7" t="s">
        <v>144</v>
      </c>
      <c r="E295" s="7" t="s">
        <v>65</v>
      </c>
      <c r="F295" s="7" t="s">
        <v>66</v>
      </c>
      <c r="G295" s="7" t="s">
        <v>73</v>
      </c>
      <c r="H295" s="7" t="s">
        <v>74</v>
      </c>
      <c r="I295" s="8">
        <v>5</v>
      </c>
      <c r="J295" s="8">
        <v>422272</v>
      </c>
      <c r="K295" s="8">
        <v>5277272</v>
      </c>
    </row>
    <row r="296" spans="1:11">
      <c r="A296" s="7" t="s">
        <v>141</v>
      </c>
      <c r="B296" s="7" t="s">
        <v>142</v>
      </c>
      <c r="C296" s="7" t="s">
        <v>143</v>
      </c>
      <c r="D296" s="7" t="s">
        <v>144</v>
      </c>
      <c r="E296" s="7" t="s">
        <v>75</v>
      </c>
      <c r="F296" s="7" t="s">
        <v>76</v>
      </c>
      <c r="G296" s="7" t="s">
        <v>77</v>
      </c>
      <c r="H296" s="7" t="s">
        <v>78</v>
      </c>
      <c r="I296" s="8">
        <v>8</v>
      </c>
      <c r="J296" s="8">
        <v>76908.959348999997</v>
      </c>
      <c r="K296" s="8">
        <v>570909</v>
      </c>
    </row>
    <row r="297" spans="1:11">
      <c r="A297" s="7" t="s">
        <v>141</v>
      </c>
      <c r="B297" s="7" t="s">
        <v>142</v>
      </c>
      <c r="C297" s="7" t="s">
        <v>143</v>
      </c>
      <c r="D297" s="7" t="s">
        <v>144</v>
      </c>
      <c r="E297" s="7" t="s">
        <v>75</v>
      </c>
      <c r="F297" s="7" t="s">
        <v>76</v>
      </c>
      <c r="G297" s="7" t="s">
        <v>79</v>
      </c>
      <c r="H297" s="7" t="s">
        <v>80</v>
      </c>
      <c r="I297" s="8">
        <v>67</v>
      </c>
      <c r="J297" s="8">
        <v>2181471.5888899998</v>
      </c>
      <c r="K297" s="8">
        <v>8705450</v>
      </c>
    </row>
    <row r="298" spans="1:11">
      <c r="A298" s="7" t="s">
        <v>141</v>
      </c>
      <c r="B298" s="7" t="s">
        <v>142</v>
      </c>
      <c r="C298" s="7" t="s">
        <v>143</v>
      </c>
      <c r="D298" s="7" t="s">
        <v>144</v>
      </c>
      <c r="E298" s="7" t="s">
        <v>75</v>
      </c>
      <c r="F298" s="7" t="s">
        <v>76</v>
      </c>
      <c r="G298" s="7" t="s">
        <v>81</v>
      </c>
      <c r="H298" s="7" t="s">
        <v>82</v>
      </c>
      <c r="I298" s="8">
        <v>36</v>
      </c>
      <c r="J298" s="8">
        <v>409365.03830499999</v>
      </c>
      <c r="K298" s="8">
        <v>3176365</v>
      </c>
    </row>
    <row r="299" spans="1:11">
      <c r="A299" s="7" t="s">
        <v>141</v>
      </c>
      <c r="B299" s="7" t="s">
        <v>142</v>
      </c>
      <c r="C299" s="7" t="s">
        <v>143</v>
      </c>
      <c r="D299" s="7" t="s">
        <v>144</v>
      </c>
      <c r="E299" s="7" t="s">
        <v>83</v>
      </c>
      <c r="F299" s="7" t="s">
        <v>84</v>
      </c>
      <c r="G299" s="7" t="s">
        <v>77</v>
      </c>
      <c r="H299" s="7" t="s">
        <v>78</v>
      </c>
      <c r="I299" s="8">
        <v>14</v>
      </c>
      <c r="J299" s="8">
        <v>80766.237466999999</v>
      </c>
      <c r="K299" s="8">
        <v>368000</v>
      </c>
    </row>
    <row r="300" spans="1:11">
      <c r="A300" s="7" t="s">
        <v>141</v>
      </c>
      <c r="B300" s="7" t="s">
        <v>142</v>
      </c>
      <c r="C300" s="7" t="s">
        <v>143</v>
      </c>
      <c r="D300" s="7" t="s">
        <v>144</v>
      </c>
      <c r="E300" s="7" t="s">
        <v>83</v>
      </c>
      <c r="F300" s="7" t="s">
        <v>84</v>
      </c>
      <c r="G300" s="7" t="s">
        <v>79</v>
      </c>
      <c r="H300" s="7" t="s">
        <v>80</v>
      </c>
      <c r="I300" s="8">
        <v>21</v>
      </c>
      <c r="J300" s="8">
        <v>259608.80423000001</v>
      </c>
      <c r="K300" s="8">
        <v>470820</v>
      </c>
    </row>
    <row r="301" spans="1:11">
      <c r="A301" s="7" t="s">
        <v>141</v>
      </c>
      <c r="B301" s="7" t="s">
        <v>142</v>
      </c>
      <c r="C301" s="7" t="s">
        <v>143</v>
      </c>
      <c r="D301" s="7" t="s">
        <v>144</v>
      </c>
      <c r="E301" s="7" t="s">
        <v>83</v>
      </c>
      <c r="F301" s="7" t="s">
        <v>84</v>
      </c>
      <c r="G301" s="7" t="s">
        <v>81</v>
      </c>
      <c r="H301" s="7" t="s">
        <v>82</v>
      </c>
      <c r="I301" s="8">
        <v>54</v>
      </c>
      <c r="J301" s="8">
        <v>500900</v>
      </c>
      <c r="K301" s="8">
        <v>1086727</v>
      </c>
    </row>
    <row r="302" spans="1:11">
      <c r="A302" s="7" t="s">
        <v>141</v>
      </c>
      <c r="B302" s="7" t="s">
        <v>142</v>
      </c>
      <c r="C302" s="7" t="s">
        <v>143</v>
      </c>
      <c r="D302" s="7" t="s">
        <v>144</v>
      </c>
      <c r="E302" s="7" t="s">
        <v>83</v>
      </c>
      <c r="F302" s="7" t="s">
        <v>84</v>
      </c>
      <c r="G302" s="7" t="s">
        <v>85</v>
      </c>
      <c r="H302" s="7" t="s">
        <v>86</v>
      </c>
      <c r="I302" s="8">
        <v>44</v>
      </c>
      <c r="J302" s="8">
        <v>238181</v>
      </c>
      <c r="K302" s="8">
        <v>663181</v>
      </c>
    </row>
    <row r="303" spans="1:11">
      <c r="A303" s="7" t="s">
        <v>141</v>
      </c>
      <c r="B303" s="7" t="s">
        <v>142</v>
      </c>
      <c r="C303" s="7" t="s">
        <v>143</v>
      </c>
      <c r="D303" s="7" t="s">
        <v>144</v>
      </c>
      <c r="E303" s="7" t="s">
        <v>83</v>
      </c>
      <c r="F303" s="7" t="s">
        <v>84</v>
      </c>
      <c r="G303" s="7" t="s">
        <v>87</v>
      </c>
      <c r="H303" s="7" t="s">
        <v>88</v>
      </c>
      <c r="I303" s="8">
        <v>8</v>
      </c>
      <c r="J303" s="8">
        <v>57054</v>
      </c>
      <c r="K303" s="8">
        <v>150454</v>
      </c>
    </row>
    <row r="304" spans="1:11">
      <c r="A304" s="7" t="s">
        <v>141</v>
      </c>
      <c r="B304" s="7" t="s">
        <v>142</v>
      </c>
      <c r="C304" s="7" t="s">
        <v>143</v>
      </c>
      <c r="D304" s="7" t="s">
        <v>144</v>
      </c>
      <c r="E304" s="7" t="s">
        <v>89</v>
      </c>
      <c r="F304" s="7" t="s">
        <v>90</v>
      </c>
      <c r="G304" s="7" t="s">
        <v>91</v>
      </c>
      <c r="H304" s="7" t="s">
        <v>90</v>
      </c>
      <c r="I304" s="8">
        <v>18</v>
      </c>
      <c r="J304" s="8">
        <v>0</v>
      </c>
      <c r="K304" s="8">
        <v>0</v>
      </c>
    </row>
    <row r="305" spans="1:11">
      <c r="A305" s="7" t="s">
        <v>141</v>
      </c>
      <c r="B305" s="7" t="s">
        <v>142</v>
      </c>
      <c r="C305" s="7" t="s">
        <v>143</v>
      </c>
      <c r="D305" s="7" t="s">
        <v>144</v>
      </c>
      <c r="E305" s="7" t="s">
        <v>92</v>
      </c>
      <c r="F305" s="7" t="s">
        <v>92</v>
      </c>
      <c r="G305" s="7" t="s">
        <v>92</v>
      </c>
      <c r="H305" s="7" t="s">
        <v>92</v>
      </c>
      <c r="I305" s="8">
        <v>-4350</v>
      </c>
      <c r="J305" s="8">
        <v>-79091</v>
      </c>
      <c r="K305" s="8">
        <v>-79091</v>
      </c>
    </row>
    <row r="306" spans="1:11">
      <c r="A306" s="7" t="s">
        <v>141</v>
      </c>
      <c r="B306" s="7" t="s">
        <v>142</v>
      </c>
      <c r="C306" s="7" t="s">
        <v>145</v>
      </c>
      <c r="D306" s="7" t="s">
        <v>146</v>
      </c>
      <c r="E306" s="7" t="s">
        <v>65</v>
      </c>
      <c r="F306" s="7" t="s">
        <v>66</v>
      </c>
      <c r="G306" s="7" t="s">
        <v>67</v>
      </c>
      <c r="H306" s="7" t="s">
        <v>68</v>
      </c>
      <c r="I306" s="8">
        <v>3</v>
      </c>
      <c r="J306" s="8">
        <v>687818</v>
      </c>
      <c r="K306" s="8">
        <v>6881818</v>
      </c>
    </row>
    <row r="307" spans="1:11">
      <c r="A307" s="7" t="s">
        <v>141</v>
      </c>
      <c r="B307" s="7" t="s">
        <v>142</v>
      </c>
      <c r="C307" s="7" t="s">
        <v>145</v>
      </c>
      <c r="D307" s="7" t="s">
        <v>146</v>
      </c>
      <c r="E307" s="7" t="s">
        <v>65</v>
      </c>
      <c r="F307" s="7" t="s">
        <v>66</v>
      </c>
      <c r="G307" s="7" t="s">
        <v>69</v>
      </c>
      <c r="H307" s="7" t="s">
        <v>36</v>
      </c>
      <c r="I307" s="8">
        <v>1</v>
      </c>
      <c r="J307" s="8">
        <v>109986</v>
      </c>
      <c r="K307" s="8">
        <v>1454546</v>
      </c>
    </row>
    <row r="308" spans="1:11">
      <c r="A308" s="7" t="s">
        <v>141</v>
      </c>
      <c r="B308" s="7" t="s">
        <v>142</v>
      </c>
      <c r="C308" s="7" t="s">
        <v>145</v>
      </c>
      <c r="D308" s="7" t="s">
        <v>146</v>
      </c>
      <c r="E308" s="7" t="s">
        <v>65</v>
      </c>
      <c r="F308" s="7" t="s">
        <v>66</v>
      </c>
      <c r="G308" s="7" t="s">
        <v>70</v>
      </c>
      <c r="H308" s="7" t="s">
        <v>28</v>
      </c>
      <c r="I308" s="8">
        <v>17</v>
      </c>
      <c r="J308" s="8">
        <v>761652.47058800003</v>
      </c>
      <c r="K308" s="8">
        <v>9502726</v>
      </c>
    </row>
    <row r="309" spans="1:11">
      <c r="A309" s="7" t="s">
        <v>141</v>
      </c>
      <c r="B309" s="7" t="s">
        <v>142</v>
      </c>
      <c r="C309" s="7" t="s">
        <v>145</v>
      </c>
      <c r="D309" s="7" t="s">
        <v>146</v>
      </c>
      <c r="E309" s="7" t="s">
        <v>65</v>
      </c>
      <c r="F309" s="7" t="s">
        <v>66</v>
      </c>
      <c r="G309" s="7" t="s">
        <v>97</v>
      </c>
      <c r="H309" s="7" t="s">
        <v>98</v>
      </c>
      <c r="I309" s="8">
        <v>3</v>
      </c>
      <c r="J309" s="8">
        <v>82908</v>
      </c>
      <c r="K309" s="8">
        <v>1360908</v>
      </c>
    </row>
    <row r="310" spans="1:11">
      <c r="A310" s="7" t="s">
        <v>141</v>
      </c>
      <c r="B310" s="7" t="s">
        <v>142</v>
      </c>
      <c r="C310" s="7" t="s">
        <v>145</v>
      </c>
      <c r="D310" s="7" t="s">
        <v>146</v>
      </c>
      <c r="E310" s="7" t="s">
        <v>65</v>
      </c>
      <c r="F310" s="7" t="s">
        <v>66</v>
      </c>
      <c r="G310" s="7" t="s">
        <v>71</v>
      </c>
      <c r="H310" s="7" t="s">
        <v>72</v>
      </c>
      <c r="I310" s="8">
        <v>11</v>
      </c>
      <c r="J310" s="8">
        <v>396274</v>
      </c>
      <c r="K310" s="8">
        <v>5717274</v>
      </c>
    </row>
    <row r="311" spans="1:11">
      <c r="A311" s="7" t="s">
        <v>141</v>
      </c>
      <c r="B311" s="7" t="s">
        <v>142</v>
      </c>
      <c r="C311" s="7" t="s">
        <v>145</v>
      </c>
      <c r="D311" s="7" t="s">
        <v>146</v>
      </c>
      <c r="E311" s="7" t="s">
        <v>65</v>
      </c>
      <c r="F311" s="7" t="s">
        <v>66</v>
      </c>
      <c r="G311" s="7" t="s">
        <v>73</v>
      </c>
      <c r="H311" s="7" t="s">
        <v>74</v>
      </c>
      <c r="I311" s="8">
        <v>4</v>
      </c>
      <c r="J311" s="8">
        <v>381999</v>
      </c>
      <c r="K311" s="8">
        <v>4759999</v>
      </c>
    </row>
    <row r="312" spans="1:11">
      <c r="A312" s="7" t="s">
        <v>141</v>
      </c>
      <c r="B312" s="7" t="s">
        <v>142</v>
      </c>
      <c r="C312" s="7" t="s">
        <v>145</v>
      </c>
      <c r="D312" s="7" t="s">
        <v>146</v>
      </c>
      <c r="E312" s="7" t="s">
        <v>75</v>
      </c>
      <c r="F312" s="7" t="s">
        <v>76</v>
      </c>
      <c r="G312" s="7" t="s">
        <v>77</v>
      </c>
      <c r="H312" s="7" t="s">
        <v>78</v>
      </c>
      <c r="I312" s="8">
        <v>6</v>
      </c>
      <c r="J312" s="8">
        <v>57271.966670000002</v>
      </c>
      <c r="K312" s="8">
        <v>427272</v>
      </c>
    </row>
    <row r="313" spans="1:11">
      <c r="A313" s="7" t="s">
        <v>141</v>
      </c>
      <c r="B313" s="7" t="s">
        <v>142</v>
      </c>
      <c r="C313" s="7" t="s">
        <v>145</v>
      </c>
      <c r="D313" s="7" t="s">
        <v>146</v>
      </c>
      <c r="E313" s="7" t="s">
        <v>75</v>
      </c>
      <c r="F313" s="7" t="s">
        <v>76</v>
      </c>
      <c r="G313" s="7" t="s">
        <v>79</v>
      </c>
      <c r="H313" s="7" t="s">
        <v>80</v>
      </c>
      <c r="I313" s="8">
        <v>91</v>
      </c>
      <c r="J313" s="8">
        <v>3195475.7549999999</v>
      </c>
      <c r="K313" s="8">
        <v>12775448</v>
      </c>
    </row>
    <row r="314" spans="1:11">
      <c r="A314" s="7" t="s">
        <v>141</v>
      </c>
      <c r="B314" s="7" t="s">
        <v>142</v>
      </c>
      <c r="C314" s="7" t="s">
        <v>145</v>
      </c>
      <c r="D314" s="7" t="s">
        <v>146</v>
      </c>
      <c r="E314" s="7" t="s">
        <v>75</v>
      </c>
      <c r="F314" s="7" t="s">
        <v>76</v>
      </c>
      <c r="G314" s="7" t="s">
        <v>81</v>
      </c>
      <c r="H314" s="7" t="s">
        <v>82</v>
      </c>
      <c r="I314" s="8">
        <v>46</v>
      </c>
      <c r="J314" s="8">
        <v>532638.07360200002</v>
      </c>
      <c r="K314" s="8">
        <v>3993638</v>
      </c>
    </row>
    <row r="315" spans="1:11">
      <c r="A315" s="7" t="s">
        <v>141</v>
      </c>
      <c r="B315" s="7" t="s">
        <v>142</v>
      </c>
      <c r="C315" s="7" t="s">
        <v>145</v>
      </c>
      <c r="D315" s="7" t="s">
        <v>146</v>
      </c>
      <c r="E315" s="7" t="s">
        <v>75</v>
      </c>
      <c r="F315" s="7" t="s">
        <v>76</v>
      </c>
      <c r="G315" s="7" t="s">
        <v>87</v>
      </c>
      <c r="H315" s="7" t="s">
        <v>88</v>
      </c>
      <c r="I315" s="8">
        <v>1</v>
      </c>
      <c r="J315" s="8">
        <v>20091</v>
      </c>
      <c r="K315" s="8">
        <v>99091</v>
      </c>
    </row>
    <row r="316" spans="1:11">
      <c r="A316" s="7" t="s">
        <v>141</v>
      </c>
      <c r="B316" s="7" t="s">
        <v>142</v>
      </c>
      <c r="C316" s="7" t="s">
        <v>145</v>
      </c>
      <c r="D316" s="7" t="s">
        <v>146</v>
      </c>
      <c r="E316" s="7" t="s">
        <v>83</v>
      </c>
      <c r="F316" s="7" t="s">
        <v>84</v>
      </c>
      <c r="G316" s="7" t="s">
        <v>77</v>
      </c>
      <c r="H316" s="7" t="s">
        <v>78</v>
      </c>
      <c r="I316" s="8">
        <v>25</v>
      </c>
      <c r="J316" s="8">
        <v>213299.41248900001</v>
      </c>
      <c r="K316" s="8">
        <v>720638</v>
      </c>
    </row>
    <row r="317" spans="1:11">
      <c r="A317" s="7" t="s">
        <v>141</v>
      </c>
      <c r="B317" s="7" t="s">
        <v>142</v>
      </c>
      <c r="C317" s="7" t="s">
        <v>145</v>
      </c>
      <c r="D317" s="7" t="s">
        <v>146</v>
      </c>
      <c r="E317" s="7" t="s">
        <v>83</v>
      </c>
      <c r="F317" s="7" t="s">
        <v>84</v>
      </c>
      <c r="G317" s="7" t="s">
        <v>79</v>
      </c>
      <c r="H317" s="7" t="s">
        <v>80</v>
      </c>
      <c r="I317" s="8">
        <v>25</v>
      </c>
      <c r="J317" s="8">
        <v>299831.10032999999</v>
      </c>
      <c r="K317" s="8">
        <v>612546</v>
      </c>
    </row>
    <row r="318" spans="1:11">
      <c r="A318" s="7" t="s">
        <v>141</v>
      </c>
      <c r="B318" s="7" t="s">
        <v>142</v>
      </c>
      <c r="C318" s="7" t="s">
        <v>145</v>
      </c>
      <c r="D318" s="7" t="s">
        <v>146</v>
      </c>
      <c r="E318" s="7" t="s">
        <v>83</v>
      </c>
      <c r="F318" s="7" t="s">
        <v>84</v>
      </c>
      <c r="G318" s="7" t="s">
        <v>81</v>
      </c>
      <c r="H318" s="7" t="s">
        <v>82</v>
      </c>
      <c r="I318" s="8">
        <v>80</v>
      </c>
      <c r="J318" s="8">
        <v>847402</v>
      </c>
      <c r="K318" s="8">
        <v>1815457</v>
      </c>
    </row>
    <row r="319" spans="1:11">
      <c r="A319" s="7" t="s">
        <v>141</v>
      </c>
      <c r="B319" s="7" t="s">
        <v>142</v>
      </c>
      <c r="C319" s="7" t="s">
        <v>145</v>
      </c>
      <c r="D319" s="7" t="s">
        <v>146</v>
      </c>
      <c r="E319" s="7" t="s">
        <v>83</v>
      </c>
      <c r="F319" s="7" t="s">
        <v>84</v>
      </c>
      <c r="G319" s="7" t="s">
        <v>85</v>
      </c>
      <c r="H319" s="7" t="s">
        <v>86</v>
      </c>
      <c r="I319" s="8">
        <v>28</v>
      </c>
      <c r="J319" s="8">
        <v>133971</v>
      </c>
      <c r="K319" s="8">
        <v>333271</v>
      </c>
    </row>
    <row r="320" spans="1:11">
      <c r="A320" s="7" t="s">
        <v>141</v>
      </c>
      <c r="B320" s="7" t="s">
        <v>142</v>
      </c>
      <c r="C320" s="7" t="s">
        <v>145</v>
      </c>
      <c r="D320" s="7" t="s">
        <v>146</v>
      </c>
      <c r="E320" s="7" t="s">
        <v>83</v>
      </c>
      <c r="F320" s="7" t="s">
        <v>84</v>
      </c>
      <c r="G320" s="7" t="s">
        <v>107</v>
      </c>
      <c r="H320" s="7" t="s">
        <v>108</v>
      </c>
      <c r="I320" s="8">
        <v>1</v>
      </c>
      <c r="J320" s="8">
        <v>-7600</v>
      </c>
      <c r="K320" s="8">
        <v>0</v>
      </c>
    </row>
    <row r="321" spans="1:11">
      <c r="A321" s="7" t="s">
        <v>141</v>
      </c>
      <c r="B321" s="7" t="s">
        <v>142</v>
      </c>
      <c r="C321" s="7" t="s">
        <v>145</v>
      </c>
      <c r="D321" s="7" t="s">
        <v>146</v>
      </c>
      <c r="E321" s="7" t="s">
        <v>83</v>
      </c>
      <c r="F321" s="7" t="s">
        <v>84</v>
      </c>
      <c r="G321" s="7" t="s">
        <v>87</v>
      </c>
      <c r="H321" s="7" t="s">
        <v>88</v>
      </c>
      <c r="I321" s="8">
        <v>5</v>
      </c>
      <c r="J321" s="8">
        <v>39599</v>
      </c>
      <c r="K321" s="8">
        <v>73999</v>
      </c>
    </row>
    <row r="322" spans="1:11">
      <c r="A322" s="7" t="s">
        <v>141</v>
      </c>
      <c r="B322" s="7" t="s">
        <v>142</v>
      </c>
      <c r="C322" s="7" t="s">
        <v>145</v>
      </c>
      <c r="D322" s="7" t="s">
        <v>146</v>
      </c>
      <c r="E322" s="7" t="s">
        <v>89</v>
      </c>
      <c r="F322" s="7" t="s">
        <v>90</v>
      </c>
      <c r="G322" s="7" t="s">
        <v>91</v>
      </c>
      <c r="H322" s="7" t="s">
        <v>90</v>
      </c>
      <c r="I322" s="8">
        <v>39</v>
      </c>
      <c r="J322" s="8">
        <v>0</v>
      </c>
      <c r="K322" s="8">
        <v>0</v>
      </c>
    </row>
    <row r="323" spans="1:11">
      <c r="A323" s="7" t="s">
        <v>141</v>
      </c>
      <c r="B323" s="7" t="s">
        <v>142</v>
      </c>
      <c r="C323" s="7" t="s">
        <v>145</v>
      </c>
      <c r="D323" s="7" t="s">
        <v>146</v>
      </c>
      <c r="E323" s="7" t="s">
        <v>92</v>
      </c>
      <c r="F323" s="7" t="s">
        <v>92</v>
      </c>
      <c r="G323" s="7" t="s">
        <v>92</v>
      </c>
      <c r="H323" s="7" t="s">
        <v>92</v>
      </c>
      <c r="I323" s="8">
        <v>-13405</v>
      </c>
      <c r="J323" s="8">
        <v>-243729</v>
      </c>
      <c r="K323" s="8">
        <v>-243729</v>
      </c>
    </row>
    <row r="324" spans="1:11">
      <c r="A324" s="7" t="s">
        <v>141</v>
      </c>
      <c r="B324" s="7" t="s">
        <v>142</v>
      </c>
      <c r="C324" s="7" t="s">
        <v>147</v>
      </c>
      <c r="D324" s="7" t="s">
        <v>148</v>
      </c>
      <c r="E324" s="7" t="s">
        <v>65</v>
      </c>
      <c r="F324" s="7" t="s">
        <v>66</v>
      </c>
      <c r="G324" s="7" t="s">
        <v>67</v>
      </c>
      <c r="H324" s="7" t="s">
        <v>68</v>
      </c>
      <c r="I324" s="8">
        <v>2</v>
      </c>
      <c r="J324" s="8">
        <v>388909</v>
      </c>
      <c r="K324" s="8">
        <v>3890909</v>
      </c>
    </row>
    <row r="325" spans="1:11">
      <c r="A325" s="7" t="s">
        <v>141</v>
      </c>
      <c r="B325" s="7" t="s">
        <v>142</v>
      </c>
      <c r="C325" s="7" t="s">
        <v>147</v>
      </c>
      <c r="D325" s="7" t="s">
        <v>148</v>
      </c>
      <c r="E325" s="7" t="s">
        <v>65</v>
      </c>
      <c r="F325" s="7" t="s">
        <v>66</v>
      </c>
      <c r="G325" s="7" t="s">
        <v>69</v>
      </c>
      <c r="H325" s="7" t="s">
        <v>36</v>
      </c>
      <c r="I325" s="8">
        <v>1</v>
      </c>
      <c r="J325" s="8">
        <v>67980</v>
      </c>
      <c r="K325" s="8">
        <v>900000</v>
      </c>
    </row>
    <row r="326" spans="1:11">
      <c r="A326" s="7" t="s">
        <v>141</v>
      </c>
      <c r="B326" s="7" t="s">
        <v>142</v>
      </c>
      <c r="C326" s="7" t="s">
        <v>147</v>
      </c>
      <c r="D326" s="7" t="s">
        <v>148</v>
      </c>
      <c r="E326" s="7" t="s">
        <v>65</v>
      </c>
      <c r="F326" s="7" t="s">
        <v>66</v>
      </c>
      <c r="G326" s="7" t="s">
        <v>70</v>
      </c>
      <c r="H326" s="7" t="s">
        <v>28</v>
      </c>
      <c r="I326" s="8">
        <v>21</v>
      </c>
      <c r="J326" s="8">
        <v>921271</v>
      </c>
      <c r="K326" s="8">
        <v>11517271</v>
      </c>
    </row>
    <row r="327" spans="1:11">
      <c r="A327" s="7" t="s">
        <v>141</v>
      </c>
      <c r="B327" s="7" t="s">
        <v>142</v>
      </c>
      <c r="C327" s="7" t="s">
        <v>147</v>
      </c>
      <c r="D327" s="7" t="s">
        <v>148</v>
      </c>
      <c r="E327" s="7" t="s">
        <v>65</v>
      </c>
      <c r="F327" s="7" t="s">
        <v>66</v>
      </c>
      <c r="G327" s="7" t="s">
        <v>97</v>
      </c>
      <c r="H327" s="7" t="s">
        <v>98</v>
      </c>
      <c r="I327" s="8">
        <v>2</v>
      </c>
      <c r="J327" s="8">
        <v>55272</v>
      </c>
      <c r="K327" s="8">
        <v>907272</v>
      </c>
    </row>
    <row r="328" spans="1:11">
      <c r="A328" s="7" t="s">
        <v>141</v>
      </c>
      <c r="B328" s="7" t="s">
        <v>142</v>
      </c>
      <c r="C328" s="7" t="s">
        <v>147</v>
      </c>
      <c r="D328" s="7" t="s">
        <v>148</v>
      </c>
      <c r="E328" s="7" t="s">
        <v>65</v>
      </c>
      <c r="F328" s="7" t="s">
        <v>66</v>
      </c>
      <c r="G328" s="7" t="s">
        <v>71</v>
      </c>
      <c r="H328" s="7" t="s">
        <v>72</v>
      </c>
      <c r="I328" s="8">
        <v>6</v>
      </c>
      <c r="J328" s="8">
        <v>215820</v>
      </c>
      <c r="K328" s="8">
        <v>3121820</v>
      </c>
    </row>
    <row r="329" spans="1:11">
      <c r="A329" s="7" t="s">
        <v>141</v>
      </c>
      <c r="B329" s="7" t="s">
        <v>142</v>
      </c>
      <c r="C329" s="7" t="s">
        <v>147</v>
      </c>
      <c r="D329" s="7" t="s">
        <v>148</v>
      </c>
      <c r="E329" s="7" t="s">
        <v>65</v>
      </c>
      <c r="F329" s="7" t="s">
        <v>66</v>
      </c>
      <c r="G329" s="7" t="s">
        <v>73</v>
      </c>
      <c r="H329" s="7" t="s">
        <v>74</v>
      </c>
      <c r="I329" s="8">
        <v>2</v>
      </c>
      <c r="J329" s="8">
        <v>148909</v>
      </c>
      <c r="K329" s="8">
        <v>1870909</v>
      </c>
    </row>
    <row r="330" spans="1:11">
      <c r="A330" s="7" t="s">
        <v>141</v>
      </c>
      <c r="B330" s="7" t="s">
        <v>142</v>
      </c>
      <c r="C330" s="7" t="s">
        <v>147</v>
      </c>
      <c r="D330" s="7" t="s">
        <v>148</v>
      </c>
      <c r="E330" s="7" t="s">
        <v>75</v>
      </c>
      <c r="F330" s="7" t="s">
        <v>76</v>
      </c>
      <c r="G330" s="7" t="s">
        <v>77</v>
      </c>
      <c r="H330" s="7" t="s">
        <v>78</v>
      </c>
      <c r="I330" s="8">
        <v>7</v>
      </c>
      <c r="J330" s="8">
        <v>59999.962327000001</v>
      </c>
      <c r="K330" s="8">
        <v>450000</v>
      </c>
    </row>
    <row r="331" spans="1:11">
      <c r="A331" s="7" t="s">
        <v>141</v>
      </c>
      <c r="B331" s="7" t="s">
        <v>142</v>
      </c>
      <c r="C331" s="7" t="s">
        <v>147</v>
      </c>
      <c r="D331" s="7" t="s">
        <v>148</v>
      </c>
      <c r="E331" s="7" t="s">
        <v>75</v>
      </c>
      <c r="F331" s="7" t="s">
        <v>76</v>
      </c>
      <c r="G331" s="7" t="s">
        <v>79</v>
      </c>
      <c r="H331" s="7" t="s">
        <v>80</v>
      </c>
      <c r="I331" s="8">
        <v>84</v>
      </c>
      <c r="J331" s="8">
        <v>2810471.5864840001</v>
      </c>
      <c r="K331" s="8">
        <v>11225450</v>
      </c>
    </row>
    <row r="332" spans="1:11">
      <c r="A332" s="7" t="s">
        <v>141</v>
      </c>
      <c r="B332" s="7" t="s">
        <v>142</v>
      </c>
      <c r="C332" s="7" t="s">
        <v>147</v>
      </c>
      <c r="D332" s="7" t="s">
        <v>148</v>
      </c>
      <c r="E332" s="7" t="s">
        <v>75</v>
      </c>
      <c r="F332" s="7" t="s">
        <v>76</v>
      </c>
      <c r="G332" s="7" t="s">
        <v>81</v>
      </c>
      <c r="H332" s="7" t="s">
        <v>82</v>
      </c>
      <c r="I332" s="8">
        <v>40</v>
      </c>
      <c r="J332" s="8">
        <v>455095.00838200003</v>
      </c>
      <c r="K332" s="8">
        <v>3659095</v>
      </c>
    </row>
    <row r="333" spans="1:11">
      <c r="A333" s="7" t="s">
        <v>141</v>
      </c>
      <c r="B333" s="7" t="s">
        <v>142</v>
      </c>
      <c r="C333" s="7" t="s">
        <v>147</v>
      </c>
      <c r="D333" s="7" t="s">
        <v>148</v>
      </c>
      <c r="E333" s="7" t="s">
        <v>75</v>
      </c>
      <c r="F333" s="7" t="s">
        <v>76</v>
      </c>
      <c r="G333" s="7" t="s">
        <v>87</v>
      </c>
      <c r="H333" s="7" t="s">
        <v>88</v>
      </c>
      <c r="I333" s="8">
        <v>6</v>
      </c>
      <c r="J333" s="8">
        <v>62366</v>
      </c>
      <c r="K333" s="8">
        <v>276366</v>
      </c>
    </row>
    <row r="334" spans="1:11">
      <c r="A334" s="7" t="s">
        <v>141</v>
      </c>
      <c r="B334" s="7" t="s">
        <v>142</v>
      </c>
      <c r="C334" s="7" t="s">
        <v>147</v>
      </c>
      <c r="D334" s="7" t="s">
        <v>148</v>
      </c>
      <c r="E334" s="7" t="s">
        <v>83</v>
      </c>
      <c r="F334" s="7" t="s">
        <v>84</v>
      </c>
      <c r="G334" s="7" t="s">
        <v>77</v>
      </c>
      <c r="H334" s="7" t="s">
        <v>78</v>
      </c>
      <c r="I334" s="8">
        <v>16</v>
      </c>
      <c r="J334" s="8">
        <v>156928</v>
      </c>
      <c r="K334" s="8">
        <v>425001</v>
      </c>
    </row>
    <row r="335" spans="1:11">
      <c r="A335" s="7" t="s">
        <v>141</v>
      </c>
      <c r="B335" s="7" t="s">
        <v>142</v>
      </c>
      <c r="C335" s="7" t="s">
        <v>147</v>
      </c>
      <c r="D335" s="7" t="s">
        <v>148</v>
      </c>
      <c r="E335" s="7" t="s">
        <v>83</v>
      </c>
      <c r="F335" s="7" t="s">
        <v>84</v>
      </c>
      <c r="G335" s="7" t="s">
        <v>79</v>
      </c>
      <c r="H335" s="7" t="s">
        <v>80</v>
      </c>
      <c r="I335" s="8">
        <v>18</v>
      </c>
      <c r="J335" s="8">
        <v>163901.95581000001</v>
      </c>
      <c r="K335" s="8">
        <v>405454</v>
      </c>
    </row>
    <row r="336" spans="1:11">
      <c r="A336" s="7" t="s">
        <v>141</v>
      </c>
      <c r="B336" s="7" t="s">
        <v>142</v>
      </c>
      <c r="C336" s="7" t="s">
        <v>147</v>
      </c>
      <c r="D336" s="7" t="s">
        <v>148</v>
      </c>
      <c r="E336" s="7" t="s">
        <v>83</v>
      </c>
      <c r="F336" s="7" t="s">
        <v>84</v>
      </c>
      <c r="G336" s="7" t="s">
        <v>81</v>
      </c>
      <c r="H336" s="7" t="s">
        <v>82</v>
      </c>
      <c r="I336" s="8">
        <v>62</v>
      </c>
      <c r="J336" s="8">
        <v>655292</v>
      </c>
      <c r="K336" s="8">
        <v>1409092</v>
      </c>
    </row>
    <row r="337" spans="1:11">
      <c r="A337" s="7" t="s">
        <v>141</v>
      </c>
      <c r="B337" s="7" t="s">
        <v>142</v>
      </c>
      <c r="C337" s="7" t="s">
        <v>147</v>
      </c>
      <c r="D337" s="7" t="s">
        <v>148</v>
      </c>
      <c r="E337" s="7" t="s">
        <v>83</v>
      </c>
      <c r="F337" s="7" t="s">
        <v>84</v>
      </c>
      <c r="G337" s="7" t="s">
        <v>85</v>
      </c>
      <c r="H337" s="7" t="s">
        <v>86</v>
      </c>
      <c r="I337" s="8">
        <v>46</v>
      </c>
      <c r="J337" s="8">
        <v>218622</v>
      </c>
      <c r="K337" s="8">
        <v>555722</v>
      </c>
    </row>
    <row r="338" spans="1:11">
      <c r="A338" s="7" t="s">
        <v>141</v>
      </c>
      <c r="B338" s="7" t="s">
        <v>142</v>
      </c>
      <c r="C338" s="7" t="s">
        <v>147</v>
      </c>
      <c r="D338" s="7" t="s">
        <v>148</v>
      </c>
      <c r="E338" s="7" t="s">
        <v>83</v>
      </c>
      <c r="F338" s="7" t="s">
        <v>84</v>
      </c>
      <c r="G338" s="7" t="s">
        <v>87</v>
      </c>
      <c r="H338" s="7" t="s">
        <v>88</v>
      </c>
      <c r="I338" s="8">
        <v>4</v>
      </c>
      <c r="J338" s="8">
        <v>34191</v>
      </c>
      <c r="K338" s="8">
        <v>77091</v>
      </c>
    </row>
    <row r="339" spans="1:11">
      <c r="A339" s="7" t="s">
        <v>141</v>
      </c>
      <c r="B339" s="7" t="s">
        <v>142</v>
      </c>
      <c r="C339" s="7" t="s">
        <v>147</v>
      </c>
      <c r="D339" s="7" t="s">
        <v>148</v>
      </c>
      <c r="E339" s="7" t="s">
        <v>89</v>
      </c>
      <c r="F339" s="7" t="s">
        <v>90</v>
      </c>
      <c r="G339" s="7" t="s">
        <v>91</v>
      </c>
      <c r="H339" s="7" t="s">
        <v>90</v>
      </c>
      <c r="I339" s="8">
        <v>28</v>
      </c>
      <c r="J339" s="8">
        <v>3164.693268</v>
      </c>
      <c r="K339" s="8">
        <v>15916</v>
      </c>
    </row>
    <row r="340" spans="1:11">
      <c r="A340" s="7" t="s">
        <v>141</v>
      </c>
      <c r="B340" s="7" t="s">
        <v>142</v>
      </c>
      <c r="C340" s="7" t="s">
        <v>147</v>
      </c>
      <c r="D340" s="7" t="s">
        <v>148</v>
      </c>
      <c r="E340" s="7" t="s">
        <v>92</v>
      </c>
      <c r="F340" s="7" t="s">
        <v>92</v>
      </c>
      <c r="G340" s="7" t="s">
        <v>92</v>
      </c>
      <c r="H340" s="7" t="s">
        <v>92</v>
      </c>
      <c r="I340" s="8">
        <v>-9080</v>
      </c>
      <c r="J340" s="8">
        <v>-165091</v>
      </c>
      <c r="K340" s="8">
        <v>-165091</v>
      </c>
    </row>
    <row r="341" spans="1:11">
      <c r="A341" s="7" t="s">
        <v>141</v>
      </c>
      <c r="B341" s="7" t="s">
        <v>142</v>
      </c>
      <c r="C341" s="7" t="s">
        <v>149</v>
      </c>
      <c r="D341" s="7" t="s">
        <v>150</v>
      </c>
      <c r="E341" s="7" t="s">
        <v>65</v>
      </c>
      <c r="F341" s="7" t="s">
        <v>66</v>
      </c>
      <c r="G341" s="7" t="s">
        <v>67</v>
      </c>
      <c r="H341" s="7" t="s">
        <v>68</v>
      </c>
      <c r="I341" s="8">
        <v>2</v>
      </c>
      <c r="J341" s="8">
        <v>388909</v>
      </c>
      <c r="K341" s="8">
        <v>3890909</v>
      </c>
    </row>
    <row r="342" spans="1:11">
      <c r="A342" s="7" t="s">
        <v>141</v>
      </c>
      <c r="B342" s="7" t="s">
        <v>142</v>
      </c>
      <c r="C342" s="7" t="s">
        <v>149</v>
      </c>
      <c r="D342" s="7" t="s">
        <v>150</v>
      </c>
      <c r="E342" s="7" t="s">
        <v>65</v>
      </c>
      <c r="F342" s="7" t="s">
        <v>66</v>
      </c>
      <c r="G342" s="7" t="s">
        <v>69</v>
      </c>
      <c r="H342" s="7" t="s">
        <v>36</v>
      </c>
      <c r="I342" s="8">
        <v>2</v>
      </c>
      <c r="J342" s="8">
        <v>219971</v>
      </c>
      <c r="K342" s="8">
        <v>2909091</v>
      </c>
    </row>
    <row r="343" spans="1:11">
      <c r="A343" s="7" t="s">
        <v>141</v>
      </c>
      <c r="B343" s="7" t="s">
        <v>142</v>
      </c>
      <c r="C343" s="7" t="s">
        <v>149</v>
      </c>
      <c r="D343" s="7" t="s">
        <v>150</v>
      </c>
      <c r="E343" s="7" t="s">
        <v>65</v>
      </c>
      <c r="F343" s="7" t="s">
        <v>66</v>
      </c>
      <c r="G343" s="7" t="s">
        <v>70</v>
      </c>
      <c r="H343" s="7" t="s">
        <v>28</v>
      </c>
      <c r="I343" s="8">
        <v>24</v>
      </c>
      <c r="J343" s="8">
        <v>1026907</v>
      </c>
      <c r="K343" s="8">
        <v>13150907</v>
      </c>
    </row>
    <row r="344" spans="1:11">
      <c r="A344" s="7" t="s">
        <v>141</v>
      </c>
      <c r="B344" s="7" t="s">
        <v>142</v>
      </c>
      <c r="C344" s="7" t="s">
        <v>149</v>
      </c>
      <c r="D344" s="7" t="s">
        <v>150</v>
      </c>
      <c r="E344" s="7" t="s">
        <v>65</v>
      </c>
      <c r="F344" s="7" t="s">
        <v>66</v>
      </c>
      <c r="G344" s="7" t="s">
        <v>97</v>
      </c>
      <c r="H344" s="7" t="s">
        <v>98</v>
      </c>
      <c r="I344" s="8">
        <v>7</v>
      </c>
      <c r="J344" s="8">
        <v>193453</v>
      </c>
      <c r="K344" s="8">
        <v>3175453</v>
      </c>
    </row>
    <row r="345" spans="1:11">
      <c r="A345" s="7" t="s">
        <v>141</v>
      </c>
      <c r="B345" s="7" t="s">
        <v>142</v>
      </c>
      <c r="C345" s="7" t="s">
        <v>149</v>
      </c>
      <c r="D345" s="7" t="s">
        <v>150</v>
      </c>
      <c r="E345" s="7" t="s">
        <v>65</v>
      </c>
      <c r="F345" s="7" t="s">
        <v>66</v>
      </c>
      <c r="G345" s="7" t="s">
        <v>71</v>
      </c>
      <c r="H345" s="7" t="s">
        <v>72</v>
      </c>
      <c r="I345" s="8">
        <v>7</v>
      </c>
      <c r="J345" s="8">
        <v>249820</v>
      </c>
      <c r="K345" s="8">
        <v>3611820</v>
      </c>
    </row>
    <row r="346" spans="1:11">
      <c r="A346" s="7" t="s">
        <v>141</v>
      </c>
      <c r="B346" s="7" t="s">
        <v>142</v>
      </c>
      <c r="C346" s="7" t="s">
        <v>149</v>
      </c>
      <c r="D346" s="7" t="s">
        <v>150</v>
      </c>
      <c r="E346" s="7" t="s">
        <v>65</v>
      </c>
      <c r="F346" s="7" t="s">
        <v>66</v>
      </c>
      <c r="G346" s="7" t="s">
        <v>73</v>
      </c>
      <c r="H346" s="7" t="s">
        <v>74</v>
      </c>
      <c r="I346" s="8">
        <v>2</v>
      </c>
      <c r="J346" s="8">
        <v>159092</v>
      </c>
      <c r="K346" s="8">
        <v>1989092</v>
      </c>
    </row>
    <row r="347" spans="1:11">
      <c r="A347" s="7" t="s">
        <v>141</v>
      </c>
      <c r="B347" s="7" t="s">
        <v>142</v>
      </c>
      <c r="C347" s="7" t="s">
        <v>149</v>
      </c>
      <c r="D347" s="7" t="s">
        <v>150</v>
      </c>
      <c r="E347" s="7" t="s">
        <v>75</v>
      </c>
      <c r="F347" s="7" t="s">
        <v>76</v>
      </c>
      <c r="G347" s="7" t="s">
        <v>77</v>
      </c>
      <c r="H347" s="7" t="s">
        <v>78</v>
      </c>
      <c r="I347" s="8">
        <v>5</v>
      </c>
      <c r="J347" s="8">
        <v>45271.99727</v>
      </c>
      <c r="K347" s="8">
        <v>337272</v>
      </c>
    </row>
    <row r="348" spans="1:11">
      <c r="A348" s="7" t="s">
        <v>141</v>
      </c>
      <c r="B348" s="7" t="s">
        <v>142</v>
      </c>
      <c r="C348" s="7" t="s">
        <v>149</v>
      </c>
      <c r="D348" s="7" t="s">
        <v>150</v>
      </c>
      <c r="E348" s="7" t="s">
        <v>75</v>
      </c>
      <c r="F348" s="7" t="s">
        <v>76</v>
      </c>
      <c r="G348" s="7" t="s">
        <v>79</v>
      </c>
      <c r="H348" s="7" t="s">
        <v>80</v>
      </c>
      <c r="I348" s="8">
        <v>79</v>
      </c>
      <c r="J348" s="8">
        <v>2701998.424658</v>
      </c>
      <c r="K348" s="8">
        <v>10796356</v>
      </c>
    </row>
    <row r="349" spans="1:11">
      <c r="A349" s="7" t="s">
        <v>141</v>
      </c>
      <c r="B349" s="7" t="s">
        <v>142</v>
      </c>
      <c r="C349" s="7" t="s">
        <v>149</v>
      </c>
      <c r="D349" s="7" t="s">
        <v>150</v>
      </c>
      <c r="E349" s="7" t="s">
        <v>75</v>
      </c>
      <c r="F349" s="7" t="s">
        <v>76</v>
      </c>
      <c r="G349" s="7" t="s">
        <v>81</v>
      </c>
      <c r="H349" s="7" t="s">
        <v>82</v>
      </c>
      <c r="I349" s="8">
        <v>34</v>
      </c>
      <c r="J349" s="8">
        <v>405275.039666</v>
      </c>
      <c r="K349" s="8">
        <v>3257275</v>
      </c>
    </row>
    <row r="350" spans="1:11">
      <c r="A350" s="7" t="s">
        <v>141</v>
      </c>
      <c r="B350" s="7" t="s">
        <v>142</v>
      </c>
      <c r="C350" s="7" t="s">
        <v>149</v>
      </c>
      <c r="D350" s="7" t="s">
        <v>150</v>
      </c>
      <c r="E350" s="7" t="s">
        <v>75</v>
      </c>
      <c r="F350" s="7" t="s">
        <v>76</v>
      </c>
      <c r="G350" s="7" t="s">
        <v>87</v>
      </c>
      <c r="H350" s="7" t="s">
        <v>88</v>
      </c>
      <c r="I350" s="8">
        <v>1</v>
      </c>
      <c r="J350" s="8">
        <v>8455</v>
      </c>
      <c r="K350" s="8">
        <v>35455</v>
      </c>
    </row>
    <row r="351" spans="1:11">
      <c r="A351" s="7" t="s">
        <v>141</v>
      </c>
      <c r="B351" s="7" t="s">
        <v>142</v>
      </c>
      <c r="C351" s="7" t="s">
        <v>149</v>
      </c>
      <c r="D351" s="7" t="s">
        <v>150</v>
      </c>
      <c r="E351" s="7" t="s">
        <v>83</v>
      </c>
      <c r="F351" s="7" t="s">
        <v>84</v>
      </c>
      <c r="G351" s="7" t="s">
        <v>77</v>
      </c>
      <c r="H351" s="7" t="s">
        <v>78</v>
      </c>
      <c r="I351" s="8">
        <v>15</v>
      </c>
      <c r="J351" s="8">
        <v>136864</v>
      </c>
      <c r="K351" s="8">
        <v>383183</v>
      </c>
    </row>
    <row r="352" spans="1:11">
      <c r="A352" s="7" t="s">
        <v>141</v>
      </c>
      <c r="B352" s="7" t="s">
        <v>142</v>
      </c>
      <c r="C352" s="7" t="s">
        <v>149</v>
      </c>
      <c r="D352" s="7" t="s">
        <v>150</v>
      </c>
      <c r="E352" s="7" t="s">
        <v>83</v>
      </c>
      <c r="F352" s="7" t="s">
        <v>84</v>
      </c>
      <c r="G352" s="7" t="s">
        <v>79</v>
      </c>
      <c r="H352" s="7" t="s">
        <v>80</v>
      </c>
      <c r="I352" s="8">
        <v>31</v>
      </c>
      <c r="J352" s="8">
        <v>296119.40471999999</v>
      </c>
      <c r="K352" s="8">
        <v>594638</v>
      </c>
    </row>
    <row r="353" spans="1:11">
      <c r="A353" s="7" t="s">
        <v>141</v>
      </c>
      <c r="B353" s="7" t="s">
        <v>142</v>
      </c>
      <c r="C353" s="7" t="s">
        <v>149</v>
      </c>
      <c r="D353" s="7" t="s">
        <v>150</v>
      </c>
      <c r="E353" s="7" t="s">
        <v>83</v>
      </c>
      <c r="F353" s="7" t="s">
        <v>84</v>
      </c>
      <c r="G353" s="7" t="s">
        <v>81</v>
      </c>
      <c r="H353" s="7" t="s">
        <v>82</v>
      </c>
      <c r="I353" s="8">
        <v>75</v>
      </c>
      <c r="J353" s="8">
        <v>848235</v>
      </c>
      <c r="K353" s="8">
        <v>1794362</v>
      </c>
    </row>
    <row r="354" spans="1:11">
      <c r="A354" s="7" t="s">
        <v>141</v>
      </c>
      <c r="B354" s="7" t="s">
        <v>142</v>
      </c>
      <c r="C354" s="7" t="s">
        <v>149</v>
      </c>
      <c r="D354" s="7" t="s">
        <v>150</v>
      </c>
      <c r="E354" s="7" t="s">
        <v>83</v>
      </c>
      <c r="F354" s="7" t="s">
        <v>84</v>
      </c>
      <c r="G354" s="7" t="s">
        <v>85</v>
      </c>
      <c r="H354" s="7" t="s">
        <v>86</v>
      </c>
      <c r="I354" s="8">
        <v>24</v>
      </c>
      <c r="J354" s="8">
        <v>106798</v>
      </c>
      <c r="K354" s="8">
        <v>280998</v>
      </c>
    </row>
    <row r="355" spans="1:11">
      <c r="A355" s="7" t="s">
        <v>141</v>
      </c>
      <c r="B355" s="7" t="s">
        <v>142</v>
      </c>
      <c r="C355" s="7" t="s">
        <v>149</v>
      </c>
      <c r="D355" s="7" t="s">
        <v>150</v>
      </c>
      <c r="E355" s="7" t="s">
        <v>83</v>
      </c>
      <c r="F355" s="7" t="s">
        <v>84</v>
      </c>
      <c r="G355" s="7" t="s">
        <v>107</v>
      </c>
      <c r="H355" s="7" t="s">
        <v>108</v>
      </c>
      <c r="I355" s="8">
        <v>1</v>
      </c>
      <c r="J355" s="8">
        <v>13045</v>
      </c>
      <c r="K355" s="8">
        <v>32545</v>
      </c>
    </row>
    <row r="356" spans="1:11">
      <c r="A356" s="7" t="s">
        <v>141</v>
      </c>
      <c r="B356" s="7" t="s">
        <v>142</v>
      </c>
      <c r="C356" s="7" t="s">
        <v>149</v>
      </c>
      <c r="D356" s="7" t="s">
        <v>150</v>
      </c>
      <c r="E356" s="7" t="s">
        <v>83</v>
      </c>
      <c r="F356" s="7" t="s">
        <v>84</v>
      </c>
      <c r="G356" s="7" t="s">
        <v>87</v>
      </c>
      <c r="H356" s="7" t="s">
        <v>88</v>
      </c>
      <c r="I356" s="8">
        <v>5</v>
      </c>
      <c r="J356" s="8">
        <v>33466</v>
      </c>
      <c r="K356" s="8">
        <v>76000</v>
      </c>
    </row>
    <row r="357" spans="1:11">
      <c r="A357" s="7" t="s">
        <v>141</v>
      </c>
      <c r="B357" s="7" t="s">
        <v>142</v>
      </c>
      <c r="C357" s="7" t="s">
        <v>149</v>
      </c>
      <c r="D357" s="7" t="s">
        <v>150</v>
      </c>
      <c r="E357" s="7" t="s">
        <v>89</v>
      </c>
      <c r="F357" s="7" t="s">
        <v>90</v>
      </c>
      <c r="G357" s="7" t="s">
        <v>91</v>
      </c>
      <c r="H357" s="7" t="s">
        <v>90</v>
      </c>
      <c r="I357" s="8">
        <v>39</v>
      </c>
      <c r="J357" s="8">
        <v>0</v>
      </c>
      <c r="K357" s="8">
        <v>0</v>
      </c>
    </row>
    <row r="358" spans="1:11">
      <c r="A358" s="7" t="s">
        <v>141</v>
      </c>
      <c r="B358" s="7" t="s">
        <v>142</v>
      </c>
      <c r="C358" s="7" t="s">
        <v>149</v>
      </c>
      <c r="D358" s="7" t="s">
        <v>150</v>
      </c>
      <c r="E358" s="7" t="s">
        <v>92</v>
      </c>
      <c r="F358" s="7" t="s">
        <v>92</v>
      </c>
      <c r="G358" s="7" t="s">
        <v>92</v>
      </c>
      <c r="H358" s="7" t="s">
        <v>92</v>
      </c>
      <c r="I358" s="8">
        <v>-8017</v>
      </c>
      <c r="J358" s="8">
        <v>-145764</v>
      </c>
      <c r="K358" s="8">
        <v>-145764</v>
      </c>
    </row>
    <row r="359" spans="1:11">
      <c r="A359" s="7" t="s">
        <v>151</v>
      </c>
      <c r="B359" s="7" t="s">
        <v>152</v>
      </c>
      <c r="C359" s="7" t="s">
        <v>153</v>
      </c>
      <c r="D359" s="7" t="s">
        <v>154</v>
      </c>
      <c r="E359" s="7" t="s">
        <v>65</v>
      </c>
      <c r="F359" s="7" t="s">
        <v>66</v>
      </c>
      <c r="G359" s="7" t="s">
        <v>70</v>
      </c>
      <c r="H359" s="7" t="s">
        <v>28</v>
      </c>
      <c r="I359" s="8">
        <v>1</v>
      </c>
      <c r="J359" s="8">
        <v>42364</v>
      </c>
      <c r="K359" s="8">
        <v>526364</v>
      </c>
    </row>
    <row r="360" spans="1:11">
      <c r="A360" s="7" t="s">
        <v>151</v>
      </c>
      <c r="B360" s="7" t="s">
        <v>152</v>
      </c>
      <c r="C360" s="7" t="s">
        <v>153</v>
      </c>
      <c r="D360" s="7" t="s">
        <v>154</v>
      </c>
      <c r="E360" s="7" t="s">
        <v>65</v>
      </c>
      <c r="F360" s="7" t="s">
        <v>66</v>
      </c>
      <c r="G360" s="7" t="s">
        <v>71</v>
      </c>
      <c r="H360" s="7" t="s">
        <v>72</v>
      </c>
      <c r="I360" s="8">
        <v>1</v>
      </c>
      <c r="J360" s="8">
        <v>34000</v>
      </c>
      <c r="K360" s="8">
        <v>490000</v>
      </c>
    </row>
    <row r="361" spans="1:11">
      <c r="A361" s="7" t="s">
        <v>151</v>
      </c>
      <c r="B361" s="7" t="s">
        <v>152</v>
      </c>
      <c r="C361" s="7" t="s">
        <v>153</v>
      </c>
      <c r="D361" s="7" t="s">
        <v>154</v>
      </c>
      <c r="E361" s="7" t="s">
        <v>75</v>
      </c>
      <c r="F361" s="7" t="s">
        <v>76</v>
      </c>
      <c r="G361" s="7" t="s">
        <v>77</v>
      </c>
      <c r="H361" s="7" t="s">
        <v>78</v>
      </c>
      <c r="I361" s="8">
        <v>1</v>
      </c>
      <c r="J361" s="8">
        <v>10908.998635</v>
      </c>
      <c r="K361" s="8">
        <v>80909</v>
      </c>
    </row>
    <row r="362" spans="1:11">
      <c r="A362" s="7" t="s">
        <v>151</v>
      </c>
      <c r="B362" s="7" t="s">
        <v>152</v>
      </c>
      <c r="C362" s="7" t="s">
        <v>153</v>
      </c>
      <c r="D362" s="7" t="s">
        <v>154</v>
      </c>
      <c r="E362" s="7" t="s">
        <v>75</v>
      </c>
      <c r="F362" s="7" t="s">
        <v>76</v>
      </c>
      <c r="G362" s="7" t="s">
        <v>79</v>
      </c>
      <c r="H362" s="7" t="s">
        <v>80</v>
      </c>
      <c r="I362" s="8">
        <v>5</v>
      </c>
      <c r="J362" s="8">
        <v>179363</v>
      </c>
      <c r="K362" s="8">
        <v>716363</v>
      </c>
    </row>
    <row r="363" spans="1:11">
      <c r="A363" s="7" t="s">
        <v>151</v>
      </c>
      <c r="B363" s="7" t="s">
        <v>152</v>
      </c>
      <c r="C363" s="7" t="s">
        <v>153</v>
      </c>
      <c r="D363" s="7" t="s">
        <v>154</v>
      </c>
      <c r="E363" s="7" t="s">
        <v>83</v>
      </c>
      <c r="F363" s="7" t="s">
        <v>84</v>
      </c>
      <c r="G363" s="7" t="s">
        <v>77</v>
      </c>
      <c r="H363" s="7" t="s">
        <v>78</v>
      </c>
      <c r="I363" s="8">
        <v>11</v>
      </c>
      <c r="J363" s="8">
        <v>167725</v>
      </c>
      <c r="K363" s="8">
        <v>439634</v>
      </c>
    </row>
    <row r="364" spans="1:11">
      <c r="A364" s="7" t="s">
        <v>151</v>
      </c>
      <c r="B364" s="7" t="s">
        <v>152</v>
      </c>
      <c r="C364" s="7" t="s">
        <v>153</v>
      </c>
      <c r="D364" s="7" t="s">
        <v>154</v>
      </c>
      <c r="E364" s="7" t="s">
        <v>83</v>
      </c>
      <c r="F364" s="7" t="s">
        <v>84</v>
      </c>
      <c r="G364" s="7" t="s">
        <v>79</v>
      </c>
      <c r="H364" s="7" t="s">
        <v>80</v>
      </c>
      <c r="I364" s="8">
        <v>6</v>
      </c>
      <c r="J364" s="8">
        <v>29090.924210000001</v>
      </c>
      <c r="K364" s="8">
        <v>97000</v>
      </c>
    </row>
    <row r="365" spans="1:11">
      <c r="A365" s="7" t="s">
        <v>151</v>
      </c>
      <c r="B365" s="7" t="s">
        <v>152</v>
      </c>
      <c r="C365" s="7" t="s">
        <v>153</v>
      </c>
      <c r="D365" s="7" t="s">
        <v>154</v>
      </c>
      <c r="E365" s="7" t="s">
        <v>83</v>
      </c>
      <c r="F365" s="7" t="s">
        <v>84</v>
      </c>
      <c r="G365" s="7" t="s">
        <v>81</v>
      </c>
      <c r="H365" s="7" t="s">
        <v>82</v>
      </c>
      <c r="I365" s="8">
        <v>2</v>
      </c>
      <c r="J365" s="8">
        <v>6209</v>
      </c>
      <c r="K365" s="8">
        <v>14909</v>
      </c>
    </row>
    <row r="366" spans="1:11">
      <c r="A366" s="7" t="s">
        <v>151</v>
      </c>
      <c r="B366" s="7" t="s">
        <v>152</v>
      </c>
      <c r="C366" s="7" t="s">
        <v>153</v>
      </c>
      <c r="D366" s="7" t="s">
        <v>154</v>
      </c>
      <c r="E366" s="7" t="s">
        <v>83</v>
      </c>
      <c r="F366" s="7" t="s">
        <v>84</v>
      </c>
      <c r="G366" s="7" t="s">
        <v>85</v>
      </c>
      <c r="H366" s="7" t="s">
        <v>86</v>
      </c>
      <c r="I366" s="8">
        <v>5</v>
      </c>
      <c r="J366" s="8">
        <v>23854</v>
      </c>
      <c r="K366" s="8">
        <v>61454</v>
      </c>
    </row>
    <row r="367" spans="1:11">
      <c r="A367" s="7" t="s">
        <v>151</v>
      </c>
      <c r="B367" s="7" t="s">
        <v>152</v>
      </c>
      <c r="C367" s="7" t="s">
        <v>153</v>
      </c>
      <c r="D367" s="7" t="s">
        <v>154</v>
      </c>
      <c r="E367" s="7" t="s">
        <v>83</v>
      </c>
      <c r="F367" s="7" t="s">
        <v>84</v>
      </c>
      <c r="G367" s="7" t="s">
        <v>87</v>
      </c>
      <c r="H367" s="7" t="s">
        <v>88</v>
      </c>
      <c r="I367" s="8">
        <v>3</v>
      </c>
      <c r="J367" s="8">
        <v>35999</v>
      </c>
      <c r="K367" s="8">
        <v>77999</v>
      </c>
    </row>
    <row r="368" spans="1:11">
      <c r="A368" s="7" t="s">
        <v>151</v>
      </c>
      <c r="B368" s="7" t="s">
        <v>152</v>
      </c>
      <c r="C368" s="7" t="s">
        <v>153</v>
      </c>
      <c r="D368" s="7" t="s">
        <v>154</v>
      </c>
      <c r="E368" s="7" t="s">
        <v>89</v>
      </c>
      <c r="F368" s="7" t="s">
        <v>90</v>
      </c>
      <c r="G368" s="7" t="s">
        <v>91</v>
      </c>
      <c r="H368" s="7" t="s">
        <v>90</v>
      </c>
      <c r="I368" s="8">
        <v>2</v>
      </c>
      <c r="J368" s="8">
        <v>0</v>
      </c>
      <c r="K368" s="8">
        <v>0</v>
      </c>
    </row>
    <row r="369" spans="1:11">
      <c r="A369" s="7" t="s">
        <v>151</v>
      </c>
      <c r="B369" s="7" t="s">
        <v>152</v>
      </c>
      <c r="C369" s="7" t="s">
        <v>153</v>
      </c>
      <c r="D369" s="7" t="s">
        <v>154</v>
      </c>
      <c r="E369" s="7" t="s">
        <v>92</v>
      </c>
      <c r="F369" s="7" t="s">
        <v>92</v>
      </c>
      <c r="G369" s="7" t="s">
        <v>92</v>
      </c>
      <c r="H369" s="7" t="s">
        <v>92</v>
      </c>
      <c r="I369" s="8">
        <v>-29101</v>
      </c>
      <c r="J369" s="8">
        <v>-529106</v>
      </c>
      <c r="K369" s="8">
        <v>-529106</v>
      </c>
    </row>
    <row r="370" spans="1:11">
      <c r="A370" s="7" t="s">
        <v>151</v>
      </c>
      <c r="B370" s="7" t="s">
        <v>152</v>
      </c>
      <c r="C370" s="7" t="s">
        <v>155</v>
      </c>
      <c r="D370" s="7" t="s">
        <v>156</v>
      </c>
      <c r="E370" s="7" t="s">
        <v>65</v>
      </c>
      <c r="F370" s="7" t="s">
        <v>66</v>
      </c>
      <c r="G370" s="7" t="s">
        <v>67</v>
      </c>
      <c r="H370" s="7" t="s">
        <v>68</v>
      </c>
      <c r="I370" s="8">
        <v>2</v>
      </c>
      <c r="J370" s="8">
        <v>444727</v>
      </c>
      <c r="K370" s="8">
        <v>4447727</v>
      </c>
    </row>
    <row r="371" spans="1:11">
      <c r="A371" s="7" t="s">
        <v>151</v>
      </c>
      <c r="B371" s="7" t="s">
        <v>152</v>
      </c>
      <c r="C371" s="7" t="s">
        <v>155</v>
      </c>
      <c r="D371" s="7" t="s">
        <v>156</v>
      </c>
      <c r="E371" s="7" t="s">
        <v>65</v>
      </c>
      <c r="F371" s="7" t="s">
        <v>66</v>
      </c>
      <c r="G371" s="7" t="s">
        <v>69</v>
      </c>
      <c r="H371" s="7" t="s">
        <v>36</v>
      </c>
      <c r="I371" s="8">
        <v>12</v>
      </c>
      <c r="J371" s="8">
        <v>1195872</v>
      </c>
      <c r="K371" s="8">
        <v>15827272</v>
      </c>
    </row>
    <row r="372" spans="1:11">
      <c r="A372" s="7" t="s">
        <v>151</v>
      </c>
      <c r="B372" s="7" t="s">
        <v>152</v>
      </c>
      <c r="C372" s="7" t="s">
        <v>155</v>
      </c>
      <c r="D372" s="7" t="s">
        <v>156</v>
      </c>
      <c r="E372" s="7" t="s">
        <v>65</v>
      </c>
      <c r="F372" s="7" t="s">
        <v>66</v>
      </c>
      <c r="G372" s="7" t="s">
        <v>70</v>
      </c>
      <c r="H372" s="7" t="s">
        <v>28</v>
      </c>
      <c r="I372" s="8">
        <v>18</v>
      </c>
      <c r="J372" s="8">
        <v>745181</v>
      </c>
      <c r="K372" s="8">
        <v>9338181</v>
      </c>
    </row>
    <row r="373" spans="1:11">
      <c r="A373" s="7" t="s">
        <v>151</v>
      </c>
      <c r="B373" s="7" t="s">
        <v>152</v>
      </c>
      <c r="C373" s="7" t="s">
        <v>155</v>
      </c>
      <c r="D373" s="7" t="s">
        <v>156</v>
      </c>
      <c r="E373" s="7" t="s">
        <v>65</v>
      </c>
      <c r="F373" s="7" t="s">
        <v>66</v>
      </c>
      <c r="G373" s="7" t="s">
        <v>97</v>
      </c>
      <c r="H373" s="7" t="s">
        <v>98</v>
      </c>
      <c r="I373" s="8">
        <v>5</v>
      </c>
      <c r="J373" s="8">
        <v>138180</v>
      </c>
      <c r="K373" s="8">
        <v>2268180</v>
      </c>
    </row>
    <row r="374" spans="1:11">
      <c r="A374" s="7" t="s">
        <v>151</v>
      </c>
      <c r="B374" s="7" t="s">
        <v>152</v>
      </c>
      <c r="C374" s="7" t="s">
        <v>155</v>
      </c>
      <c r="D374" s="7" t="s">
        <v>156</v>
      </c>
      <c r="E374" s="7" t="s">
        <v>65</v>
      </c>
      <c r="F374" s="7" t="s">
        <v>66</v>
      </c>
      <c r="G374" s="7" t="s">
        <v>71</v>
      </c>
      <c r="H374" s="7" t="s">
        <v>72</v>
      </c>
      <c r="I374" s="8">
        <v>13</v>
      </c>
      <c r="J374" s="8">
        <v>450093</v>
      </c>
      <c r="K374" s="8">
        <v>6479093</v>
      </c>
    </row>
    <row r="375" spans="1:11">
      <c r="A375" s="7" t="s">
        <v>151</v>
      </c>
      <c r="B375" s="7" t="s">
        <v>152</v>
      </c>
      <c r="C375" s="7" t="s">
        <v>155</v>
      </c>
      <c r="D375" s="7" t="s">
        <v>156</v>
      </c>
      <c r="E375" s="7" t="s">
        <v>65</v>
      </c>
      <c r="F375" s="7" t="s">
        <v>66</v>
      </c>
      <c r="G375" s="7" t="s">
        <v>73</v>
      </c>
      <c r="H375" s="7" t="s">
        <v>74</v>
      </c>
      <c r="I375" s="8">
        <v>5</v>
      </c>
      <c r="J375" s="8">
        <v>475999</v>
      </c>
      <c r="K375" s="8">
        <v>5949999</v>
      </c>
    </row>
    <row r="376" spans="1:11">
      <c r="A376" s="7" t="s">
        <v>151</v>
      </c>
      <c r="B376" s="7" t="s">
        <v>152</v>
      </c>
      <c r="C376" s="7" t="s">
        <v>155</v>
      </c>
      <c r="D376" s="7" t="s">
        <v>156</v>
      </c>
      <c r="E376" s="7" t="s">
        <v>75</v>
      </c>
      <c r="F376" s="7" t="s">
        <v>76</v>
      </c>
      <c r="G376" s="7" t="s">
        <v>77</v>
      </c>
      <c r="H376" s="7" t="s">
        <v>78</v>
      </c>
      <c r="I376" s="8">
        <v>9</v>
      </c>
      <c r="J376" s="8">
        <v>97089.984488999995</v>
      </c>
      <c r="K376" s="8">
        <v>741090</v>
      </c>
    </row>
    <row r="377" spans="1:11">
      <c r="A377" s="7" t="s">
        <v>151</v>
      </c>
      <c r="B377" s="7" t="s">
        <v>152</v>
      </c>
      <c r="C377" s="7" t="s">
        <v>155</v>
      </c>
      <c r="D377" s="7" t="s">
        <v>156</v>
      </c>
      <c r="E377" s="7" t="s">
        <v>75</v>
      </c>
      <c r="F377" s="7" t="s">
        <v>76</v>
      </c>
      <c r="G377" s="7" t="s">
        <v>79</v>
      </c>
      <c r="H377" s="7" t="s">
        <v>80</v>
      </c>
      <c r="I377" s="8">
        <v>118</v>
      </c>
      <c r="J377" s="8">
        <v>3847108.7566550002</v>
      </c>
      <c r="K377" s="8">
        <v>15421081</v>
      </c>
    </row>
    <row r="378" spans="1:11">
      <c r="A378" s="7" t="s">
        <v>151</v>
      </c>
      <c r="B378" s="7" t="s">
        <v>152</v>
      </c>
      <c r="C378" s="7" t="s">
        <v>155</v>
      </c>
      <c r="D378" s="7" t="s">
        <v>156</v>
      </c>
      <c r="E378" s="7" t="s">
        <v>75</v>
      </c>
      <c r="F378" s="7" t="s">
        <v>76</v>
      </c>
      <c r="G378" s="7" t="s">
        <v>81</v>
      </c>
      <c r="H378" s="7" t="s">
        <v>82</v>
      </c>
      <c r="I378" s="8">
        <v>35</v>
      </c>
      <c r="J378" s="8">
        <v>544910.10340200004</v>
      </c>
      <c r="K378" s="8">
        <v>2940910</v>
      </c>
    </row>
    <row r="379" spans="1:11">
      <c r="A379" s="7" t="s">
        <v>151</v>
      </c>
      <c r="B379" s="7" t="s">
        <v>152</v>
      </c>
      <c r="C379" s="7" t="s">
        <v>155</v>
      </c>
      <c r="D379" s="7" t="s">
        <v>156</v>
      </c>
      <c r="E379" s="7" t="s">
        <v>75</v>
      </c>
      <c r="F379" s="7" t="s">
        <v>76</v>
      </c>
      <c r="G379" s="7" t="s">
        <v>99</v>
      </c>
      <c r="H379" s="7" t="s">
        <v>100</v>
      </c>
      <c r="I379" s="8">
        <v>1</v>
      </c>
      <c r="J379" s="8">
        <v>11545</v>
      </c>
      <c r="K379" s="8">
        <v>44545</v>
      </c>
    </row>
    <row r="380" spans="1:11">
      <c r="A380" s="7" t="s">
        <v>151</v>
      </c>
      <c r="B380" s="7" t="s">
        <v>152</v>
      </c>
      <c r="C380" s="7" t="s">
        <v>155</v>
      </c>
      <c r="D380" s="7" t="s">
        <v>156</v>
      </c>
      <c r="E380" s="7" t="s">
        <v>75</v>
      </c>
      <c r="F380" s="7" t="s">
        <v>76</v>
      </c>
      <c r="G380" s="7" t="s">
        <v>87</v>
      </c>
      <c r="H380" s="7" t="s">
        <v>88</v>
      </c>
      <c r="I380" s="8">
        <v>2</v>
      </c>
      <c r="J380" s="8">
        <v>28546</v>
      </c>
      <c r="K380" s="8">
        <v>134546</v>
      </c>
    </row>
    <row r="381" spans="1:11">
      <c r="A381" s="7" t="s">
        <v>151</v>
      </c>
      <c r="B381" s="7" t="s">
        <v>152</v>
      </c>
      <c r="C381" s="7" t="s">
        <v>155</v>
      </c>
      <c r="D381" s="7" t="s">
        <v>156</v>
      </c>
      <c r="E381" s="7" t="s">
        <v>83</v>
      </c>
      <c r="F381" s="7" t="s">
        <v>84</v>
      </c>
      <c r="G381" s="7" t="s">
        <v>77</v>
      </c>
      <c r="H381" s="7" t="s">
        <v>78</v>
      </c>
      <c r="I381" s="8">
        <v>20</v>
      </c>
      <c r="J381" s="8">
        <v>201316</v>
      </c>
      <c r="K381" s="8">
        <v>603816</v>
      </c>
    </row>
    <row r="382" spans="1:11">
      <c r="A382" s="7" t="s">
        <v>151</v>
      </c>
      <c r="B382" s="7" t="s">
        <v>152</v>
      </c>
      <c r="C382" s="7" t="s">
        <v>155</v>
      </c>
      <c r="D382" s="7" t="s">
        <v>156</v>
      </c>
      <c r="E382" s="7" t="s">
        <v>83</v>
      </c>
      <c r="F382" s="7" t="s">
        <v>84</v>
      </c>
      <c r="G382" s="7" t="s">
        <v>79</v>
      </c>
      <c r="H382" s="7" t="s">
        <v>80</v>
      </c>
      <c r="I382" s="8">
        <v>44</v>
      </c>
      <c r="J382" s="8">
        <v>540715.28636200004</v>
      </c>
      <c r="K382" s="8">
        <v>1102184</v>
      </c>
    </row>
    <row r="383" spans="1:11">
      <c r="A383" s="7" t="s">
        <v>151</v>
      </c>
      <c r="B383" s="7" t="s">
        <v>152</v>
      </c>
      <c r="C383" s="7" t="s">
        <v>155</v>
      </c>
      <c r="D383" s="7" t="s">
        <v>156</v>
      </c>
      <c r="E383" s="7" t="s">
        <v>83</v>
      </c>
      <c r="F383" s="7" t="s">
        <v>84</v>
      </c>
      <c r="G383" s="7" t="s">
        <v>81</v>
      </c>
      <c r="H383" s="7" t="s">
        <v>82</v>
      </c>
      <c r="I383" s="8">
        <v>74</v>
      </c>
      <c r="J383" s="8">
        <v>886894</v>
      </c>
      <c r="K383" s="8">
        <v>1845094</v>
      </c>
    </row>
    <row r="384" spans="1:11">
      <c r="A384" s="7" t="s">
        <v>151</v>
      </c>
      <c r="B384" s="7" t="s">
        <v>152</v>
      </c>
      <c r="C384" s="7" t="s">
        <v>155</v>
      </c>
      <c r="D384" s="7" t="s">
        <v>156</v>
      </c>
      <c r="E384" s="7" t="s">
        <v>83</v>
      </c>
      <c r="F384" s="7" t="s">
        <v>84</v>
      </c>
      <c r="G384" s="7" t="s">
        <v>85</v>
      </c>
      <c r="H384" s="7" t="s">
        <v>86</v>
      </c>
      <c r="I384" s="8">
        <v>41</v>
      </c>
      <c r="J384" s="8">
        <v>205007</v>
      </c>
      <c r="K384" s="8">
        <v>528725</v>
      </c>
    </row>
    <row r="385" spans="1:11">
      <c r="A385" s="7" t="s">
        <v>151</v>
      </c>
      <c r="B385" s="7" t="s">
        <v>152</v>
      </c>
      <c r="C385" s="7" t="s">
        <v>155</v>
      </c>
      <c r="D385" s="7" t="s">
        <v>156</v>
      </c>
      <c r="E385" s="7" t="s">
        <v>83</v>
      </c>
      <c r="F385" s="7" t="s">
        <v>84</v>
      </c>
      <c r="G385" s="7" t="s">
        <v>87</v>
      </c>
      <c r="H385" s="7" t="s">
        <v>88</v>
      </c>
      <c r="I385" s="8">
        <v>6</v>
      </c>
      <c r="J385" s="8">
        <v>60922</v>
      </c>
      <c r="K385" s="8">
        <v>120272</v>
      </c>
    </row>
    <row r="386" spans="1:11">
      <c r="A386" s="7" t="s">
        <v>151</v>
      </c>
      <c r="B386" s="7" t="s">
        <v>152</v>
      </c>
      <c r="C386" s="7" t="s">
        <v>155</v>
      </c>
      <c r="D386" s="7" t="s">
        <v>156</v>
      </c>
      <c r="E386" s="7" t="s">
        <v>89</v>
      </c>
      <c r="F386" s="7" t="s">
        <v>90</v>
      </c>
      <c r="G386" s="7" t="s">
        <v>91</v>
      </c>
      <c r="H386" s="7" t="s">
        <v>90</v>
      </c>
      <c r="I386" s="8">
        <v>2</v>
      </c>
      <c r="J386" s="8">
        <v>0</v>
      </c>
      <c r="K386" s="8">
        <v>0</v>
      </c>
    </row>
    <row r="387" spans="1:11">
      <c r="A387" s="7" t="s">
        <v>151</v>
      </c>
      <c r="B387" s="7" t="s">
        <v>152</v>
      </c>
      <c r="C387" s="7" t="s">
        <v>155</v>
      </c>
      <c r="D387" s="7" t="s">
        <v>156</v>
      </c>
      <c r="E387" s="7" t="s">
        <v>92</v>
      </c>
      <c r="F387" s="7" t="s">
        <v>92</v>
      </c>
      <c r="G387" s="7" t="s">
        <v>92</v>
      </c>
      <c r="H387" s="7" t="s">
        <v>92</v>
      </c>
      <c r="I387" s="8">
        <v>-3297</v>
      </c>
      <c r="J387" s="8">
        <v>-59945</v>
      </c>
      <c r="K387" s="8">
        <v>-59945</v>
      </c>
    </row>
    <row r="388" spans="1:11">
      <c r="A388" s="7" t="s">
        <v>151</v>
      </c>
      <c r="B388" s="7" t="s">
        <v>152</v>
      </c>
      <c r="C388" s="7" t="s">
        <v>157</v>
      </c>
      <c r="D388" s="7" t="s">
        <v>158</v>
      </c>
      <c r="E388" s="7" t="s">
        <v>65</v>
      </c>
      <c r="F388" s="7" t="s">
        <v>66</v>
      </c>
      <c r="G388" s="7" t="s">
        <v>67</v>
      </c>
      <c r="H388" s="7" t="s">
        <v>68</v>
      </c>
      <c r="I388" s="8">
        <v>8</v>
      </c>
      <c r="J388" s="8">
        <v>2156091</v>
      </c>
      <c r="K388" s="8">
        <v>21559091</v>
      </c>
    </row>
    <row r="389" spans="1:11">
      <c r="A389" s="7" t="s">
        <v>151</v>
      </c>
      <c r="B389" s="7" t="s">
        <v>152</v>
      </c>
      <c r="C389" s="7" t="s">
        <v>157</v>
      </c>
      <c r="D389" s="7" t="s">
        <v>158</v>
      </c>
      <c r="E389" s="7" t="s">
        <v>65</v>
      </c>
      <c r="F389" s="7" t="s">
        <v>66</v>
      </c>
      <c r="G389" s="7" t="s">
        <v>69</v>
      </c>
      <c r="H389" s="7" t="s">
        <v>36</v>
      </c>
      <c r="I389" s="8">
        <v>4</v>
      </c>
      <c r="J389" s="8">
        <v>318761</v>
      </c>
      <c r="K389" s="8">
        <v>4218181</v>
      </c>
    </row>
    <row r="390" spans="1:11">
      <c r="A390" s="7" t="s">
        <v>151</v>
      </c>
      <c r="B390" s="7" t="s">
        <v>152</v>
      </c>
      <c r="C390" s="7" t="s">
        <v>157</v>
      </c>
      <c r="D390" s="7" t="s">
        <v>158</v>
      </c>
      <c r="E390" s="7" t="s">
        <v>65</v>
      </c>
      <c r="F390" s="7" t="s">
        <v>66</v>
      </c>
      <c r="G390" s="7" t="s">
        <v>70</v>
      </c>
      <c r="H390" s="7" t="s">
        <v>28</v>
      </c>
      <c r="I390" s="8">
        <v>18</v>
      </c>
      <c r="J390" s="8">
        <v>830362</v>
      </c>
      <c r="K390" s="8">
        <v>10356362</v>
      </c>
    </row>
    <row r="391" spans="1:11">
      <c r="A391" s="7" t="s">
        <v>151</v>
      </c>
      <c r="B391" s="7" t="s">
        <v>152</v>
      </c>
      <c r="C391" s="7" t="s">
        <v>157</v>
      </c>
      <c r="D391" s="7" t="s">
        <v>158</v>
      </c>
      <c r="E391" s="7" t="s">
        <v>65</v>
      </c>
      <c r="F391" s="7" t="s">
        <v>66</v>
      </c>
      <c r="G391" s="7" t="s">
        <v>97</v>
      </c>
      <c r="H391" s="7" t="s">
        <v>98</v>
      </c>
      <c r="I391" s="8">
        <v>5</v>
      </c>
      <c r="J391" s="8">
        <v>138180</v>
      </c>
      <c r="K391" s="8">
        <v>2268180</v>
      </c>
    </row>
    <row r="392" spans="1:11">
      <c r="A392" s="7" t="s">
        <v>151</v>
      </c>
      <c r="B392" s="7" t="s">
        <v>152</v>
      </c>
      <c r="C392" s="7" t="s">
        <v>157</v>
      </c>
      <c r="D392" s="7" t="s">
        <v>158</v>
      </c>
      <c r="E392" s="7" t="s">
        <v>65</v>
      </c>
      <c r="F392" s="7" t="s">
        <v>66</v>
      </c>
      <c r="G392" s="7" t="s">
        <v>71</v>
      </c>
      <c r="H392" s="7" t="s">
        <v>72</v>
      </c>
      <c r="I392" s="8">
        <v>13</v>
      </c>
      <c r="J392" s="8">
        <v>470368</v>
      </c>
      <c r="K392" s="8">
        <v>6806368</v>
      </c>
    </row>
    <row r="393" spans="1:11">
      <c r="A393" s="7" t="s">
        <v>151</v>
      </c>
      <c r="B393" s="7" t="s">
        <v>152</v>
      </c>
      <c r="C393" s="7" t="s">
        <v>157</v>
      </c>
      <c r="D393" s="7" t="s">
        <v>158</v>
      </c>
      <c r="E393" s="7" t="s">
        <v>65</v>
      </c>
      <c r="F393" s="7" t="s">
        <v>66</v>
      </c>
      <c r="G393" s="7" t="s">
        <v>73</v>
      </c>
      <c r="H393" s="7" t="s">
        <v>74</v>
      </c>
      <c r="I393" s="8">
        <v>26</v>
      </c>
      <c r="J393" s="8">
        <v>2182903</v>
      </c>
      <c r="K393" s="8">
        <v>27330903</v>
      </c>
    </row>
    <row r="394" spans="1:11">
      <c r="A394" s="7" t="s">
        <v>151</v>
      </c>
      <c r="B394" s="7" t="s">
        <v>152</v>
      </c>
      <c r="C394" s="7" t="s">
        <v>157</v>
      </c>
      <c r="D394" s="7" t="s">
        <v>158</v>
      </c>
      <c r="E394" s="7" t="s">
        <v>75</v>
      </c>
      <c r="F394" s="7" t="s">
        <v>76</v>
      </c>
      <c r="G394" s="7" t="s">
        <v>77</v>
      </c>
      <c r="H394" s="7" t="s">
        <v>78</v>
      </c>
      <c r="I394" s="8">
        <v>15</v>
      </c>
      <c r="J394" s="8">
        <v>159451.986102</v>
      </c>
      <c r="K394" s="8">
        <v>1217452</v>
      </c>
    </row>
    <row r="395" spans="1:11">
      <c r="A395" s="7" t="s">
        <v>151</v>
      </c>
      <c r="B395" s="7" t="s">
        <v>152</v>
      </c>
      <c r="C395" s="7" t="s">
        <v>157</v>
      </c>
      <c r="D395" s="7" t="s">
        <v>158</v>
      </c>
      <c r="E395" s="7" t="s">
        <v>75</v>
      </c>
      <c r="F395" s="7" t="s">
        <v>76</v>
      </c>
      <c r="G395" s="7" t="s">
        <v>79</v>
      </c>
      <c r="H395" s="7" t="s">
        <v>80</v>
      </c>
      <c r="I395" s="8">
        <v>125</v>
      </c>
      <c r="J395" s="8">
        <v>4303088.3438149998</v>
      </c>
      <c r="K395" s="8">
        <v>17155449</v>
      </c>
    </row>
    <row r="396" spans="1:11">
      <c r="A396" s="7" t="s">
        <v>151</v>
      </c>
      <c r="B396" s="7" t="s">
        <v>152</v>
      </c>
      <c r="C396" s="7" t="s">
        <v>157</v>
      </c>
      <c r="D396" s="7" t="s">
        <v>158</v>
      </c>
      <c r="E396" s="7" t="s">
        <v>75</v>
      </c>
      <c r="F396" s="7" t="s">
        <v>76</v>
      </c>
      <c r="G396" s="7" t="s">
        <v>81</v>
      </c>
      <c r="H396" s="7" t="s">
        <v>82</v>
      </c>
      <c r="I396" s="8">
        <v>52</v>
      </c>
      <c r="J396" s="8">
        <v>905733.17463000002</v>
      </c>
      <c r="K396" s="8">
        <v>5292733</v>
      </c>
    </row>
    <row r="397" spans="1:11">
      <c r="A397" s="7" t="s">
        <v>151</v>
      </c>
      <c r="B397" s="7" t="s">
        <v>152</v>
      </c>
      <c r="C397" s="7" t="s">
        <v>157</v>
      </c>
      <c r="D397" s="7" t="s">
        <v>158</v>
      </c>
      <c r="E397" s="7" t="s">
        <v>75</v>
      </c>
      <c r="F397" s="7" t="s">
        <v>76</v>
      </c>
      <c r="G397" s="7" t="s">
        <v>87</v>
      </c>
      <c r="H397" s="7" t="s">
        <v>88</v>
      </c>
      <c r="I397" s="8">
        <v>3</v>
      </c>
      <c r="J397" s="8">
        <v>53273</v>
      </c>
      <c r="K397" s="8">
        <v>257273</v>
      </c>
    </row>
    <row r="398" spans="1:11">
      <c r="A398" s="7" t="s">
        <v>151</v>
      </c>
      <c r="B398" s="7" t="s">
        <v>152</v>
      </c>
      <c r="C398" s="7" t="s">
        <v>157</v>
      </c>
      <c r="D398" s="7" t="s">
        <v>158</v>
      </c>
      <c r="E398" s="7" t="s">
        <v>83</v>
      </c>
      <c r="F398" s="7" t="s">
        <v>84</v>
      </c>
      <c r="G398" s="7" t="s">
        <v>77</v>
      </c>
      <c r="H398" s="7" t="s">
        <v>78</v>
      </c>
      <c r="I398" s="8">
        <v>23</v>
      </c>
      <c r="J398" s="8">
        <v>265950.24148500001</v>
      </c>
      <c r="K398" s="8">
        <v>755291</v>
      </c>
    </row>
    <row r="399" spans="1:11">
      <c r="A399" s="7" t="s">
        <v>151</v>
      </c>
      <c r="B399" s="7" t="s">
        <v>152</v>
      </c>
      <c r="C399" s="7" t="s">
        <v>157</v>
      </c>
      <c r="D399" s="7" t="s">
        <v>158</v>
      </c>
      <c r="E399" s="7" t="s">
        <v>83</v>
      </c>
      <c r="F399" s="7" t="s">
        <v>84</v>
      </c>
      <c r="G399" s="7" t="s">
        <v>79</v>
      </c>
      <c r="H399" s="7" t="s">
        <v>80</v>
      </c>
      <c r="I399" s="8">
        <v>44</v>
      </c>
      <c r="J399" s="8">
        <v>561654.88533299998</v>
      </c>
      <c r="K399" s="8">
        <v>1009999</v>
      </c>
    </row>
    <row r="400" spans="1:11">
      <c r="A400" s="7" t="s">
        <v>151</v>
      </c>
      <c r="B400" s="7" t="s">
        <v>152</v>
      </c>
      <c r="C400" s="7" t="s">
        <v>157</v>
      </c>
      <c r="D400" s="7" t="s">
        <v>158</v>
      </c>
      <c r="E400" s="7" t="s">
        <v>83</v>
      </c>
      <c r="F400" s="7" t="s">
        <v>84</v>
      </c>
      <c r="G400" s="7" t="s">
        <v>81</v>
      </c>
      <c r="H400" s="7" t="s">
        <v>82</v>
      </c>
      <c r="I400" s="8">
        <v>61</v>
      </c>
      <c r="J400" s="8">
        <v>651192</v>
      </c>
      <c r="K400" s="8">
        <v>1403092</v>
      </c>
    </row>
    <row r="401" spans="1:11">
      <c r="A401" s="7" t="s">
        <v>151</v>
      </c>
      <c r="B401" s="7" t="s">
        <v>152</v>
      </c>
      <c r="C401" s="7" t="s">
        <v>157</v>
      </c>
      <c r="D401" s="7" t="s">
        <v>158</v>
      </c>
      <c r="E401" s="7" t="s">
        <v>83</v>
      </c>
      <c r="F401" s="7" t="s">
        <v>84</v>
      </c>
      <c r="G401" s="7" t="s">
        <v>101</v>
      </c>
      <c r="H401" s="7" t="s">
        <v>102</v>
      </c>
      <c r="I401" s="8">
        <v>2</v>
      </c>
      <c r="J401" s="8">
        <v>43964</v>
      </c>
      <c r="K401" s="8">
        <v>154364</v>
      </c>
    </row>
    <row r="402" spans="1:11">
      <c r="A402" s="7" t="s">
        <v>151</v>
      </c>
      <c r="B402" s="7" t="s">
        <v>152</v>
      </c>
      <c r="C402" s="7" t="s">
        <v>157</v>
      </c>
      <c r="D402" s="7" t="s">
        <v>158</v>
      </c>
      <c r="E402" s="7" t="s">
        <v>83</v>
      </c>
      <c r="F402" s="7" t="s">
        <v>84</v>
      </c>
      <c r="G402" s="7" t="s">
        <v>85</v>
      </c>
      <c r="H402" s="7" t="s">
        <v>86</v>
      </c>
      <c r="I402" s="8">
        <v>45</v>
      </c>
      <c r="J402" s="8">
        <v>238130</v>
      </c>
      <c r="K402" s="8">
        <v>622090</v>
      </c>
    </row>
    <row r="403" spans="1:11">
      <c r="A403" s="7" t="s">
        <v>151</v>
      </c>
      <c r="B403" s="7" t="s">
        <v>152</v>
      </c>
      <c r="C403" s="7" t="s">
        <v>157</v>
      </c>
      <c r="D403" s="7" t="s">
        <v>158</v>
      </c>
      <c r="E403" s="7" t="s">
        <v>83</v>
      </c>
      <c r="F403" s="7" t="s">
        <v>84</v>
      </c>
      <c r="G403" s="7" t="s">
        <v>107</v>
      </c>
      <c r="H403" s="7" t="s">
        <v>108</v>
      </c>
      <c r="I403" s="8">
        <v>1</v>
      </c>
      <c r="J403" s="8">
        <v>35473</v>
      </c>
      <c r="K403" s="8">
        <v>117273</v>
      </c>
    </row>
    <row r="404" spans="1:11">
      <c r="A404" s="7" t="s">
        <v>151</v>
      </c>
      <c r="B404" s="7" t="s">
        <v>152</v>
      </c>
      <c r="C404" s="7" t="s">
        <v>157</v>
      </c>
      <c r="D404" s="7" t="s">
        <v>158</v>
      </c>
      <c r="E404" s="7" t="s">
        <v>83</v>
      </c>
      <c r="F404" s="7" t="s">
        <v>84</v>
      </c>
      <c r="G404" s="7" t="s">
        <v>87</v>
      </c>
      <c r="H404" s="7" t="s">
        <v>88</v>
      </c>
      <c r="I404" s="8">
        <v>8</v>
      </c>
      <c r="J404" s="8">
        <v>70677</v>
      </c>
      <c r="K404" s="8">
        <v>145727</v>
      </c>
    </row>
    <row r="405" spans="1:11">
      <c r="A405" s="7" t="s">
        <v>151</v>
      </c>
      <c r="B405" s="7" t="s">
        <v>152</v>
      </c>
      <c r="C405" s="7" t="s">
        <v>157</v>
      </c>
      <c r="D405" s="7" t="s">
        <v>158</v>
      </c>
      <c r="E405" s="7" t="s">
        <v>89</v>
      </c>
      <c r="F405" s="7" t="s">
        <v>90</v>
      </c>
      <c r="G405" s="7" t="s">
        <v>91</v>
      </c>
      <c r="H405" s="7" t="s">
        <v>90</v>
      </c>
      <c r="I405" s="8">
        <v>2</v>
      </c>
      <c r="J405" s="8">
        <v>3546</v>
      </c>
      <c r="K405" s="8">
        <v>14546</v>
      </c>
    </row>
    <row r="406" spans="1:11">
      <c r="A406" s="7" t="s">
        <v>151</v>
      </c>
      <c r="B406" s="7" t="s">
        <v>152</v>
      </c>
      <c r="C406" s="7" t="s">
        <v>157</v>
      </c>
      <c r="D406" s="7" t="s">
        <v>158</v>
      </c>
      <c r="E406" s="7" t="s">
        <v>92</v>
      </c>
      <c r="F406" s="7" t="s">
        <v>92</v>
      </c>
      <c r="G406" s="7" t="s">
        <v>92</v>
      </c>
      <c r="H406" s="7" t="s">
        <v>92</v>
      </c>
      <c r="I406" s="8">
        <v>-8548</v>
      </c>
      <c r="J406" s="8">
        <v>-155418</v>
      </c>
      <c r="K406" s="8">
        <v>-155418</v>
      </c>
    </row>
    <row r="407" spans="1:11">
      <c r="A407" s="7" t="s">
        <v>151</v>
      </c>
      <c r="B407" s="7" t="s">
        <v>152</v>
      </c>
      <c r="C407" s="7" t="s">
        <v>159</v>
      </c>
      <c r="D407" s="7" t="s">
        <v>160</v>
      </c>
      <c r="E407" s="7" t="s">
        <v>65</v>
      </c>
      <c r="F407" s="7" t="s">
        <v>66</v>
      </c>
      <c r="G407" s="7" t="s">
        <v>67</v>
      </c>
      <c r="H407" s="7" t="s">
        <v>68</v>
      </c>
      <c r="I407" s="8">
        <v>7</v>
      </c>
      <c r="J407" s="8">
        <v>1715636</v>
      </c>
      <c r="K407" s="8">
        <v>17163636</v>
      </c>
    </row>
    <row r="408" spans="1:11">
      <c r="A408" s="7" t="s">
        <v>151</v>
      </c>
      <c r="B408" s="7" t="s">
        <v>152</v>
      </c>
      <c r="C408" s="7" t="s">
        <v>159</v>
      </c>
      <c r="D408" s="7" t="s">
        <v>160</v>
      </c>
      <c r="E408" s="7" t="s">
        <v>65</v>
      </c>
      <c r="F408" s="7" t="s">
        <v>66</v>
      </c>
      <c r="G408" s="7" t="s">
        <v>69</v>
      </c>
      <c r="H408" s="7" t="s">
        <v>36</v>
      </c>
      <c r="I408" s="8">
        <v>7</v>
      </c>
      <c r="J408" s="8">
        <v>679801</v>
      </c>
      <c r="K408" s="8">
        <v>9000001</v>
      </c>
    </row>
    <row r="409" spans="1:11">
      <c r="A409" s="7" t="s">
        <v>151</v>
      </c>
      <c r="B409" s="7" t="s">
        <v>152</v>
      </c>
      <c r="C409" s="7" t="s">
        <v>159</v>
      </c>
      <c r="D409" s="7" t="s">
        <v>160</v>
      </c>
      <c r="E409" s="7" t="s">
        <v>65</v>
      </c>
      <c r="F409" s="7" t="s">
        <v>66</v>
      </c>
      <c r="G409" s="7" t="s">
        <v>70</v>
      </c>
      <c r="H409" s="7" t="s">
        <v>28</v>
      </c>
      <c r="I409" s="8">
        <v>36</v>
      </c>
      <c r="J409" s="8">
        <v>1649221.9411760001</v>
      </c>
      <c r="K409" s="8">
        <v>20876369</v>
      </c>
    </row>
    <row r="410" spans="1:11">
      <c r="A410" s="7" t="s">
        <v>151</v>
      </c>
      <c r="B410" s="7" t="s">
        <v>152</v>
      </c>
      <c r="C410" s="7" t="s">
        <v>159</v>
      </c>
      <c r="D410" s="7" t="s">
        <v>160</v>
      </c>
      <c r="E410" s="7" t="s">
        <v>65</v>
      </c>
      <c r="F410" s="7" t="s">
        <v>66</v>
      </c>
      <c r="G410" s="7" t="s">
        <v>97</v>
      </c>
      <c r="H410" s="7" t="s">
        <v>98</v>
      </c>
      <c r="I410" s="8">
        <v>6</v>
      </c>
      <c r="J410" s="8">
        <v>165816</v>
      </c>
      <c r="K410" s="8">
        <v>2721816</v>
      </c>
    </row>
    <row r="411" spans="1:11">
      <c r="A411" s="7" t="s">
        <v>151</v>
      </c>
      <c r="B411" s="7" t="s">
        <v>152</v>
      </c>
      <c r="C411" s="7" t="s">
        <v>159</v>
      </c>
      <c r="D411" s="7" t="s">
        <v>160</v>
      </c>
      <c r="E411" s="7" t="s">
        <v>65</v>
      </c>
      <c r="F411" s="7" t="s">
        <v>66</v>
      </c>
      <c r="G411" s="7" t="s">
        <v>71</v>
      </c>
      <c r="H411" s="7" t="s">
        <v>72</v>
      </c>
      <c r="I411" s="8">
        <v>13</v>
      </c>
      <c r="J411" s="8">
        <v>410639</v>
      </c>
      <c r="K411" s="8">
        <v>5933639</v>
      </c>
    </row>
    <row r="412" spans="1:11">
      <c r="A412" s="7" t="s">
        <v>151</v>
      </c>
      <c r="B412" s="7" t="s">
        <v>152</v>
      </c>
      <c r="C412" s="7" t="s">
        <v>159</v>
      </c>
      <c r="D412" s="7" t="s">
        <v>160</v>
      </c>
      <c r="E412" s="7" t="s">
        <v>65</v>
      </c>
      <c r="F412" s="7" t="s">
        <v>66</v>
      </c>
      <c r="G412" s="7" t="s">
        <v>73</v>
      </c>
      <c r="H412" s="7" t="s">
        <v>74</v>
      </c>
      <c r="I412" s="8">
        <v>11</v>
      </c>
      <c r="J412" s="8">
        <v>972724</v>
      </c>
      <c r="K412" s="8">
        <v>12162724</v>
      </c>
    </row>
    <row r="413" spans="1:11">
      <c r="A413" s="7" t="s">
        <v>151</v>
      </c>
      <c r="B413" s="7" t="s">
        <v>152</v>
      </c>
      <c r="C413" s="7" t="s">
        <v>159</v>
      </c>
      <c r="D413" s="7" t="s">
        <v>160</v>
      </c>
      <c r="E413" s="7" t="s">
        <v>75</v>
      </c>
      <c r="F413" s="7" t="s">
        <v>76</v>
      </c>
      <c r="G413" s="7" t="s">
        <v>77</v>
      </c>
      <c r="H413" s="7" t="s">
        <v>78</v>
      </c>
      <c r="I413" s="8">
        <v>17</v>
      </c>
      <c r="J413" s="8">
        <v>275997.98746700003</v>
      </c>
      <c r="K413" s="8">
        <v>1593998</v>
      </c>
    </row>
    <row r="414" spans="1:11">
      <c r="A414" s="7" t="s">
        <v>151</v>
      </c>
      <c r="B414" s="7" t="s">
        <v>152</v>
      </c>
      <c r="C414" s="7" t="s">
        <v>159</v>
      </c>
      <c r="D414" s="7" t="s">
        <v>160</v>
      </c>
      <c r="E414" s="7" t="s">
        <v>75</v>
      </c>
      <c r="F414" s="7" t="s">
        <v>76</v>
      </c>
      <c r="G414" s="7" t="s">
        <v>79</v>
      </c>
      <c r="H414" s="7" t="s">
        <v>80</v>
      </c>
      <c r="I414" s="8">
        <v>119</v>
      </c>
      <c r="J414" s="8">
        <v>3776012.5894690002</v>
      </c>
      <c r="K414" s="8">
        <v>15049991</v>
      </c>
    </row>
    <row r="415" spans="1:11">
      <c r="A415" s="7" t="s">
        <v>151</v>
      </c>
      <c r="B415" s="7" t="s">
        <v>152</v>
      </c>
      <c r="C415" s="7" t="s">
        <v>159</v>
      </c>
      <c r="D415" s="7" t="s">
        <v>160</v>
      </c>
      <c r="E415" s="7" t="s">
        <v>75</v>
      </c>
      <c r="F415" s="7" t="s">
        <v>76</v>
      </c>
      <c r="G415" s="7" t="s">
        <v>81</v>
      </c>
      <c r="H415" s="7" t="s">
        <v>82</v>
      </c>
      <c r="I415" s="8">
        <v>73</v>
      </c>
      <c r="J415" s="8">
        <v>1220547.1733939999</v>
      </c>
      <c r="K415" s="8">
        <v>6974547</v>
      </c>
    </row>
    <row r="416" spans="1:11">
      <c r="A416" s="7" t="s">
        <v>151</v>
      </c>
      <c r="B416" s="7" t="s">
        <v>152</v>
      </c>
      <c r="C416" s="7" t="s">
        <v>159</v>
      </c>
      <c r="D416" s="7" t="s">
        <v>160</v>
      </c>
      <c r="E416" s="7" t="s">
        <v>75</v>
      </c>
      <c r="F416" s="7" t="s">
        <v>76</v>
      </c>
      <c r="G416" s="7" t="s">
        <v>99</v>
      </c>
      <c r="H416" s="7" t="s">
        <v>100</v>
      </c>
      <c r="I416" s="8">
        <v>1</v>
      </c>
      <c r="J416" s="8">
        <v>11545</v>
      </c>
      <c r="K416" s="8">
        <v>44545</v>
      </c>
    </row>
    <row r="417" spans="1:11">
      <c r="A417" s="7" t="s">
        <v>151</v>
      </c>
      <c r="B417" s="7" t="s">
        <v>152</v>
      </c>
      <c r="C417" s="7" t="s">
        <v>159</v>
      </c>
      <c r="D417" s="7" t="s">
        <v>160</v>
      </c>
      <c r="E417" s="7" t="s">
        <v>75</v>
      </c>
      <c r="F417" s="7" t="s">
        <v>76</v>
      </c>
      <c r="G417" s="7" t="s">
        <v>87</v>
      </c>
      <c r="H417" s="7" t="s">
        <v>88</v>
      </c>
      <c r="I417" s="8">
        <v>5</v>
      </c>
      <c r="J417" s="8">
        <v>58547</v>
      </c>
      <c r="K417" s="8">
        <v>264547</v>
      </c>
    </row>
    <row r="418" spans="1:11">
      <c r="A418" s="7" t="s">
        <v>151</v>
      </c>
      <c r="B418" s="7" t="s">
        <v>152</v>
      </c>
      <c r="C418" s="7" t="s">
        <v>159</v>
      </c>
      <c r="D418" s="7" t="s">
        <v>160</v>
      </c>
      <c r="E418" s="7" t="s">
        <v>83</v>
      </c>
      <c r="F418" s="7" t="s">
        <v>84</v>
      </c>
      <c r="G418" s="7" t="s">
        <v>77</v>
      </c>
      <c r="H418" s="7" t="s">
        <v>78</v>
      </c>
      <c r="I418" s="8">
        <v>31</v>
      </c>
      <c r="J418" s="8">
        <v>300916</v>
      </c>
      <c r="K418" s="8">
        <v>898362</v>
      </c>
    </row>
    <row r="419" spans="1:11">
      <c r="A419" s="7" t="s">
        <v>151</v>
      </c>
      <c r="B419" s="7" t="s">
        <v>152</v>
      </c>
      <c r="C419" s="7" t="s">
        <v>159</v>
      </c>
      <c r="D419" s="7" t="s">
        <v>160</v>
      </c>
      <c r="E419" s="7" t="s">
        <v>83</v>
      </c>
      <c r="F419" s="7" t="s">
        <v>84</v>
      </c>
      <c r="G419" s="7" t="s">
        <v>79</v>
      </c>
      <c r="H419" s="7" t="s">
        <v>80</v>
      </c>
      <c r="I419" s="8">
        <v>75</v>
      </c>
      <c r="J419" s="8">
        <v>927196.99384999997</v>
      </c>
      <c r="K419" s="8">
        <v>1738362</v>
      </c>
    </row>
    <row r="420" spans="1:11">
      <c r="A420" s="7" t="s">
        <v>151</v>
      </c>
      <c r="B420" s="7" t="s">
        <v>152</v>
      </c>
      <c r="C420" s="7" t="s">
        <v>159</v>
      </c>
      <c r="D420" s="7" t="s">
        <v>160</v>
      </c>
      <c r="E420" s="7" t="s">
        <v>83</v>
      </c>
      <c r="F420" s="7" t="s">
        <v>84</v>
      </c>
      <c r="G420" s="7" t="s">
        <v>81</v>
      </c>
      <c r="H420" s="7" t="s">
        <v>82</v>
      </c>
      <c r="I420" s="8">
        <v>75</v>
      </c>
      <c r="J420" s="8">
        <v>794545</v>
      </c>
      <c r="K420" s="8">
        <v>1768545</v>
      </c>
    </row>
    <row r="421" spans="1:11">
      <c r="A421" s="7" t="s">
        <v>151</v>
      </c>
      <c r="B421" s="7" t="s">
        <v>152</v>
      </c>
      <c r="C421" s="7" t="s">
        <v>159</v>
      </c>
      <c r="D421" s="7" t="s">
        <v>160</v>
      </c>
      <c r="E421" s="7" t="s">
        <v>83</v>
      </c>
      <c r="F421" s="7" t="s">
        <v>84</v>
      </c>
      <c r="G421" s="7" t="s">
        <v>101</v>
      </c>
      <c r="H421" s="7" t="s">
        <v>102</v>
      </c>
      <c r="I421" s="8">
        <v>2</v>
      </c>
      <c r="J421" s="8">
        <v>26672</v>
      </c>
      <c r="K421" s="8">
        <v>107272</v>
      </c>
    </row>
    <row r="422" spans="1:11">
      <c r="A422" s="7" t="s">
        <v>151</v>
      </c>
      <c r="B422" s="7" t="s">
        <v>152</v>
      </c>
      <c r="C422" s="7" t="s">
        <v>159</v>
      </c>
      <c r="D422" s="7" t="s">
        <v>160</v>
      </c>
      <c r="E422" s="7" t="s">
        <v>83</v>
      </c>
      <c r="F422" s="7" t="s">
        <v>84</v>
      </c>
      <c r="G422" s="7" t="s">
        <v>85</v>
      </c>
      <c r="H422" s="7" t="s">
        <v>86</v>
      </c>
      <c r="I422" s="8">
        <v>59</v>
      </c>
      <c r="J422" s="8">
        <v>309327</v>
      </c>
      <c r="K422" s="8">
        <v>827723</v>
      </c>
    </row>
    <row r="423" spans="1:11">
      <c r="A423" s="7" t="s">
        <v>151</v>
      </c>
      <c r="B423" s="7" t="s">
        <v>152</v>
      </c>
      <c r="C423" s="7" t="s">
        <v>159</v>
      </c>
      <c r="D423" s="7" t="s">
        <v>160</v>
      </c>
      <c r="E423" s="7" t="s">
        <v>83</v>
      </c>
      <c r="F423" s="7" t="s">
        <v>84</v>
      </c>
      <c r="G423" s="7" t="s">
        <v>107</v>
      </c>
      <c r="H423" s="7" t="s">
        <v>108</v>
      </c>
      <c r="I423" s="8">
        <v>4</v>
      </c>
      <c r="J423" s="8">
        <v>51618</v>
      </c>
      <c r="K423" s="8">
        <v>170818</v>
      </c>
    </row>
    <row r="424" spans="1:11">
      <c r="A424" s="7" t="s">
        <v>151</v>
      </c>
      <c r="B424" s="7" t="s">
        <v>152</v>
      </c>
      <c r="C424" s="7" t="s">
        <v>159</v>
      </c>
      <c r="D424" s="7" t="s">
        <v>160</v>
      </c>
      <c r="E424" s="7" t="s">
        <v>83</v>
      </c>
      <c r="F424" s="7" t="s">
        <v>84</v>
      </c>
      <c r="G424" s="7" t="s">
        <v>87</v>
      </c>
      <c r="H424" s="7" t="s">
        <v>88</v>
      </c>
      <c r="I424" s="8">
        <v>25</v>
      </c>
      <c r="J424" s="8">
        <v>161347</v>
      </c>
      <c r="K424" s="8">
        <v>411997</v>
      </c>
    </row>
    <row r="425" spans="1:11">
      <c r="A425" s="7" t="s">
        <v>151</v>
      </c>
      <c r="B425" s="7" t="s">
        <v>152</v>
      </c>
      <c r="C425" s="7" t="s">
        <v>159</v>
      </c>
      <c r="D425" s="7" t="s">
        <v>160</v>
      </c>
      <c r="E425" s="7" t="s">
        <v>89</v>
      </c>
      <c r="F425" s="7" t="s">
        <v>90</v>
      </c>
      <c r="G425" s="7" t="s">
        <v>91</v>
      </c>
      <c r="H425" s="7" t="s">
        <v>90</v>
      </c>
      <c r="I425" s="8">
        <v>2</v>
      </c>
      <c r="J425" s="8">
        <v>0</v>
      </c>
      <c r="K425" s="8">
        <v>0</v>
      </c>
    </row>
    <row r="426" spans="1:11">
      <c r="A426" s="7" t="s">
        <v>151</v>
      </c>
      <c r="B426" s="7" t="s">
        <v>152</v>
      </c>
      <c r="C426" s="7" t="s">
        <v>159</v>
      </c>
      <c r="D426" s="7" t="s">
        <v>160</v>
      </c>
      <c r="E426" s="7" t="s">
        <v>92</v>
      </c>
      <c r="F426" s="7" t="s">
        <v>92</v>
      </c>
      <c r="G426" s="7" t="s">
        <v>92</v>
      </c>
      <c r="H426" s="7" t="s">
        <v>92</v>
      </c>
      <c r="I426" s="8">
        <v>-9914</v>
      </c>
      <c r="J426" s="8">
        <v>-180253</v>
      </c>
      <c r="K426" s="8">
        <v>-180253</v>
      </c>
    </row>
    <row r="427" spans="1:11">
      <c r="A427" s="7" t="s">
        <v>151</v>
      </c>
      <c r="B427" s="7" t="s">
        <v>152</v>
      </c>
      <c r="C427" s="7" t="s">
        <v>161</v>
      </c>
      <c r="D427" s="7" t="s">
        <v>162</v>
      </c>
      <c r="E427" s="7" t="s">
        <v>65</v>
      </c>
      <c r="F427" s="7" t="s">
        <v>66</v>
      </c>
      <c r="G427" s="7" t="s">
        <v>95</v>
      </c>
      <c r="H427" s="7" t="s">
        <v>96</v>
      </c>
      <c r="I427" s="8">
        <v>1</v>
      </c>
      <c r="J427" s="8">
        <v>267818</v>
      </c>
      <c r="K427" s="8">
        <v>2681818</v>
      </c>
    </row>
    <row r="428" spans="1:11">
      <c r="A428" s="7" t="s">
        <v>151</v>
      </c>
      <c r="B428" s="7" t="s">
        <v>152</v>
      </c>
      <c r="C428" s="7" t="s">
        <v>161</v>
      </c>
      <c r="D428" s="7" t="s">
        <v>162</v>
      </c>
      <c r="E428" s="7" t="s">
        <v>65</v>
      </c>
      <c r="F428" s="7" t="s">
        <v>66</v>
      </c>
      <c r="G428" s="7" t="s">
        <v>67</v>
      </c>
      <c r="H428" s="7" t="s">
        <v>68</v>
      </c>
      <c r="I428" s="8">
        <v>3</v>
      </c>
      <c r="J428" s="8">
        <v>806636</v>
      </c>
      <c r="K428" s="8">
        <v>8063636</v>
      </c>
    </row>
    <row r="429" spans="1:11">
      <c r="A429" s="7" t="s">
        <v>151</v>
      </c>
      <c r="B429" s="7" t="s">
        <v>152</v>
      </c>
      <c r="C429" s="7" t="s">
        <v>161</v>
      </c>
      <c r="D429" s="7" t="s">
        <v>162</v>
      </c>
      <c r="E429" s="7" t="s">
        <v>65</v>
      </c>
      <c r="F429" s="7" t="s">
        <v>66</v>
      </c>
      <c r="G429" s="7" t="s">
        <v>69</v>
      </c>
      <c r="H429" s="7" t="s">
        <v>36</v>
      </c>
      <c r="I429" s="8">
        <v>7</v>
      </c>
      <c r="J429" s="8">
        <v>649749</v>
      </c>
      <c r="K429" s="8">
        <v>8599999</v>
      </c>
    </row>
    <row r="430" spans="1:11">
      <c r="A430" s="7" t="s">
        <v>151</v>
      </c>
      <c r="B430" s="7" t="s">
        <v>152</v>
      </c>
      <c r="C430" s="7" t="s">
        <v>161</v>
      </c>
      <c r="D430" s="7" t="s">
        <v>162</v>
      </c>
      <c r="E430" s="7" t="s">
        <v>65</v>
      </c>
      <c r="F430" s="7" t="s">
        <v>66</v>
      </c>
      <c r="G430" s="7" t="s">
        <v>70</v>
      </c>
      <c r="H430" s="7" t="s">
        <v>28</v>
      </c>
      <c r="I430" s="8">
        <v>20</v>
      </c>
      <c r="J430" s="8">
        <v>955000</v>
      </c>
      <c r="K430" s="8">
        <v>11900000</v>
      </c>
    </row>
    <row r="431" spans="1:11">
      <c r="A431" s="7" t="s">
        <v>151</v>
      </c>
      <c r="B431" s="7" t="s">
        <v>152</v>
      </c>
      <c r="C431" s="7" t="s">
        <v>161</v>
      </c>
      <c r="D431" s="7" t="s">
        <v>162</v>
      </c>
      <c r="E431" s="7" t="s">
        <v>65</v>
      </c>
      <c r="F431" s="7" t="s">
        <v>66</v>
      </c>
      <c r="G431" s="7" t="s">
        <v>97</v>
      </c>
      <c r="H431" s="7" t="s">
        <v>98</v>
      </c>
      <c r="I431" s="8">
        <v>2</v>
      </c>
      <c r="J431" s="8">
        <v>55273</v>
      </c>
      <c r="K431" s="8">
        <v>907273</v>
      </c>
    </row>
    <row r="432" spans="1:11">
      <c r="A432" s="7" t="s">
        <v>151</v>
      </c>
      <c r="B432" s="7" t="s">
        <v>152</v>
      </c>
      <c r="C432" s="7" t="s">
        <v>161</v>
      </c>
      <c r="D432" s="7" t="s">
        <v>162</v>
      </c>
      <c r="E432" s="7" t="s">
        <v>65</v>
      </c>
      <c r="F432" s="7" t="s">
        <v>66</v>
      </c>
      <c r="G432" s="7" t="s">
        <v>71</v>
      </c>
      <c r="H432" s="7" t="s">
        <v>72</v>
      </c>
      <c r="I432" s="8">
        <v>20</v>
      </c>
      <c r="J432" s="8">
        <v>635822</v>
      </c>
      <c r="K432" s="8">
        <v>9181822</v>
      </c>
    </row>
    <row r="433" spans="1:11">
      <c r="A433" s="7" t="s">
        <v>151</v>
      </c>
      <c r="B433" s="7" t="s">
        <v>152</v>
      </c>
      <c r="C433" s="7" t="s">
        <v>161</v>
      </c>
      <c r="D433" s="7" t="s">
        <v>162</v>
      </c>
      <c r="E433" s="7" t="s">
        <v>65</v>
      </c>
      <c r="F433" s="7" t="s">
        <v>66</v>
      </c>
      <c r="G433" s="7" t="s">
        <v>73</v>
      </c>
      <c r="H433" s="7" t="s">
        <v>74</v>
      </c>
      <c r="I433" s="8">
        <v>4</v>
      </c>
      <c r="J433" s="8">
        <v>369363</v>
      </c>
      <c r="K433" s="8">
        <v>4596363</v>
      </c>
    </row>
    <row r="434" spans="1:11">
      <c r="A434" s="7" t="s">
        <v>151</v>
      </c>
      <c r="B434" s="7" t="s">
        <v>152</v>
      </c>
      <c r="C434" s="7" t="s">
        <v>161</v>
      </c>
      <c r="D434" s="7" t="s">
        <v>162</v>
      </c>
      <c r="E434" s="7" t="s">
        <v>75</v>
      </c>
      <c r="F434" s="7" t="s">
        <v>76</v>
      </c>
      <c r="G434" s="7" t="s">
        <v>77</v>
      </c>
      <c r="H434" s="7" t="s">
        <v>78</v>
      </c>
      <c r="I434" s="8">
        <v>8</v>
      </c>
      <c r="J434" s="8">
        <v>77984.007083000004</v>
      </c>
      <c r="K434" s="8">
        <v>579999</v>
      </c>
    </row>
    <row r="435" spans="1:11">
      <c r="A435" s="7" t="s">
        <v>151</v>
      </c>
      <c r="B435" s="7" t="s">
        <v>152</v>
      </c>
      <c r="C435" s="7" t="s">
        <v>161</v>
      </c>
      <c r="D435" s="7" t="s">
        <v>162</v>
      </c>
      <c r="E435" s="7" t="s">
        <v>75</v>
      </c>
      <c r="F435" s="7" t="s">
        <v>76</v>
      </c>
      <c r="G435" s="7" t="s">
        <v>79</v>
      </c>
      <c r="H435" s="7" t="s">
        <v>80</v>
      </c>
      <c r="I435" s="8">
        <v>132</v>
      </c>
      <c r="J435" s="8">
        <v>4520813.3405219996</v>
      </c>
      <c r="K435" s="8">
        <v>18059174</v>
      </c>
    </row>
    <row r="436" spans="1:11">
      <c r="A436" s="7" t="s">
        <v>151</v>
      </c>
      <c r="B436" s="7" t="s">
        <v>152</v>
      </c>
      <c r="C436" s="7" t="s">
        <v>161</v>
      </c>
      <c r="D436" s="7" t="s">
        <v>162</v>
      </c>
      <c r="E436" s="7" t="s">
        <v>75</v>
      </c>
      <c r="F436" s="7" t="s">
        <v>76</v>
      </c>
      <c r="G436" s="7" t="s">
        <v>81</v>
      </c>
      <c r="H436" s="7" t="s">
        <v>82</v>
      </c>
      <c r="I436" s="8">
        <v>41</v>
      </c>
      <c r="J436" s="8">
        <v>584820.07159099996</v>
      </c>
      <c r="K436" s="8">
        <v>3611820</v>
      </c>
    </row>
    <row r="437" spans="1:11">
      <c r="A437" s="7" t="s">
        <v>151</v>
      </c>
      <c r="B437" s="7" t="s">
        <v>152</v>
      </c>
      <c r="C437" s="7" t="s">
        <v>161</v>
      </c>
      <c r="D437" s="7" t="s">
        <v>162</v>
      </c>
      <c r="E437" s="7" t="s">
        <v>75</v>
      </c>
      <c r="F437" s="7" t="s">
        <v>76</v>
      </c>
      <c r="G437" s="7" t="s">
        <v>99</v>
      </c>
      <c r="H437" s="7" t="s">
        <v>100</v>
      </c>
      <c r="I437" s="8">
        <v>1</v>
      </c>
      <c r="J437" s="8">
        <v>11545</v>
      </c>
      <c r="K437" s="8">
        <v>44545</v>
      </c>
    </row>
    <row r="438" spans="1:11">
      <c r="A438" s="7" t="s">
        <v>151</v>
      </c>
      <c r="B438" s="7" t="s">
        <v>152</v>
      </c>
      <c r="C438" s="7" t="s">
        <v>161</v>
      </c>
      <c r="D438" s="7" t="s">
        <v>162</v>
      </c>
      <c r="E438" s="7" t="s">
        <v>75</v>
      </c>
      <c r="F438" s="7" t="s">
        <v>76</v>
      </c>
      <c r="G438" s="7" t="s">
        <v>87</v>
      </c>
      <c r="H438" s="7" t="s">
        <v>88</v>
      </c>
      <c r="I438" s="8">
        <v>4</v>
      </c>
      <c r="J438" s="8">
        <v>68728</v>
      </c>
      <c r="K438" s="8">
        <v>332728</v>
      </c>
    </row>
    <row r="439" spans="1:11">
      <c r="A439" s="7" t="s">
        <v>151</v>
      </c>
      <c r="B439" s="7" t="s">
        <v>152</v>
      </c>
      <c r="C439" s="7" t="s">
        <v>161</v>
      </c>
      <c r="D439" s="7" t="s">
        <v>162</v>
      </c>
      <c r="E439" s="7" t="s">
        <v>83</v>
      </c>
      <c r="F439" s="7" t="s">
        <v>84</v>
      </c>
      <c r="G439" s="7" t="s">
        <v>77</v>
      </c>
      <c r="H439" s="7" t="s">
        <v>78</v>
      </c>
      <c r="I439" s="8">
        <v>18</v>
      </c>
      <c r="J439" s="8">
        <v>189495.24148500001</v>
      </c>
      <c r="K439" s="8">
        <v>504272</v>
      </c>
    </row>
    <row r="440" spans="1:11">
      <c r="A440" s="7" t="s">
        <v>151</v>
      </c>
      <c r="B440" s="7" t="s">
        <v>152</v>
      </c>
      <c r="C440" s="7" t="s">
        <v>161</v>
      </c>
      <c r="D440" s="7" t="s">
        <v>162</v>
      </c>
      <c r="E440" s="7" t="s">
        <v>83</v>
      </c>
      <c r="F440" s="7" t="s">
        <v>84</v>
      </c>
      <c r="G440" s="7" t="s">
        <v>79</v>
      </c>
      <c r="H440" s="7" t="s">
        <v>80</v>
      </c>
      <c r="I440" s="8">
        <v>47</v>
      </c>
      <c r="J440" s="8">
        <v>527396.02260100003</v>
      </c>
      <c r="K440" s="8">
        <v>1100635</v>
      </c>
    </row>
    <row r="441" spans="1:11">
      <c r="A441" s="7" t="s">
        <v>151</v>
      </c>
      <c r="B441" s="7" t="s">
        <v>152</v>
      </c>
      <c r="C441" s="7" t="s">
        <v>161</v>
      </c>
      <c r="D441" s="7" t="s">
        <v>162</v>
      </c>
      <c r="E441" s="7" t="s">
        <v>83</v>
      </c>
      <c r="F441" s="7" t="s">
        <v>84</v>
      </c>
      <c r="G441" s="7" t="s">
        <v>81</v>
      </c>
      <c r="H441" s="7" t="s">
        <v>82</v>
      </c>
      <c r="I441" s="8">
        <v>70</v>
      </c>
      <c r="J441" s="8">
        <v>820392</v>
      </c>
      <c r="K441" s="8">
        <v>1707092</v>
      </c>
    </row>
    <row r="442" spans="1:11">
      <c r="A442" s="7" t="s">
        <v>151</v>
      </c>
      <c r="B442" s="7" t="s">
        <v>152</v>
      </c>
      <c r="C442" s="7" t="s">
        <v>161</v>
      </c>
      <c r="D442" s="7" t="s">
        <v>162</v>
      </c>
      <c r="E442" s="7" t="s">
        <v>83</v>
      </c>
      <c r="F442" s="7" t="s">
        <v>84</v>
      </c>
      <c r="G442" s="7" t="s">
        <v>85</v>
      </c>
      <c r="H442" s="7" t="s">
        <v>86</v>
      </c>
      <c r="I442" s="8">
        <v>49</v>
      </c>
      <c r="J442" s="8">
        <v>243375</v>
      </c>
      <c r="K442" s="8">
        <v>617635</v>
      </c>
    </row>
    <row r="443" spans="1:11">
      <c r="A443" s="7" t="s">
        <v>151</v>
      </c>
      <c r="B443" s="7" t="s">
        <v>152</v>
      </c>
      <c r="C443" s="7" t="s">
        <v>161</v>
      </c>
      <c r="D443" s="7" t="s">
        <v>162</v>
      </c>
      <c r="E443" s="7" t="s">
        <v>83</v>
      </c>
      <c r="F443" s="7" t="s">
        <v>84</v>
      </c>
      <c r="G443" s="7" t="s">
        <v>87</v>
      </c>
      <c r="H443" s="7" t="s">
        <v>88</v>
      </c>
      <c r="I443" s="8">
        <v>11</v>
      </c>
      <c r="J443" s="8">
        <v>72571</v>
      </c>
      <c r="K443" s="8">
        <v>179271</v>
      </c>
    </row>
    <row r="444" spans="1:11">
      <c r="A444" s="7" t="s">
        <v>151</v>
      </c>
      <c r="B444" s="7" t="s">
        <v>152</v>
      </c>
      <c r="C444" s="7" t="s">
        <v>161</v>
      </c>
      <c r="D444" s="7" t="s">
        <v>162</v>
      </c>
      <c r="E444" s="7" t="s">
        <v>92</v>
      </c>
      <c r="F444" s="7" t="s">
        <v>92</v>
      </c>
      <c r="G444" s="7" t="s">
        <v>92</v>
      </c>
      <c r="H444" s="7" t="s">
        <v>92</v>
      </c>
      <c r="I444" s="8">
        <v>-9707</v>
      </c>
      <c r="J444" s="8">
        <v>-176491</v>
      </c>
      <c r="K444" s="8">
        <v>-176491</v>
      </c>
    </row>
    <row r="445" spans="1:11">
      <c r="A445" s="7" t="s">
        <v>163</v>
      </c>
      <c r="B445" s="7" t="s">
        <v>164</v>
      </c>
      <c r="C445" s="7" t="s">
        <v>165</v>
      </c>
      <c r="D445" s="7" t="s">
        <v>166</v>
      </c>
      <c r="E445" s="7" t="s">
        <v>65</v>
      </c>
      <c r="F445" s="7" t="s">
        <v>66</v>
      </c>
      <c r="G445" s="7" t="s">
        <v>95</v>
      </c>
      <c r="H445" s="7" t="s">
        <v>96</v>
      </c>
      <c r="I445" s="8">
        <v>1</v>
      </c>
      <c r="J445" s="8">
        <v>176636</v>
      </c>
      <c r="K445" s="8">
        <v>1763636</v>
      </c>
    </row>
    <row r="446" spans="1:11">
      <c r="A446" s="7" t="s">
        <v>163</v>
      </c>
      <c r="B446" s="7" t="s">
        <v>164</v>
      </c>
      <c r="C446" s="7" t="s">
        <v>165</v>
      </c>
      <c r="D446" s="7" t="s">
        <v>166</v>
      </c>
      <c r="E446" s="7" t="s">
        <v>65</v>
      </c>
      <c r="F446" s="7" t="s">
        <v>66</v>
      </c>
      <c r="G446" s="7" t="s">
        <v>67</v>
      </c>
      <c r="H446" s="7" t="s">
        <v>68</v>
      </c>
      <c r="I446" s="8">
        <v>2</v>
      </c>
      <c r="J446" s="8">
        <v>720000</v>
      </c>
      <c r="K446" s="8">
        <v>7200000</v>
      </c>
    </row>
    <row r="447" spans="1:11">
      <c r="A447" s="7" t="s">
        <v>163</v>
      </c>
      <c r="B447" s="7" t="s">
        <v>164</v>
      </c>
      <c r="C447" s="7" t="s">
        <v>165</v>
      </c>
      <c r="D447" s="7" t="s">
        <v>166</v>
      </c>
      <c r="E447" s="7" t="s">
        <v>65</v>
      </c>
      <c r="F447" s="7" t="s">
        <v>66</v>
      </c>
      <c r="G447" s="7" t="s">
        <v>69</v>
      </c>
      <c r="H447" s="7" t="s">
        <v>36</v>
      </c>
      <c r="I447" s="8">
        <v>4</v>
      </c>
      <c r="J447" s="8">
        <v>458035</v>
      </c>
      <c r="K447" s="8">
        <v>6063635</v>
      </c>
    </row>
    <row r="448" spans="1:11">
      <c r="A448" s="7" t="s">
        <v>163</v>
      </c>
      <c r="B448" s="7" t="s">
        <v>164</v>
      </c>
      <c r="C448" s="7" t="s">
        <v>165</v>
      </c>
      <c r="D448" s="7" t="s">
        <v>166</v>
      </c>
      <c r="E448" s="7" t="s">
        <v>65</v>
      </c>
      <c r="F448" s="7" t="s">
        <v>66</v>
      </c>
      <c r="G448" s="7" t="s">
        <v>70</v>
      </c>
      <c r="H448" s="7" t="s">
        <v>28</v>
      </c>
      <c r="I448" s="8">
        <v>17</v>
      </c>
      <c r="J448" s="8">
        <v>739002</v>
      </c>
      <c r="K448" s="8">
        <v>9230002</v>
      </c>
    </row>
    <row r="449" spans="1:11">
      <c r="A449" s="7" t="s">
        <v>163</v>
      </c>
      <c r="B449" s="7" t="s">
        <v>164</v>
      </c>
      <c r="C449" s="7" t="s">
        <v>165</v>
      </c>
      <c r="D449" s="7" t="s">
        <v>166</v>
      </c>
      <c r="E449" s="7" t="s">
        <v>65</v>
      </c>
      <c r="F449" s="7" t="s">
        <v>66</v>
      </c>
      <c r="G449" s="7" t="s">
        <v>97</v>
      </c>
      <c r="H449" s="7" t="s">
        <v>98</v>
      </c>
      <c r="I449" s="8">
        <v>4</v>
      </c>
      <c r="J449" s="8">
        <v>110544</v>
      </c>
      <c r="K449" s="8">
        <v>1814544</v>
      </c>
    </row>
    <row r="450" spans="1:11">
      <c r="A450" s="7" t="s">
        <v>163</v>
      </c>
      <c r="B450" s="7" t="s">
        <v>164</v>
      </c>
      <c r="C450" s="7" t="s">
        <v>165</v>
      </c>
      <c r="D450" s="7" t="s">
        <v>166</v>
      </c>
      <c r="E450" s="7" t="s">
        <v>65</v>
      </c>
      <c r="F450" s="7" t="s">
        <v>66</v>
      </c>
      <c r="G450" s="7" t="s">
        <v>71</v>
      </c>
      <c r="H450" s="7" t="s">
        <v>72</v>
      </c>
      <c r="I450" s="8">
        <v>11</v>
      </c>
      <c r="J450" s="8">
        <v>326093</v>
      </c>
      <c r="K450" s="8">
        <v>4699093</v>
      </c>
    </row>
    <row r="451" spans="1:11">
      <c r="A451" s="7" t="s">
        <v>163</v>
      </c>
      <c r="B451" s="7" t="s">
        <v>164</v>
      </c>
      <c r="C451" s="7" t="s">
        <v>165</v>
      </c>
      <c r="D451" s="7" t="s">
        <v>166</v>
      </c>
      <c r="E451" s="7" t="s">
        <v>65</v>
      </c>
      <c r="F451" s="7" t="s">
        <v>66</v>
      </c>
      <c r="G451" s="7" t="s">
        <v>73</v>
      </c>
      <c r="H451" s="7" t="s">
        <v>74</v>
      </c>
      <c r="I451" s="8">
        <v>3</v>
      </c>
      <c r="J451" s="8">
        <v>223362</v>
      </c>
      <c r="K451" s="8">
        <v>2806362</v>
      </c>
    </row>
    <row r="452" spans="1:11">
      <c r="A452" s="7" t="s">
        <v>163</v>
      </c>
      <c r="B452" s="7" t="s">
        <v>164</v>
      </c>
      <c r="C452" s="7" t="s">
        <v>165</v>
      </c>
      <c r="D452" s="7" t="s">
        <v>166</v>
      </c>
      <c r="E452" s="7" t="s">
        <v>75</v>
      </c>
      <c r="F452" s="7" t="s">
        <v>76</v>
      </c>
      <c r="G452" s="7" t="s">
        <v>77</v>
      </c>
      <c r="H452" s="7" t="s">
        <v>78</v>
      </c>
      <c r="I452" s="8">
        <v>10</v>
      </c>
      <c r="J452" s="8">
        <v>68984.008447999993</v>
      </c>
      <c r="K452" s="8">
        <v>459999</v>
      </c>
    </row>
    <row r="453" spans="1:11">
      <c r="A453" s="7" t="s">
        <v>163</v>
      </c>
      <c r="B453" s="7" t="s">
        <v>164</v>
      </c>
      <c r="C453" s="7" t="s">
        <v>165</v>
      </c>
      <c r="D453" s="7" t="s">
        <v>166</v>
      </c>
      <c r="E453" s="7" t="s">
        <v>75</v>
      </c>
      <c r="F453" s="7" t="s">
        <v>76</v>
      </c>
      <c r="G453" s="7" t="s">
        <v>79</v>
      </c>
      <c r="H453" s="7" t="s">
        <v>80</v>
      </c>
      <c r="I453" s="8">
        <v>64</v>
      </c>
      <c r="J453" s="8">
        <v>2584345.8390339999</v>
      </c>
      <c r="K453" s="8">
        <v>10322725</v>
      </c>
    </row>
    <row r="454" spans="1:11">
      <c r="A454" s="7" t="s">
        <v>163</v>
      </c>
      <c r="B454" s="7" t="s">
        <v>164</v>
      </c>
      <c r="C454" s="7" t="s">
        <v>165</v>
      </c>
      <c r="D454" s="7" t="s">
        <v>166</v>
      </c>
      <c r="E454" s="7" t="s">
        <v>75</v>
      </c>
      <c r="F454" s="7" t="s">
        <v>76</v>
      </c>
      <c r="G454" s="7" t="s">
        <v>81</v>
      </c>
      <c r="H454" s="7" t="s">
        <v>82</v>
      </c>
      <c r="I454" s="8">
        <v>40</v>
      </c>
      <c r="J454" s="8">
        <v>623730.74265599996</v>
      </c>
      <c r="K454" s="8">
        <v>3872729</v>
      </c>
    </row>
    <row r="455" spans="1:11">
      <c r="A455" s="7" t="s">
        <v>163</v>
      </c>
      <c r="B455" s="7" t="s">
        <v>164</v>
      </c>
      <c r="C455" s="7" t="s">
        <v>165</v>
      </c>
      <c r="D455" s="7" t="s">
        <v>166</v>
      </c>
      <c r="E455" s="7" t="s">
        <v>75</v>
      </c>
      <c r="F455" s="7" t="s">
        <v>76</v>
      </c>
      <c r="G455" s="7" t="s">
        <v>87</v>
      </c>
      <c r="H455" s="7" t="s">
        <v>88</v>
      </c>
      <c r="I455" s="8">
        <v>2</v>
      </c>
      <c r="J455" s="8">
        <v>16910</v>
      </c>
      <c r="K455" s="8">
        <v>70910</v>
      </c>
    </row>
    <row r="456" spans="1:11">
      <c r="A456" s="7" t="s">
        <v>163</v>
      </c>
      <c r="B456" s="7" t="s">
        <v>164</v>
      </c>
      <c r="C456" s="7" t="s">
        <v>165</v>
      </c>
      <c r="D456" s="7" t="s">
        <v>166</v>
      </c>
      <c r="E456" s="7" t="s">
        <v>83</v>
      </c>
      <c r="F456" s="7" t="s">
        <v>84</v>
      </c>
      <c r="G456" s="7" t="s">
        <v>77</v>
      </c>
      <c r="H456" s="7" t="s">
        <v>78</v>
      </c>
      <c r="I456" s="8">
        <v>10</v>
      </c>
      <c r="J456" s="8">
        <v>118895</v>
      </c>
      <c r="K456" s="8">
        <v>310109</v>
      </c>
    </row>
    <row r="457" spans="1:11">
      <c r="A457" s="7" t="s">
        <v>163</v>
      </c>
      <c r="B457" s="7" t="s">
        <v>164</v>
      </c>
      <c r="C457" s="7" t="s">
        <v>165</v>
      </c>
      <c r="D457" s="7" t="s">
        <v>166</v>
      </c>
      <c r="E457" s="7" t="s">
        <v>83</v>
      </c>
      <c r="F457" s="7" t="s">
        <v>84</v>
      </c>
      <c r="G457" s="7" t="s">
        <v>79</v>
      </c>
      <c r="H457" s="7" t="s">
        <v>80</v>
      </c>
      <c r="I457" s="8">
        <v>31</v>
      </c>
      <c r="J457" s="8">
        <v>320082.89594999998</v>
      </c>
      <c r="K457" s="8">
        <v>678545</v>
      </c>
    </row>
    <row r="458" spans="1:11">
      <c r="A458" s="7" t="s">
        <v>163</v>
      </c>
      <c r="B458" s="7" t="s">
        <v>164</v>
      </c>
      <c r="C458" s="7" t="s">
        <v>165</v>
      </c>
      <c r="D458" s="7" t="s">
        <v>166</v>
      </c>
      <c r="E458" s="7" t="s">
        <v>83</v>
      </c>
      <c r="F458" s="7" t="s">
        <v>84</v>
      </c>
      <c r="G458" s="7" t="s">
        <v>81</v>
      </c>
      <c r="H458" s="7" t="s">
        <v>82</v>
      </c>
      <c r="I458" s="8">
        <v>40</v>
      </c>
      <c r="J458" s="8">
        <v>421584</v>
      </c>
      <c r="K458" s="8">
        <v>879184</v>
      </c>
    </row>
    <row r="459" spans="1:11">
      <c r="A459" s="7" t="s">
        <v>163</v>
      </c>
      <c r="B459" s="7" t="s">
        <v>164</v>
      </c>
      <c r="C459" s="7" t="s">
        <v>165</v>
      </c>
      <c r="D459" s="7" t="s">
        <v>166</v>
      </c>
      <c r="E459" s="7" t="s">
        <v>83</v>
      </c>
      <c r="F459" s="7" t="s">
        <v>84</v>
      </c>
      <c r="G459" s="7" t="s">
        <v>85</v>
      </c>
      <c r="H459" s="7" t="s">
        <v>86</v>
      </c>
      <c r="I459" s="8">
        <v>37</v>
      </c>
      <c r="J459" s="8">
        <v>185197</v>
      </c>
      <c r="K459" s="8">
        <v>458997</v>
      </c>
    </row>
    <row r="460" spans="1:11">
      <c r="A460" s="7" t="s">
        <v>163</v>
      </c>
      <c r="B460" s="7" t="s">
        <v>164</v>
      </c>
      <c r="C460" s="7" t="s">
        <v>165</v>
      </c>
      <c r="D460" s="7" t="s">
        <v>166</v>
      </c>
      <c r="E460" s="7" t="s">
        <v>83</v>
      </c>
      <c r="F460" s="7" t="s">
        <v>84</v>
      </c>
      <c r="G460" s="7" t="s">
        <v>87</v>
      </c>
      <c r="H460" s="7" t="s">
        <v>88</v>
      </c>
      <c r="I460" s="8">
        <v>3</v>
      </c>
      <c r="J460" s="8">
        <v>28455</v>
      </c>
      <c r="K460" s="8">
        <v>64455</v>
      </c>
    </row>
    <row r="461" spans="1:11">
      <c r="A461" s="7" t="s">
        <v>163</v>
      </c>
      <c r="B461" s="7" t="s">
        <v>164</v>
      </c>
      <c r="C461" s="7" t="s">
        <v>165</v>
      </c>
      <c r="D461" s="7" t="s">
        <v>166</v>
      </c>
      <c r="E461" s="7" t="s">
        <v>89</v>
      </c>
      <c r="F461" s="7" t="s">
        <v>90</v>
      </c>
      <c r="G461" s="7" t="s">
        <v>91</v>
      </c>
      <c r="H461" s="7" t="s">
        <v>90</v>
      </c>
      <c r="I461" s="8">
        <v>28</v>
      </c>
      <c r="J461" s="8">
        <v>2813.5897439999999</v>
      </c>
      <c r="K461" s="8">
        <v>14545</v>
      </c>
    </row>
    <row r="462" spans="1:11">
      <c r="A462" s="7" t="s">
        <v>163</v>
      </c>
      <c r="B462" s="7" t="s">
        <v>164</v>
      </c>
      <c r="C462" s="7" t="s">
        <v>165</v>
      </c>
      <c r="D462" s="7" t="s">
        <v>166</v>
      </c>
      <c r="E462" s="7" t="s">
        <v>92</v>
      </c>
      <c r="F462" s="7" t="s">
        <v>92</v>
      </c>
      <c r="G462" s="7" t="s">
        <v>92</v>
      </c>
      <c r="H462" s="7" t="s">
        <v>92</v>
      </c>
      <c r="I462" s="8">
        <v>-7326</v>
      </c>
      <c r="J462" s="8">
        <v>-133199</v>
      </c>
      <c r="K462" s="8">
        <v>-133199</v>
      </c>
    </row>
    <row r="463" spans="1:11">
      <c r="A463" s="7" t="s">
        <v>163</v>
      </c>
      <c r="B463" s="7" t="s">
        <v>164</v>
      </c>
      <c r="C463" s="7" t="s">
        <v>167</v>
      </c>
      <c r="D463" s="7" t="s">
        <v>168</v>
      </c>
      <c r="E463" s="7" t="s">
        <v>65</v>
      </c>
      <c r="F463" s="7" t="s">
        <v>66</v>
      </c>
      <c r="G463" s="7" t="s">
        <v>67</v>
      </c>
      <c r="H463" s="7" t="s">
        <v>68</v>
      </c>
      <c r="I463" s="8">
        <v>5</v>
      </c>
      <c r="J463" s="8">
        <v>1110000</v>
      </c>
      <c r="K463" s="8">
        <v>11100000</v>
      </c>
    </row>
    <row r="464" spans="1:11">
      <c r="A464" s="7" t="s">
        <v>163</v>
      </c>
      <c r="B464" s="7" t="s">
        <v>164</v>
      </c>
      <c r="C464" s="7" t="s">
        <v>167</v>
      </c>
      <c r="D464" s="7" t="s">
        <v>168</v>
      </c>
      <c r="E464" s="7" t="s">
        <v>65</v>
      </c>
      <c r="F464" s="7" t="s">
        <v>66</v>
      </c>
      <c r="G464" s="7" t="s">
        <v>69</v>
      </c>
      <c r="H464" s="7" t="s">
        <v>36</v>
      </c>
      <c r="I464" s="8">
        <v>7</v>
      </c>
      <c r="J464" s="8">
        <v>673931</v>
      </c>
      <c r="K464" s="8">
        <v>8918181</v>
      </c>
    </row>
    <row r="465" spans="1:11">
      <c r="A465" s="7" t="s">
        <v>163</v>
      </c>
      <c r="B465" s="7" t="s">
        <v>164</v>
      </c>
      <c r="C465" s="7" t="s">
        <v>167</v>
      </c>
      <c r="D465" s="7" t="s">
        <v>168</v>
      </c>
      <c r="E465" s="7" t="s">
        <v>65</v>
      </c>
      <c r="F465" s="7" t="s">
        <v>66</v>
      </c>
      <c r="G465" s="7" t="s">
        <v>70</v>
      </c>
      <c r="H465" s="7" t="s">
        <v>28</v>
      </c>
      <c r="I465" s="8">
        <v>22</v>
      </c>
      <c r="J465" s="8">
        <v>998999</v>
      </c>
      <c r="K465" s="8">
        <v>12779999</v>
      </c>
    </row>
    <row r="466" spans="1:11">
      <c r="A466" s="7" t="s">
        <v>163</v>
      </c>
      <c r="B466" s="7" t="s">
        <v>164</v>
      </c>
      <c r="C466" s="7" t="s">
        <v>167</v>
      </c>
      <c r="D466" s="7" t="s">
        <v>168</v>
      </c>
      <c r="E466" s="7" t="s">
        <v>65</v>
      </c>
      <c r="F466" s="7" t="s">
        <v>66</v>
      </c>
      <c r="G466" s="7" t="s">
        <v>97</v>
      </c>
      <c r="H466" s="7" t="s">
        <v>98</v>
      </c>
      <c r="I466" s="8">
        <v>3</v>
      </c>
      <c r="J466" s="8">
        <v>82908</v>
      </c>
      <c r="K466" s="8">
        <v>1360908</v>
      </c>
    </row>
    <row r="467" spans="1:11">
      <c r="A467" s="7" t="s">
        <v>163</v>
      </c>
      <c r="B467" s="7" t="s">
        <v>164</v>
      </c>
      <c r="C467" s="7" t="s">
        <v>167</v>
      </c>
      <c r="D467" s="7" t="s">
        <v>168</v>
      </c>
      <c r="E467" s="7" t="s">
        <v>65</v>
      </c>
      <c r="F467" s="7" t="s">
        <v>66</v>
      </c>
      <c r="G467" s="7" t="s">
        <v>71</v>
      </c>
      <c r="H467" s="7" t="s">
        <v>72</v>
      </c>
      <c r="I467" s="8">
        <v>10</v>
      </c>
      <c r="J467" s="8">
        <v>279274</v>
      </c>
      <c r="K467" s="8">
        <v>4027274</v>
      </c>
    </row>
    <row r="468" spans="1:11">
      <c r="A468" s="7" t="s">
        <v>163</v>
      </c>
      <c r="B468" s="7" t="s">
        <v>164</v>
      </c>
      <c r="C468" s="7" t="s">
        <v>167</v>
      </c>
      <c r="D468" s="7" t="s">
        <v>168</v>
      </c>
      <c r="E468" s="7" t="s">
        <v>65</v>
      </c>
      <c r="F468" s="7" t="s">
        <v>66</v>
      </c>
      <c r="G468" s="7" t="s">
        <v>73</v>
      </c>
      <c r="H468" s="7" t="s">
        <v>74</v>
      </c>
      <c r="I468" s="8">
        <v>7</v>
      </c>
      <c r="J468" s="8">
        <v>571179</v>
      </c>
      <c r="K468" s="8">
        <v>7148179</v>
      </c>
    </row>
    <row r="469" spans="1:11">
      <c r="A469" s="7" t="s">
        <v>163</v>
      </c>
      <c r="B469" s="7" t="s">
        <v>164</v>
      </c>
      <c r="C469" s="7" t="s">
        <v>167</v>
      </c>
      <c r="D469" s="7" t="s">
        <v>168</v>
      </c>
      <c r="E469" s="7" t="s">
        <v>75</v>
      </c>
      <c r="F469" s="7" t="s">
        <v>76</v>
      </c>
      <c r="G469" s="7" t="s">
        <v>77</v>
      </c>
      <c r="H469" s="7" t="s">
        <v>78</v>
      </c>
      <c r="I469" s="8">
        <v>10</v>
      </c>
      <c r="J469" s="8">
        <v>52894.005718</v>
      </c>
      <c r="K469" s="8">
        <v>870909</v>
      </c>
    </row>
    <row r="470" spans="1:11">
      <c r="A470" s="7" t="s">
        <v>163</v>
      </c>
      <c r="B470" s="7" t="s">
        <v>164</v>
      </c>
      <c r="C470" s="7" t="s">
        <v>167</v>
      </c>
      <c r="D470" s="7" t="s">
        <v>168</v>
      </c>
      <c r="E470" s="7" t="s">
        <v>75</v>
      </c>
      <c r="F470" s="7" t="s">
        <v>76</v>
      </c>
      <c r="G470" s="7" t="s">
        <v>79</v>
      </c>
      <c r="H470" s="7" t="s">
        <v>80</v>
      </c>
      <c r="I470" s="8">
        <v>84</v>
      </c>
      <c r="J470" s="8">
        <v>2773188.3365349998</v>
      </c>
      <c r="K470" s="8">
        <v>11758176</v>
      </c>
    </row>
    <row r="471" spans="1:11">
      <c r="A471" s="7" t="s">
        <v>163</v>
      </c>
      <c r="B471" s="7" t="s">
        <v>164</v>
      </c>
      <c r="C471" s="7" t="s">
        <v>167</v>
      </c>
      <c r="D471" s="7" t="s">
        <v>168</v>
      </c>
      <c r="E471" s="7" t="s">
        <v>75</v>
      </c>
      <c r="F471" s="7" t="s">
        <v>76</v>
      </c>
      <c r="G471" s="7" t="s">
        <v>81</v>
      </c>
      <c r="H471" s="7" t="s">
        <v>82</v>
      </c>
      <c r="I471" s="8">
        <v>43</v>
      </c>
      <c r="J471" s="8">
        <v>740004.78745299997</v>
      </c>
      <c r="K471" s="8">
        <v>3920004</v>
      </c>
    </row>
    <row r="472" spans="1:11">
      <c r="A472" s="7" t="s">
        <v>163</v>
      </c>
      <c r="B472" s="7" t="s">
        <v>164</v>
      </c>
      <c r="C472" s="7" t="s">
        <v>167</v>
      </c>
      <c r="D472" s="7" t="s">
        <v>168</v>
      </c>
      <c r="E472" s="7" t="s">
        <v>75</v>
      </c>
      <c r="F472" s="7" t="s">
        <v>76</v>
      </c>
      <c r="G472" s="7" t="s">
        <v>87</v>
      </c>
      <c r="H472" s="7" t="s">
        <v>88</v>
      </c>
      <c r="I472" s="8">
        <v>1</v>
      </c>
      <c r="J472" s="8">
        <v>20091</v>
      </c>
      <c r="K472" s="8">
        <v>99091</v>
      </c>
    </row>
    <row r="473" spans="1:11">
      <c r="A473" s="7" t="s">
        <v>163</v>
      </c>
      <c r="B473" s="7" t="s">
        <v>164</v>
      </c>
      <c r="C473" s="7" t="s">
        <v>167</v>
      </c>
      <c r="D473" s="7" t="s">
        <v>168</v>
      </c>
      <c r="E473" s="7" t="s">
        <v>83</v>
      </c>
      <c r="F473" s="7" t="s">
        <v>84</v>
      </c>
      <c r="G473" s="7" t="s">
        <v>77</v>
      </c>
      <c r="H473" s="7" t="s">
        <v>78</v>
      </c>
      <c r="I473" s="8">
        <v>5</v>
      </c>
      <c r="J473" s="8">
        <v>41236</v>
      </c>
      <c r="K473" s="8">
        <v>125036</v>
      </c>
    </row>
    <row r="474" spans="1:11">
      <c r="A474" s="7" t="s">
        <v>163</v>
      </c>
      <c r="B474" s="7" t="s">
        <v>164</v>
      </c>
      <c r="C474" s="7" t="s">
        <v>167</v>
      </c>
      <c r="D474" s="7" t="s">
        <v>168</v>
      </c>
      <c r="E474" s="7" t="s">
        <v>83</v>
      </c>
      <c r="F474" s="7" t="s">
        <v>84</v>
      </c>
      <c r="G474" s="7" t="s">
        <v>79</v>
      </c>
      <c r="H474" s="7" t="s">
        <v>80</v>
      </c>
      <c r="I474" s="8">
        <v>44</v>
      </c>
      <c r="J474" s="8">
        <v>363901.73407300003</v>
      </c>
      <c r="K474" s="8">
        <v>866092</v>
      </c>
    </row>
    <row r="475" spans="1:11">
      <c r="A475" s="7" t="s">
        <v>163</v>
      </c>
      <c r="B475" s="7" t="s">
        <v>164</v>
      </c>
      <c r="C475" s="7" t="s">
        <v>167</v>
      </c>
      <c r="D475" s="7" t="s">
        <v>168</v>
      </c>
      <c r="E475" s="7" t="s">
        <v>83</v>
      </c>
      <c r="F475" s="7" t="s">
        <v>84</v>
      </c>
      <c r="G475" s="7" t="s">
        <v>81</v>
      </c>
      <c r="H475" s="7" t="s">
        <v>82</v>
      </c>
      <c r="I475" s="8">
        <v>47</v>
      </c>
      <c r="J475" s="8">
        <v>514855</v>
      </c>
      <c r="K475" s="8">
        <v>1068455</v>
      </c>
    </row>
    <row r="476" spans="1:11">
      <c r="A476" s="7" t="s">
        <v>163</v>
      </c>
      <c r="B476" s="7" t="s">
        <v>164</v>
      </c>
      <c r="C476" s="7" t="s">
        <v>167</v>
      </c>
      <c r="D476" s="7" t="s">
        <v>168</v>
      </c>
      <c r="E476" s="7" t="s">
        <v>83</v>
      </c>
      <c r="F476" s="7" t="s">
        <v>84</v>
      </c>
      <c r="G476" s="7" t="s">
        <v>101</v>
      </c>
      <c r="H476" s="7" t="s">
        <v>102</v>
      </c>
      <c r="I476" s="8">
        <v>2</v>
      </c>
      <c r="J476" s="8">
        <v>27836</v>
      </c>
      <c r="K476" s="8">
        <v>143636</v>
      </c>
    </row>
    <row r="477" spans="1:11">
      <c r="A477" s="7" t="s">
        <v>163</v>
      </c>
      <c r="B477" s="7" t="s">
        <v>164</v>
      </c>
      <c r="C477" s="7" t="s">
        <v>167</v>
      </c>
      <c r="D477" s="7" t="s">
        <v>168</v>
      </c>
      <c r="E477" s="7" t="s">
        <v>83</v>
      </c>
      <c r="F477" s="7" t="s">
        <v>84</v>
      </c>
      <c r="G477" s="7" t="s">
        <v>85</v>
      </c>
      <c r="H477" s="7" t="s">
        <v>86</v>
      </c>
      <c r="I477" s="8">
        <v>44</v>
      </c>
      <c r="J477" s="8">
        <v>238425</v>
      </c>
      <c r="K477" s="8">
        <v>668725</v>
      </c>
    </row>
    <row r="478" spans="1:11">
      <c r="A478" s="7" t="s">
        <v>163</v>
      </c>
      <c r="B478" s="7" t="s">
        <v>164</v>
      </c>
      <c r="C478" s="7" t="s">
        <v>167</v>
      </c>
      <c r="D478" s="7" t="s">
        <v>168</v>
      </c>
      <c r="E478" s="7" t="s">
        <v>83</v>
      </c>
      <c r="F478" s="7" t="s">
        <v>84</v>
      </c>
      <c r="G478" s="7" t="s">
        <v>87</v>
      </c>
      <c r="H478" s="7" t="s">
        <v>88</v>
      </c>
      <c r="I478" s="8">
        <v>9</v>
      </c>
      <c r="J478" s="8">
        <v>78937</v>
      </c>
      <c r="K478" s="8">
        <v>179637</v>
      </c>
    </row>
    <row r="479" spans="1:11">
      <c r="A479" s="7" t="s">
        <v>163</v>
      </c>
      <c r="B479" s="7" t="s">
        <v>164</v>
      </c>
      <c r="C479" s="7" t="s">
        <v>167</v>
      </c>
      <c r="D479" s="7" t="s">
        <v>168</v>
      </c>
      <c r="E479" s="7" t="s">
        <v>89</v>
      </c>
      <c r="F479" s="7" t="s">
        <v>90</v>
      </c>
      <c r="G479" s="7" t="s">
        <v>91</v>
      </c>
      <c r="H479" s="7" t="s">
        <v>90</v>
      </c>
      <c r="I479" s="8">
        <v>18</v>
      </c>
      <c r="J479" s="8">
        <v>0</v>
      </c>
      <c r="K479" s="8">
        <v>0</v>
      </c>
    </row>
    <row r="480" spans="1:11">
      <c r="A480" s="7" t="s">
        <v>163</v>
      </c>
      <c r="B480" s="7" t="s">
        <v>164</v>
      </c>
      <c r="C480" s="7" t="s">
        <v>167</v>
      </c>
      <c r="D480" s="7" t="s">
        <v>168</v>
      </c>
      <c r="E480" s="7" t="s">
        <v>92</v>
      </c>
      <c r="F480" s="7" t="s">
        <v>92</v>
      </c>
      <c r="G480" s="7" t="s">
        <v>92</v>
      </c>
      <c r="H480" s="7" t="s">
        <v>92</v>
      </c>
      <c r="I480" s="8">
        <v>-3341</v>
      </c>
      <c r="J480" s="8">
        <v>-60746</v>
      </c>
      <c r="K480" s="8">
        <v>-60746</v>
      </c>
    </row>
    <row r="481" spans="1:11">
      <c r="A481" s="7" t="s">
        <v>163</v>
      </c>
      <c r="B481" s="7" t="s">
        <v>164</v>
      </c>
      <c r="C481" s="7" t="s">
        <v>169</v>
      </c>
      <c r="D481" s="7" t="s">
        <v>170</v>
      </c>
      <c r="E481" s="7" t="s">
        <v>65</v>
      </c>
      <c r="F481" s="7" t="s">
        <v>66</v>
      </c>
      <c r="G481" s="7" t="s">
        <v>67</v>
      </c>
      <c r="H481" s="7" t="s">
        <v>68</v>
      </c>
      <c r="I481" s="8">
        <v>3</v>
      </c>
      <c r="J481" s="8">
        <v>596727</v>
      </c>
      <c r="K481" s="8">
        <v>5972727</v>
      </c>
    </row>
    <row r="482" spans="1:11">
      <c r="A482" s="7" t="s">
        <v>163</v>
      </c>
      <c r="B482" s="7" t="s">
        <v>164</v>
      </c>
      <c r="C482" s="7" t="s">
        <v>169</v>
      </c>
      <c r="D482" s="7" t="s">
        <v>170</v>
      </c>
      <c r="E482" s="7" t="s">
        <v>65</v>
      </c>
      <c r="F482" s="7" t="s">
        <v>66</v>
      </c>
      <c r="G482" s="7" t="s">
        <v>69</v>
      </c>
      <c r="H482" s="7" t="s">
        <v>36</v>
      </c>
      <c r="I482" s="8">
        <v>3</v>
      </c>
      <c r="J482" s="8">
        <v>263769</v>
      </c>
      <c r="K482" s="8">
        <v>3490909</v>
      </c>
    </row>
    <row r="483" spans="1:11">
      <c r="A483" s="7" t="s">
        <v>163</v>
      </c>
      <c r="B483" s="7" t="s">
        <v>164</v>
      </c>
      <c r="C483" s="7" t="s">
        <v>169</v>
      </c>
      <c r="D483" s="7" t="s">
        <v>170</v>
      </c>
      <c r="E483" s="7" t="s">
        <v>65</v>
      </c>
      <c r="F483" s="7" t="s">
        <v>66</v>
      </c>
      <c r="G483" s="7" t="s">
        <v>70</v>
      </c>
      <c r="H483" s="7" t="s">
        <v>28</v>
      </c>
      <c r="I483" s="8">
        <v>17</v>
      </c>
      <c r="J483" s="8">
        <v>760543</v>
      </c>
      <c r="K483" s="8">
        <v>9484543</v>
      </c>
    </row>
    <row r="484" spans="1:11">
      <c r="A484" s="7" t="s">
        <v>163</v>
      </c>
      <c r="B484" s="7" t="s">
        <v>164</v>
      </c>
      <c r="C484" s="7" t="s">
        <v>169</v>
      </c>
      <c r="D484" s="7" t="s">
        <v>170</v>
      </c>
      <c r="E484" s="7" t="s">
        <v>65</v>
      </c>
      <c r="F484" s="7" t="s">
        <v>66</v>
      </c>
      <c r="G484" s="7" t="s">
        <v>97</v>
      </c>
      <c r="H484" s="7" t="s">
        <v>98</v>
      </c>
      <c r="I484" s="8">
        <v>3</v>
      </c>
      <c r="J484" s="8">
        <v>82908</v>
      </c>
      <c r="K484" s="8">
        <v>1360908</v>
      </c>
    </row>
    <row r="485" spans="1:11">
      <c r="A485" s="7" t="s">
        <v>163</v>
      </c>
      <c r="B485" s="7" t="s">
        <v>164</v>
      </c>
      <c r="C485" s="7" t="s">
        <v>169</v>
      </c>
      <c r="D485" s="7" t="s">
        <v>170</v>
      </c>
      <c r="E485" s="7" t="s">
        <v>65</v>
      </c>
      <c r="F485" s="7" t="s">
        <v>66</v>
      </c>
      <c r="G485" s="7" t="s">
        <v>71</v>
      </c>
      <c r="H485" s="7" t="s">
        <v>72</v>
      </c>
      <c r="I485" s="8">
        <v>12</v>
      </c>
      <c r="J485" s="8">
        <v>384730</v>
      </c>
      <c r="K485" s="8">
        <v>5552730</v>
      </c>
    </row>
    <row r="486" spans="1:11">
      <c r="A486" s="7" t="s">
        <v>163</v>
      </c>
      <c r="B486" s="7" t="s">
        <v>164</v>
      </c>
      <c r="C486" s="7" t="s">
        <v>169</v>
      </c>
      <c r="D486" s="7" t="s">
        <v>170</v>
      </c>
      <c r="E486" s="7" t="s">
        <v>75</v>
      </c>
      <c r="F486" s="7" t="s">
        <v>76</v>
      </c>
      <c r="G486" s="7" t="s">
        <v>77</v>
      </c>
      <c r="H486" s="7" t="s">
        <v>78</v>
      </c>
      <c r="I486" s="8">
        <v>5</v>
      </c>
      <c r="J486" s="8">
        <v>69817.99454</v>
      </c>
      <c r="K486" s="8">
        <v>533818</v>
      </c>
    </row>
    <row r="487" spans="1:11">
      <c r="A487" s="7" t="s">
        <v>163</v>
      </c>
      <c r="B487" s="7" t="s">
        <v>164</v>
      </c>
      <c r="C487" s="7" t="s">
        <v>169</v>
      </c>
      <c r="D487" s="7" t="s">
        <v>170</v>
      </c>
      <c r="E487" s="7" t="s">
        <v>75</v>
      </c>
      <c r="F487" s="7" t="s">
        <v>76</v>
      </c>
      <c r="G487" s="7" t="s">
        <v>79</v>
      </c>
      <c r="H487" s="7" t="s">
        <v>80</v>
      </c>
      <c r="I487" s="8">
        <v>57</v>
      </c>
      <c r="J487" s="8">
        <v>2111549.2531499998</v>
      </c>
      <c r="K487" s="8">
        <v>8434540</v>
      </c>
    </row>
    <row r="488" spans="1:11">
      <c r="A488" s="7" t="s">
        <v>163</v>
      </c>
      <c r="B488" s="7" t="s">
        <v>164</v>
      </c>
      <c r="C488" s="7" t="s">
        <v>169</v>
      </c>
      <c r="D488" s="7" t="s">
        <v>170</v>
      </c>
      <c r="E488" s="7" t="s">
        <v>75</v>
      </c>
      <c r="F488" s="7" t="s">
        <v>76</v>
      </c>
      <c r="G488" s="7" t="s">
        <v>81</v>
      </c>
      <c r="H488" s="7" t="s">
        <v>82</v>
      </c>
      <c r="I488" s="8">
        <v>33</v>
      </c>
      <c r="J488" s="8">
        <v>455179.036601</v>
      </c>
      <c r="K488" s="8">
        <v>2548179</v>
      </c>
    </row>
    <row r="489" spans="1:11">
      <c r="A489" s="7" t="s">
        <v>163</v>
      </c>
      <c r="B489" s="7" t="s">
        <v>164</v>
      </c>
      <c r="C489" s="7" t="s">
        <v>169</v>
      </c>
      <c r="D489" s="7" t="s">
        <v>170</v>
      </c>
      <c r="E489" s="7" t="s">
        <v>75</v>
      </c>
      <c r="F489" s="7" t="s">
        <v>76</v>
      </c>
      <c r="G489" s="7" t="s">
        <v>99</v>
      </c>
      <c r="H489" s="7" t="s">
        <v>100</v>
      </c>
      <c r="I489" s="8">
        <v>1</v>
      </c>
      <c r="J489" s="8">
        <v>11545</v>
      </c>
      <c r="K489" s="8">
        <v>44545</v>
      </c>
    </row>
    <row r="490" spans="1:11">
      <c r="A490" s="7" t="s">
        <v>163</v>
      </c>
      <c r="B490" s="7" t="s">
        <v>164</v>
      </c>
      <c r="C490" s="7" t="s">
        <v>169</v>
      </c>
      <c r="D490" s="7" t="s">
        <v>170</v>
      </c>
      <c r="E490" s="7" t="s">
        <v>75</v>
      </c>
      <c r="F490" s="7" t="s">
        <v>76</v>
      </c>
      <c r="G490" s="7" t="s">
        <v>87</v>
      </c>
      <c r="H490" s="7" t="s">
        <v>88</v>
      </c>
      <c r="I490" s="8">
        <v>1</v>
      </c>
      <c r="J490" s="8">
        <v>13091</v>
      </c>
      <c r="K490" s="8">
        <v>59091</v>
      </c>
    </row>
    <row r="491" spans="1:11">
      <c r="A491" s="7" t="s">
        <v>163</v>
      </c>
      <c r="B491" s="7" t="s">
        <v>164</v>
      </c>
      <c r="C491" s="7" t="s">
        <v>169</v>
      </c>
      <c r="D491" s="7" t="s">
        <v>170</v>
      </c>
      <c r="E491" s="7" t="s">
        <v>83</v>
      </c>
      <c r="F491" s="7" t="s">
        <v>84</v>
      </c>
      <c r="G491" s="7" t="s">
        <v>77</v>
      </c>
      <c r="H491" s="7" t="s">
        <v>78</v>
      </c>
      <c r="I491" s="8">
        <v>17</v>
      </c>
      <c r="J491" s="8">
        <v>175134</v>
      </c>
      <c r="K491" s="8">
        <v>519834</v>
      </c>
    </row>
    <row r="492" spans="1:11">
      <c r="A492" s="7" t="s">
        <v>163</v>
      </c>
      <c r="B492" s="7" t="s">
        <v>164</v>
      </c>
      <c r="C492" s="7" t="s">
        <v>169</v>
      </c>
      <c r="D492" s="7" t="s">
        <v>170</v>
      </c>
      <c r="E492" s="7" t="s">
        <v>83</v>
      </c>
      <c r="F492" s="7" t="s">
        <v>84</v>
      </c>
      <c r="G492" s="7" t="s">
        <v>79</v>
      </c>
      <c r="H492" s="7" t="s">
        <v>80</v>
      </c>
      <c r="I492" s="8">
        <v>40</v>
      </c>
      <c r="J492" s="8">
        <v>398295.11228</v>
      </c>
      <c r="K492" s="8">
        <v>830910</v>
      </c>
    </row>
    <row r="493" spans="1:11">
      <c r="A493" s="7" t="s">
        <v>163</v>
      </c>
      <c r="B493" s="7" t="s">
        <v>164</v>
      </c>
      <c r="C493" s="7" t="s">
        <v>169</v>
      </c>
      <c r="D493" s="7" t="s">
        <v>170</v>
      </c>
      <c r="E493" s="7" t="s">
        <v>83</v>
      </c>
      <c r="F493" s="7" t="s">
        <v>84</v>
      </c>
      <c r="G493" s="7" t="s">
        <v>81</v>
      </c>
      <c r="H493" s="7" t="s">
        <v>82</v>
      </c>
      <c r="I493" s="8">
        <v>40</v>
      </c>
      <c r="J493" s="8">
        <v>443746</v>
      </c>
      <c r="K493" s="8">
        <v>973546</v>
      </c>
    </row>
    <row r="494" spans="1:11">
      <c r="A494" s="7" t="s">
        <v>163</v>
      </c>
      <c r="B494" s="7" t="s">
        <v>164</v>
      </c>
      <c r="C494" s="7" t="s">
        <v>169</v>
      </c>
      <c r="D494" s="7" t="s">
        <v>170</v>
      </c>
      <c r="E494" s="7" t="s">
        <v>83</v>
      </c>
      <c r="F494" s="7" t="s">
        <v>84</v>
      </c>
      <c r="G494" s="7" t="s">
        <v>101</v>
      </c>
      <c r="H494" s="7" t="s">
        <v>102</v>
      </c>
      <c r="I494" s="8">
        <v>2</v>
      </c>
      <c r="J494" s="8">
        <v>27836</v>
      </c>
      <c r="K494" s="8">
        <v>143636</v>
      </c>
    </row>
    <row r="495" spans="1:11">
      <c r="A495" s="7" t="s">
        <v>163</v>
      </c>
      <c r="B495" s="7" t="s">
        <v>164</v>
      </c>
      <c r="C495" s="7" t="s">
        <v>169</v>
      </c>
      <c r="D495" s="7" t="s">
        <v>170</v>
      </c>
      <c r="E495" s="7" t="s">
        <v>83</v>
      </c>
      <c r="F495" s="7" t="s">
        <v>84</v>
      </c>
      <c r="G495" s="7" t="s">
        <v>85</v>
      </c>
      <c r="H495" s="7" t="s">
        <v>86</v>
      </c>
      <c r="I495" s="8">
        <v>20</v>
      </c>
      <c r="J495" s="8">
        <v>113172</v>
      </c>
      <c r="K495" s="8">
        <v>333272</v>
      </c>
    </row>
    <row r="496" spans="1:11">
      <c r="A496" s="7" t="s">
        <v>163</v>
      </c>
      <c r="B496" s="7" t="s">
        <v>164</v>
      </c>
      <c r="C496" s="7" t="s">
        <v>169</v>
      </c>
      <c r="D496" s="7" t="s">
        <v>170</v>
      </c>
      <c r="E496" s="7" t="s">
        <v>83</v>
      </c>
      <c r="F496" s="7" t="s">
        <v>84</v>
      </c>
      <c r="G496" s="7" t="s">
        <v>107</v>
      </c>
      <c r="H496" s="7" t="s">
        <v>108</v>
      </c>
      <c r="I496" s="8">
        <v>0</v>
      </c>
      <c r="J496" s="8">
        <v>0</v>
      </c>
      <c r="K496" s="8">
        <v>0</v>
      </c>
    </row>
    <row r="497" spans="1:11">
      <c r="A497" s="7" t="s">
        <v>163</v>
      </c>
      <c r="B497" s="7" t="s">
        <v>164</v>
      </c>
      <c r="C497" s="7" t="s">
        <v>169</v>
      </c>
      <c r="D497" s="7" t="s">
        <v>170</v>
      </c>
      <c r="E497" s="7" t="s">
        <v>83</v>
      </c>
      <c r="F497" s="7" t="s">
        <v>84</v>
      </c>
      <c r="G497" s="7" t="s">
        <v>87</v>
      </c>
      <c r="H497" s="7" t="s">
        <v>88</v>
      </c>
      <c r="I497" s="8">
        <v>5</v>
      </c>
      <c r="J497" s="8">
        <v>39045</v>
      </c>
      <c r="K497" s="8">
        <v>78545</v>
      </c>
    </row>
    <row r="498" spans="1:11">
      <c r="A498" s="7" t="s">
        <v>163</v>
      </c>
      <c r="B498" s="7" t="s">
        <v>164</v>
      </c>
      <c r="C498" s="7" t="s">
        <v>169</v>
      </c>
      <c r="D498" s="7" t="s">
        <v>170</v>
      </c>
      <c r="E498" s="7" t="s">
        <v>89</v>
      </c>
      <c r="F498" s="7" t="s">
        <v>90</v>
      </c>
      <c r="G498" s="7" t="s">
        <v>91</v>
      </c>
      <c r="H498" s="7" t="s">
        <v>90</v>
      </c>
      <c r="I498" s="8">
        <v>19</v>
      </c>
      <c r="J498" s="8">
        <v>0</v>
      </c>
      <c r="K498" s="8">
        <v>0</v>
      </c>
    </row>
    <row r="499" spans="1:11">
      <c r="A499" s="7" t="s">
        <v>163</v>
      </c>
      <c r="B499" s="7" t="s">
        <v>164</v>
      </c>
      <c r="C499" s="7" t="s">
        <v>169</v>
      </c>
      <c r="D499" s="7" t="s">
        <v>170</v>
      </c>
      <c r="E499" s="7" t="s">
        <v>92</v>
      </c>
      <c r="F499" s="7" t="s">
        <v>92</v>
      </c>
      <c r="G499" s="7" t="s">
        <v>92</v>
      </c>
      <c r="H499" s="7" t="s">
        <v>92</v>
      </c>
      <c r="I499" s="8">
        <v>-15975</v>
      </c>
      <c r="J499" s="8">
        <v>-290454</v>
      </c>
      <c r="K499" s="8">
        <v>-290454</v>
      </c>
    </row>
    <row r="500" spans="1:11">
      <c r="A500" s="7" t="s">
        <v>163</v>
      </c>
      <c r="B500" s="7" t="s">
        <v>164</v>
      </c>
      <c r="C500" s="7" t="s">
        <v>171</v>
      </c>
      <c r="D500" s="7" t="s">
        <v>172</v>
      </c>
      <c r="E500" s="7" t="s">
        <v>65</v>
      </c>
      <c r="F500" s="7" t="s">
        <v>66</v>
      </c>
      <c r="G500" s="7" t="s">
        <v>67</v>
      </c>
      <c r="H500" s="7" t="s">
        <v>68</v>
      </c>
      <c r="I500" s="8">
        <v>1</v>
      </c>
      <c r="J500" s="8">
        <v>290000</v>
      </c>
      <c r="K500" s="8">
        <v>2900000</v>
      </c>
    </row>
    <row r="501" spans="1:11">
      <c r="A501" s="7" t="s">
        <v>163</v>
      </c>
      <c r="B501" s="7" t="s">
        <v>164</v>
      </c>
      <c r="C501" s="7" t="s">
        <v>171</v>
      </c>
      <c r="D501" s="7" t="s">
        <v>172</v>
      </c>
      <c r="E501" s="7" t="s">
        <v>65</v>
      </c>
      <c r="F501" s="7" t="s">
        <v>66</v>
      </c>
      <c r="G501" s="7" t="s">
        <v>69</v>
      </c>
      <c r="H501" s="7" t="s">
        <v>36</v>
      </c>
      <c r="I501" s="8">
        <v>2</v>
      </c>
      <c r="J501" s="8">
        <v>230675</v>
      </c>
      <c r="K501" s="8">
        <v>3054545</v>
      </c>
    </row>
    <row r="502" spans="1:11">
      <c r="A502" s="7" t="s">
        <v>163</v>
      </c>
      <c r="B502" s="7" t="s">
        <v>164</v>
      </c>
      <c r="C502" s="7" t="s">
        <v>171</v>
      </c>
      <c r="D502" s="7" t="s">
        <v>172</v>
      </c>
      <c r="E502" s="7" t="s">
        <v>65</v>
      </c>
      <c r="F502" s="7" t="s">
        <v>66</v>
      </c>
      <c r="G502" s="7" t="s">
        <v>70</v>
      </c>
      <c r="H502" s="7" t="s">
        <v>28</v>
      </c>
      <c r="I502" s="8">
        <v>20</v>
      </c>
      <c r="J502" s="8">
        <v>771820</v>
      </c>
      <c r="K502" s="8">
        <v>9981820</v>
      </c>
    </row>
    <row r="503" spans="1:11">
      <c r="A503" s="7" t="s">
        <v>163</v>
      </c>
      <c r="B503" s="7" t="s">
        <v>164</v>
      </c>
      <c r="C503" s="7" t="s">
        <v>171</v>
      </c>
      <c r="D503" s="7" t="s">
        <v>172</v>
      </c>
      <c r="E503" s="7" t="s">
        <v>65</v>
      </c>
      <c r="F503" s="7" t="s">
        <v>66</v>
      </c>
      <c r="G503" s="7" t="s">
        <v>97</v>
      </c>
      <c r="H503" s="7" t="s">
        <v>98</v>
      </c>
      <c r="I503" s="8">
        <v>4</v>
      </c>
      <c r="J503" s="8">
        <v>110544</v>
      </c>
      <c r="K503" s="8">
        <v>1814544</v>
      </c>
    </row>
    <row r="504" spans="1:11">
      <c r="A504" s="7" t="s">
        <v>163</v>
      </c>
      <c r="B504" s="7" t="s">
        <v>164</v>
      </c>
      <c r="C504" s="7" t="s">
        <v>171</v>
      </c>
      <c r="D504" s="7" t="s">
        <v>172</v>
      </c>
      <c r="E504" s="7" t="s">
        <v>65</v>
      </c>
      <c r="F504" s="7" t="s">
        <v>66</v>
      </c>
      <c r="G504" s="7" t="s">
        <v>71</v>
      </c>
      <c r="H504" s="7" t="s">
        <v>72</v>
      </c>
      <c r="I504" s="8">
        <v>11</v>
      </c>
      <c r="J504" s="8">
        <v>365910</v>
      </c>
      <c r="K504" s="8">
        <v>5280910</v>
      </c>
    </row>
    <row r="505" spans="1:11">
      <c r="A505" s="7" t="s">
        <v>163</v>
      </c>
      <c r="B505" s="7" t="s">
        <v>164</v>
      </c>
      <c r="C505" s="7" t="s">
        <v>171</v>
      </c>
      <c r="D505" s="7" t="s">
        <v>172</v>
      </c>
      <c r="E505" s="7" t="s">
        <v>65</v>
      </c>
      <c r="F505" s="7" t="s">
        <v>66</v>
      </c>
      <c r="G505" s="7" t="s">
        <v>73</v>
      </c>
      <c r="H505" s="7" t="s">
        <v>74</v>
      </c>
      <c r="I505" s="8">
        <v>12</v>
      </c>
      <c r="J505" s="8">
        <v>977728</v>
      </c>
      <c r="K505" s="8">
        <v>12252728</v>
      </c>
    </row>
    <row r="506" spans="1:11">
      <c r="A506" s="7" t="s">
        <v>163</v>
      </c>
      <c r="B506" s="7" t="s">
        <v>164</v>
      </c>
      <c r="C506" s="7" t="s">
        <v>171</v>
      </c>
      <c r="D506" s="7" t="s">
        <v>172</v>
      </c>
      <c r="E506" s="7" t="s">
        <v>75</v>
      </c>
      <c r="F506" s="7" t="s">
        <v>76</v>
      </c>
      <c r="G506" s="7" t="s">
        <v>77</v>
      </c>
      <c r="H506" s="7" t="s">
        <v>78</v>
      </c>
      <c r="I506" s="8">
        <v>2</v>
      </c>
      <c r="J506" s="8">
        <v>21817.99727</v>
      </c>
      <c r="K506" s="8">
        <v>161818</v>
      </c>
    </row>
    <row r="507" spans="1:11">
      <c r="A507" s="7" t="s">
        <v>163</v>
      </c>
      <c r="B507" s="7" t="s">
        <v>164</v>
      </c>
      <c r="C507" s="7" t="s">
        <v>171</v>
      </c>
      <c r="D507" s="7" t="s">
        <v>172</v>
      </c>
      <c r="E507" s="7" t="s">
        <v>75</v>
      </c>
      <c r="F507" s="7" t="s">
        <v>76</v>
      </c>
      <c r="G507" s="7" t="s">
        <v>79</v>
      </c>
      <c r="H507" s="7" t="s">
        <v>80</v>
      </c>
      <c r="I507" s="8">
        <v>53</v>
      </c>
      <c r="J507" s="8">
        <v>2160160.7534050001</v>
      </c>
      <c r="K507" s="8">
        <v>9334543</v>
      </c>
    </row>
    <row r="508" spans="1:11">
      <c r="A508" s="7" t="s">
        <v>163</v>
      </c>
      <c r="B508" s="7" t="s">
        <v>164</v>
      </c>
      <c r="C508" s="7" t="s">
        <v>171</v>
      </c>
      <c r="D508" s="7" t="s">
        <v>172</v>
      </c>
      <c r="E508" s="7" t="s">
        <v>75</v>
      </c>
      <c r="F508" s="7" t="s">
        <v>76</v>
      </c>
      <c r="G508" s="7" t="s">
        <v>81</v>
      </c>
      <c r="H508" s="7" t="s">
        <v>82</v>
      </c>
      <c r="I508" s="8">
        <v>18</v>
      </c>
      <c r="J508" s="8">
        <v>288272.07091200002</v>
      </c>
      <c r="K508" s="8">
        <v>1887272</v>
      </c>
    </row>
    <row r="509" spans="1:11">
      <c r="A509" s="7" t="s">
        <v>163</v>
      </c>
      <c r="B509" s="7" t="s">
        <v>164</v>
      </c>
      <c r="C509" s="7" t="s">
        <v>171</v>
      </c>
      <c r="D509" s="7" t="s">
        <v>172</v>
      </c>
      <c r="E509" s="7" t="s">
        <v>75</v>
      </c>
      <c r="F509" s="7" t="s">
        <v>76</v>
      </c>
      <c r="G509" s="7" t="s">
        <v>87</v>
      </c>
      <c r="H509" s="7" t="s">
        <v>88</v>
      </c>
      <c r="I509" s="8">
        <v>3</v>
      </c>
      <c r="J509" s="8">
        <v>37001</v>
      </c>
      <c r="K509" s="8">
        <v>170001</v>
      </c>
    </row>
    <row r="510" spans="1:11">
      <c r="A510" s="7" t="s">
        <v>163</v>
      </c>
      <c r="B510" s="7" t="s">
        <v>164</v>
      </c>
      <c r="C510" s="7" t="s">
        <v>171</v>
      </c>
      <c r="D510" s="7" t="s">
        <v>172</v>
      </c>
      <c r="E510" s="7" t="s">
        <v>83</v>
      </c>
      <c r="F510" s="7" t="s">
        <v>84</v>
      </c>
      <c r="G510" s="7" t="s">
        <v>77</v>
      </c>
      <c r="H510" s="7" t="s">
        <v>78</v>
      </c>
      <c r="I510" s="8">
        <v>7</v>
      </c>
      <c r="J510" s="8">
        <v>88646</v>
      </c>
      <c r="K510" s="8">
        <v>241746</v>
      </c>
    </row>
    <row r="511" spans="1:11">
      <c r="A511" s="7" t="s">
        <v>163</v>
      </c>
      <c r="B511" s="7" t="s">
        <v>164</v>
      </c>
      <c r="C511" s="7" t="s">
        <v>171</v>
      </c>
      <c r="D511" s="7" t="s">
        <v>172</v>
      </c>
      <c r="E511" s="7" t="s">
        <v>83</v>
      </c>
      <c r="F511" s="7" t="s">
        <v>84</v>
      </c>
      <c r="G511" s="7" t="s">
        <v>79</v>
      </c>
      <c r="H511" s="7" t="s">
        <v>80</v>
      </c>
      <c r="I511" s="8">
        <v>41</v>
      </c>
      <c r="J511" s="8">
        <v>422988.71983000002</v>
      </c>
      <c r="K511" s="8">
        <v>899183</v>
      </c>
    </row>
    <row r="512" spans="1:11">
      <c r="A512" s="7" t="s">
        <v>163</v>
      </c>
      <c r="B512" s="7" t="s">
        <v>164</v>
      </c>
      <c r="C512" s="7" t="s">
        <v>171</v>
      </c>
      <c r="D512" s="7" t="s">
        <v>172</v>
      </c>
      <c r="E512" s="7" t="s">
        <v>83</v>
      </c>
      <c r="F512" s="7" t="s">
        <v>84</v>
      </c>
      <c r="G512" s="7" t="s">
        <v>81</v>
      </c>
      <c r="H512" s="7" t="s">
        <v>82</v>
      </c>
      <c r="I512" s="8">
        <v>57</v>
      </c>
      <c r="J512" s="8">
        <v>621983</v>
      </c>
      <c r="K512" s="8">
        <v>1310183</v>
      </c>
    </row>
    <row r="513" spans="1:11">
      <c r="A513" s="7" t="s">
        <v>163</v>
      </c>
      <c r="B513" s="7" t="s">
        <v>164</v>
      </c>
      <c r="C513" s="7" t="s">
        <v>171</v>
      </c>
      <c r="D513" s="7" t="s">
        <v>172</v>
      </c>
      <c r="E513" s="7" t="s">
        <v>83</v>
      </c>
      <c r="F513" s="7" t="s">
        <v>84</v>
      </c>
      <c r="G513" s="7" t="s">
        <v>101</v>
      </c>
      <c r="H513" s="7" t="s">
        <v>102</v>
      </c>
      <c r="I513" s="8">
        <v>1</v>
      </c>
      <c r="J513" s="8">
        <v>13918</v>
      </c>
      <c r="K513" s="8">
        <v>71818</v>
      </c>
    </row>
    <row r="514" spans="1:11">
      <c r="A514" s="7" t="s">
        <v>163</v>
      </c>
      <c r="B514" s="7" t="s">
        <v>164</v>
      </c>
      <c r="C514" s="7" t="s">
        <v>171</v>
      </c>
      <c r="D514" s="7" t="s">
        <v>172</v>
      </c>
      <c r="E514" s="7" t="s">
        <v>83</v>
      </c>
      <c r="F514" s="7" t="s">
        <v>84</v>
      </c>
      <c r="G514" s="7" t="s">
        <v>85</v>
      </c>
      <c r="H514" s="7" t="s">
        <v>86</v>
      </c>
      <c r="I514" s="8">
        <v>30</v>
      </c>
      <c r="J514" s="8">
        <v>141789</v>
      </c>
      <c r="K514" s="8">
        <v>355089</v>
      </c>
    </row>
    <row r="515" spans="1:11">
      <c r="A515" s="7" t="s">
        <v>163</v>
      </c>
      <c r="B515" s="7" t="s">
        <v>164</v>
      </c>
      <c r="C515" s="7" t="s">
        <v>171</v>
      </c>
      <c r="D515" s="7" t="s">
        <v>172</v>
      </c>
      <c r="E515" s="7" t="s">
        <v>83</v>
      </c>
      <c r="F515" s="7" t="s">
        <v>84</v>
      </c>
      <c r="G515" s="7" t="s">
        <v>87</v>
      </c>
      <c r="H515" s="7" t="s">
        <v>88</v>
      </c>
      <c r="I515" s="8">
        <v>5</v>
      </c>
      <c r="J515" s="8">
        <v>45346</v>
      </c>
      <c r="K515" s="8">
        <v>102546</v>
      </c>
    </row>
    <row r="516" spans="1:11">
      <c r="A516" s="7" t="s">
        <v>163</v>
      </c>
      <c r="B516" s="7" t="s">
        <v>164</v>
      </c>
      <c r="C516" s="7" t="s">
        <v>171</v>
      </c>
      <c r="D516" s="7" t="s">
        <v>172</v>
      </c>
      <c r="E516" s="7" t="s">
        <v>89</v>
      </c>
      <c r="F516" s="7" t="s">
        <v>90</v>
      </c>
      <c r="G516" s="7" t="s">
        <v>91</v>
      </c>
      <c r="H516" s="7" t="s">
        <v>90</v>
      </c>
      <c r="I516" s="8">
        <v>31</v>
      </c>
      <c r="J516" s="8">
        <v>1009.795512</v>
      </c>
      <c r="K516" s="8">
        <v>6364</v>
      </c>
    </row>
    <row r="517" spans="1:11">
      <c r="A517" s="7" t="s">
        <v>163</v>
      </c>
      <c r="B517" s="7" t="s">
        <v>164</v>
      </c>
      <c r="C517" s="7" t="s">
        <v>171</v>
      </c>
      <c r="D517" s="7" t="s">
        <v>172</v>
      </c>
      <c r="E517" s="7" t="s">
        <v>92</v>
      </c>
      <c r="F517" s="7" t="s">
        <v>92</v>
      </c>
      <c r="G517" s="7" t="s">
        <v>92</v>
      </c>
      <c r="H517" s="7" t="s">
        <v>92</v>
      </c>
      <c r="I517" s="8">
        <v>-4550</v>
      </c>
      <c r="J517" s="8">
        <v>-82728</v>
      </c>
      <c r="K517" s="8">
        <v>-82728</v>
      </c>
    </row>
    <row r="518" spans="1:11">
      <c r="A518" s="7" t="s">
        <v>173</v>
      </c>
      <c r="B518" s="7" t="s">
        <v>174</v>
      </c>
      <c r="C518" s="7" t="s">
        <v>175</v>
      </c>
      <c r="D518" s="7" t="s">
        <v>176</v>
      </c>
      <c r="E518" s="7" t="s">
        <v>65</v>
      </c>
      <c r="F518" s="7" t="s">
        <v>66</v>
      </c>
      <c r="G518" s="7" t="s">
        <v>67</v>
      </c>
      <c r="H518" s="7" t="s">
        <v>68</v>
      </c>
      <c r="I518" s="8">
        <v>1</v>
      </c>
      <c r="J518" s="8">
        <v>231091</v>
      </c>
      <c r="K518" s="8">
        <v>2309091</v>
      </c>
    </row>
    <row r="519" spans="1:11">
      <c r="A519" s="7" t="s">
        <v>173</v>
      </c>
      <c r="B519" s="7" t="s">
        <v>174</v>
      </c>
      <c r="C519" s="7" t="s">
        <v>175</v>
      </c>
      <c r="D519" s="7" t="s">
        <v>176</v>
      </c>
      <c r="E519" s="7" t="s">
        <v>65</v>
      </c>
      <c r="F519" s="7" t="s">
        <v>66</v>
      </c>
      <c r="G519" s="7" t="s">
        <v>69</v>
      </c>
      <c r="H519" s="7" t="s">
        <v>36</v>
      </c>
      <c r="I519" s="8">
        <v>1</v>
      </c>
      <c r="J519" s="8">
        <v>72816</v>
      </c>
      <c r="K519" s="8">
        <v>963636</v>
      </c>
    </row>
    <row r="520" spans="1:11">
      <c r="A520" s="7" t="s">
        <v>173</v>
      </c>
      <c r="B520" s="7" t="s">
        <v>174</v>
      </c>
      <c r="C520" s="7" t="s">
        <v>175</v>
      </c>
      <c r="D520" s="7" t="s">
        <v>176</v>
      </c>
      <c r="E520" s="7" t="s">
        <v>65</v>
      </c>
      <c r="F520" s="7" t="s">
        <v>66</v>
      </c>
      <c r="G520" s="7" t="s">
        <v>71</v>
      </c>
      <c r="H520" s="7" t="s">
        <v>72</v>
      </c>
      <c r="I520" s="8">
        <v>1</v>
      </c>
      <c r="J520" s="8">
        <v>16455</v>
      </c>
      <c r="K520" s="8">
        <v>235455</v>
      </c>
    </row>
    <row r="521" spans="1:11">
      <c r="A521" s="7" t="s">
        <v>173</v>
      </c>
      <c r="B521" s="7" t="s">
        <v>174</v>
      </c>
      <c r="C521" s="7" t="s">
        <v>175</v>
      </c>
      <c r="D521" s="7" t="s">
        <v>176</v>
      </c>
      <c r="E521" s="7" t="s">
        <v>75</v>
      </c>
      <c r="F521" s="7" t="s">
        <v>76</v>
      </c>
      <c r="G521" s="7" t="s">
        <v>77</v>
      </c>
      <c r="H521" s="7" t="s">
        <v>78</v>
      </c>
      <c r="I521" s="8">
        <v>1</v>
      </c>
      <c r="J521" s="8">
        <v>10908.998635</v>
      </c>
      <c r="K521" s="8">
        <v>80909</v>
      </c>
    </row>
    <row r="522" spans="1:11">
      <c r="A522" s="7" t="s">
        <v>173</v>
      </c>
      <c r="B522" s="7" t="s">
        <v>174</v>
      </c>
      <c r="C522" s="7" t="s">
        <v>175</v>
      </c>
      <c r="D522" s="7" t="s">
        <v>176</v>
      </c>
      <c r="E522" s="7" t="s">
        <v>75</v>
      </c>
      <c r="F522" s="7" t="s">
        <v>76</v>
      </c>
      <c r="G522" s="7" t="s">
        <v>79</v>
      </c>
      <c r="H522" s="7" t="s">
        <v>80</v>
      </c>
      <c r="I522" s="8">
        <v>3</v>
      </c>
      <c r="J522" s="8">
        <v>88635.999972999998</v>
      </c>
      <c r="K522" s="8">
        <v>353636</v>
      </c>
    </row>
    <row r="523" spans="1:11">
      <c r="A523" s="7" t="s">
        <v>173</v>
      </c>
      <c r="B523" s="7" t="s">
        <v>174</v>
      </c>
      <c r="C523" s="7" t="s">
        <v>175</v>
      </c>
      <c r="D523" s="7" t="s">
        <v>176</v>
      </c>
      <c r="E523" s="7" t="s">
        <v>83</v>
      </c>
      <c r="F523" s="7" t="s">
        <v>84</v>
      </c>
      <c r="G523" s="7" t="s">
        <v>77</v>
      </c>
      <c r="H523" s="7" t="s">
        <v>78</v>
      </c>
      <c r="I523" s="8">
        <v>11</v>
      </c>
      <c r="J523" s="8">
        <v>158481</v>
      </c>
      <c r="K523" s="8">
        <v>393363</v>
      </c>
    </row>
    <row r="524" spans="1:11">
      <c r="A524" s="7" t="s">
        <v>173</v>
      </c>
      <c r="B524" s="7" t="s">
        <v>174</v>
      </c>
      <c r="C524" s="7" t="s">
        <v>175</v>
      </c>
      <c r="D524" s="7" t="s">
        <v>176</v>
      </c>
      <c r="E524" s="7" t="s">
        <v>83</v>
      </c>
      <c r="F524" s="7" t="s">
        <v>84</v>
      </c>
      <c r="G524" s="7" t="s">
        <v>79</v>
      </c>
      <c r="H524" s="7" t="s">
        <v>80</v>
      </c>
      <c r="I524" s="8">
        <v>6</v>
      </c>
      <c r="J524" s="8">
        <v>58933.088060000002</v>
      </c>
      <c r="K524" s="8">
        <v>96364</v>
      </c>
    </row>
    <row r="525" spans="1:11">
      <c r="A525" s="7" t="s">
        <v>173</v>
      </c>
      <c r="B525" s="7" t="s">
        <v>174</v>
      </c>
      <c r="C525" s="7" t="s">
        <v>175</v>
      </c>
      <c r="D525" s="7" t="s">
        <v>176</v>
      </c>
      <c r="E525" s="7" t="s">
        <v>83</v>
      </c>
      <c r="F525" s="7" t="s">
        <v>84</v>
      </c>
      <c r="G525" s="7" t="s">
        <v>81</v>
      </c>
      <c r="H525" s="7" t="s">
        <v>82</v>
      </c>
      <c r="I525" s="8">
        <v>3</v>
      </c>
      <c r="J525" s="8">
        <v>32727</v>
      </c>
      <c r="K525" s="8">
        <v>70727</v>
      </c>
    </row>
    <row r="526" spans="1:11">
      <c r="A526" s="7" t="s">
        <v>173</v>
      </c>
      <c r="B526" s="7" t="s">
        <v>174</v>
      </c>
      <c r="C526" s="7" t="s">
        <v>175</v>
      </c>
      <c r="D526" s="7" t="s">
        <v>176</v>
      </c>
      <c r="E526" s="7" t="s">
        <v>83</v>
      </c>
      <c r="F526" s="7" t="s">
        <v>84</v>
      </c>
      <c r="G526" s="7" t="s">
        <v>85</v>
      </c>
      <c r="H526" s="7" t="s">
        <v>86</v>
      </c>
      <c r="I526" s="8">
        <v>3</v>
      </c>
      <c r="J526" s="8">
        <v>17163</v>
      </c>
      <c r="K526" s="8">
        <v>44363</v>
      </c>
    </row>
    <row r="527" spans="1:11">
      <c r="A527" s="7" t="s">
        <v>173</v>
      </c>
      <c r="B527" s="7" t="s">
        <v>174</v>
      </c>
      <c r="C527" s="7" t="s">
        <v>175</v>
      </c>
      <c r="D527" s="7" t="s">
        <v>176</v>
      </c>
      <c r="E527" s="7" t="s">
        <v>83</v>
      </c>
      <c r="F527" s="7" t="s">
        <v>84</v>
      </c>
      <c r="G527" s="7" t="s">
        <v>87</v>
      </c>
      <c r="H527" s="7" t="s">
        <v>88</v>
      </c>
      <c r="I527" s="8">
        <v>3</v>
      </c>
      <c r="J527" s="8">
        <v>27609</v>
      </c>
      <c r="K527" s="8">
        <v>78909</v>
      </c>
    </row>
    <row r="528" spans="1:11">
      <c r="A528" s="7" t="s">
        <v>173</v>
      </c>
      <c r="B528" s="7" t="s">
        <v>174</v>
      </c>
      <c r="C528" s="7" t="s">
        <v>175</v>
      </c>
      <c r="D528" s="7" t="s">
        <v>176</v>
      </c>
      <c r="E528" s="7" t="s">
        <v>89</v>
      </c>
      <c r="F528" s="7" t="s">
        <v>90</v>
      </c>
      <c r="G528" s="7" t="s">
        <v>91</v>
      </c>
      <c r="H528" s="7" t="s">
        <v>90</v>
      </c>
      <c r="I528" s="8">
        <v>3</v>
      </c>
      <c r="J528" s="8">
        <v>0</v>
      </c>
      <c r="K528" s="8">
        <v>0</v>
      </c>
    </row>
    <row r="529" spans="1:11">
      <c r="A529" s="7" t="s">
        <v>173</v>
      </c>
      <c r="B529" s="7" t="s">
        <v>174</v>
      </c>
      <c r="C529" s="7" t="s">
        <v>175</v>
      </c>
      <c r="D529" s="7" t="s">
        <v>176</v>
      </c>
      <c r="E529" s="7" t="s">
        <v>92</v>
      </c>
      <c r="F529" s="7" t="s">
        <v>92</v>
      </c>
      <c r="G529" s="7" t="s">
        <v>92</v>
      </c>
      <c r="H529" s="7" t="s">
        <v>92</v>
      </c>
      <c r="I529" s="8">
        <v>-24012</v>
      </c>
      <c r="J529" s="8">
        <v>-436581</v>
      </c>
      <c r="K529" s="8">
        <v>-436581</v>
      </c>
    </row>
    <row r="530" spans="1:11">
      <c r="A530" s="7" t="s">
        <v>173</v>
      </c>
      <c r="B530" s="7" t="s">
        <v>174</v>
      </c>
      <c r="C530" s="7" t="s">
        <v>177</v>
      </c>
      <c r="D530" s="7" t="s">
        <v>178</v>
      </c>
      <c r="E530" s="7" t="s">
        <v>65</v>
      </c>
      <c r="F530" s="7" t="s">
        <v>66</v>
      </c>
      <c r="G530" s="7" t="s">
        <v>95</v>
      </c>
      <c r="H530" s="7" t="s">
        <v>96</v>
      </c>
      <c r="I530" s="8">
        <v>1</v>
      </c>
      <c r="J530" s="8">
        <v>176636</v>
      </c>
      <c r="K530" s="8">
        <v>1763636</v>
      </c>
    </row>
    <row r="531" spans="1:11">
      <c r="A531" s="7" t="s">
        <v>173</v>
      </c>
      <c r="B531" s="7" t="s">
        <v>174</v>
      </c>
      <c r="C531" s="7" t="s">
        <v>177</v>
      </c>
      <c r="D531" s="7" t="s">
        <v>178</v>
      </c>
      <c r="E531" s="7" t="s">
        <v>65</v>
      </c>
      <c r="F531" s="7" t="s">
        <v>66</v>
      </c>
      <c r="G531" s="7" t="s">
        <v>67</v>
      </c>
      <c r="H531" s="7" t="s">
        <v>68</v>
      </c>
      <c r="I531" s="8">
        <v>3</v>
      </c>
      <c r="J531" s="8">
        <v>833363</v>
      </c>
      <c r="K531" s="8">
        <v>8336363</v>
      </c>
    </row>
    <row r="532" spans="1:11">
      <c r="A532" s="7" t="s">
        <v>173</v>
      </c>
      <c r="B532" s="7" t="s">
        <v>174</v>
      </c>
      <c r="C532" s="7" t="s">
        <v>177</v>
      </c>
      <c r="D532" s="7" t="s">
        <v>178</v>
      </c>
      <c r="E532" s="7" t="s">
        <v>65</v>
      </c>
      <c r="F532" s="7" t="s">
        <v>66</v>
      </c>
      <c r="G532" s="7" t="s">
        <v>69</v>
      </c>
      <c r="H532" s="7" t="s">
        <v>36</v>
      </c>
      <c r="I532" s="8">
        <v>6</v>
      </c>
      <c r="J532" s="8">
        <v>543568</v>
      </c>
      <c r="K532" s="8">
        <v>7190908</v>
      </c>
    </row>
    <row r="533" spans="1:11">
      <c r="A533" s="7" t="s">
        <v>173</v>
      </c>
      <c r="B533" s="7" t="s">
        <v>174</v>
      </c>
      <c r="C533" s="7" t="s">
        <v>177</v>
      </c>
      <c r="D533" s="7" t="s">
        <v>178</v>
      </c>
      <c r="E533" s="7" t="s">
        <v>65</v>
      </c>
      <c r="F533" s="7" t="s">
        <v>66</v>
      </c>
      <c r="G533" s="7" t="s">
        <v>70</v>
      </c>
      <c r="H533" s="7" t="s">
        <v>28</v>
      </c>
      <c r="I533" s="8">
        <v>22</v>
      </c>
      <c r="J533" s="8">
        <v>1003199.470588</v>
      </c>
      <c r="K533" s="8">
        <v>12807273</v>
      </c>
    </row>
    <row r="534" spans="1:11">
      <c r="A534" s="7" t="s">
        <v>173</v>
      </c>
      <c r="B534" s="7" t="s">
        <v>174</v>
      </c>
      <c r="C534" s="7" t="s">
        <v>177</v>
      </c>
      <c r="D534" s="7" t="s">
        <v>178</v>
      </c>
      <c r="E534" s="7" t="s">
        <v>65</v>
      </c>
      <c r="F534" s="7" t="s">
        <v>66</v>
      </c>
      <c r="G534" s="7" t="s">
        <v>97</v>
      </c>
      <c r="H534" s="7" t="s">
        <v>98</v>
      </c>
      <c r="I534" s="8">
        <v>7</v>
      </c>
      <c r="J534" s="8">
        <v>193452</v>
      </c>
      <c r="K534" s="8">
        <v>3175452</v>
      </c>
    </row>
    <row r="535" spans="1:11">
      <c r="A535" s="7" t="s">
        <v>173</v>
      </c>
      <c r="B535" s="7" t="s">
        <v>174</v>
      </c>
      <c r="C535" s="7" t="s">
        <v>177</v>
      </c>
      <c r="D535" s="7" t="s">
        <v>178</v>
      </c>
      <c r="E535" s="7" t="s">
        <v>65</v>
      </c>
      <c r="F535" s="7" t="s">
        <v>66</v>
      </c>
      <c r="G535" s="7" t="s">
        <v>71</v>
      </c>
      <c r="H535" s="7" t="s">
        <v>72</v>
      </c>
      <c r="I535" s="8">
        <v>24</v>
      </c>
      <c r="J535" s="8">
        <v>807914</v>
      </c>
      <c r="K535" s="8">
        <v>11650914</v>
      </c>
    </row>
    <row r="536" spans="1:11">
      <c r="A536" s="7" t="s">
        <v>173</v>
      </c>
      <c r="B536" s="7" t="s">
        <v>174</v>
      </c>
      <c r="C536" s="7" t="s">
        <v>177</v>
      </c>
      <c r="D536" s="7" t="s">
        <v>178</v>
      </c>
      <c r="E536" s="7" t="s">
        <v>65</v>
      </c>
      <c r="F536" s="7" t="s">
        <v>66</v>
      </c>
      <c r="G536" s="7" t="s">
        <v>73</v>
      </c>
      <c r="H536" s="7" t="s">
        <v>74</v>
      </c>
      <c r="I536" s="8">
        <v>5</v>
      </c>
      <c r="J536" s="8">
        <v>442815</v>
      </c>
      <c r="K536" s="8">
        <v>5531815</v>
      </c>
    </row>
    <row r="537" spans="1:11">
      <c r="A537" s="7" t="s">
        <v>173</v>
      </c>
      <c r="B537" s="7" t="s">
        <v>174</v>
      </c>
      <c r="C537" s="7" t="s">
        <v>177</v>
      </c>
      <c r="D537" s="7" t="s">
        <v>178</v>
      </c>
      <c r="E537" s="7" t="s">
        <v>75</v>
      </c>
      <c r="F537" s="7" t="s">
        <v>76</v>
      </c>
      <c r="G537" s="7" t="s">
        <v>77</v>
      </c>
      <c r="H537" s="7" t="s">
        <v>78</v>
      </c>
      <c r="I537" s="8">
        <v>6</v>
      </c>
      <c r="J537" s="8">
        <v>57242.020990999998</v>
      </c>
      <c r="K537" s="8">
        <v>427272</v>
      </c>
    </row>
    <row r="538" spans="1:11">
      <c r="A538" s="7" t="s">
        <v>173</v>
      </c>
      <c r="B538" s="7" t="s">
        <v>174</v>
      </c>
      <c r="C538" s="7" t="s">
        <v>177</v>
      </c>
      <c r="D538" s="7" t="s">
        <v>178</v>
      </c>
      <c r="E538" s="7" t="s">
        <v>75</v>
      </c>
      <c r="F538" s="7" t="s">
        <v>76</v>
      </c>
      <c r="G538" s="7" t="s">
        <v>79</v>
      </c>
      <c r="H538" s="7" t="s">
        <v>80</v>
      </c>
      <c r="I538" s="8">
        <v>154</v>
      </c>
      <c r="J538" s="8">
        <v>5909179.2638480002</v>
      </c>
      <c r="K538" s="8">
        <v>23705543</v>
      </c>
    </row>
    <row r="539" spans="1:11">
      <c r="A539" s="7" t="s">
        <v>173</v>
      </c>
      <c r="B539" s="7" t="s">
        <v>174</v>
      </c>
      <c r="C539" s="7" t="s">
        <v>177</v>
      </c>
      <c r="D539" s="7" t="s">
        <v>178</v>
      </c>
      <c r="E539" s="7" t="s">
        <v>75</v>
      </c>
      <c r="F539" s="7" t="s">
        <v>76</v>
      </c>
      <c r="G539" s="7" t="s">
        <v>81</v>
      </c>
      <c r="H539" s="7" t="s">
        <v>82</v>
      </c>
      <c r="I539" s="8">
        <v>67</v>
      </c>
      <c r="J539" s="8">
        <v>929732.10874599998</v>
      </c>
      <c r="K539" s="8">
        <v>6402732</v>
      </c>
    </row>
    <row r="540" spans="1:11">
      <c r="A540" s="7" t="s">
        <v>173</v>
      </c>
      <c r="B540" s="7" t="s">
        <v>174</v>
      </c>
      <c r="C540" s="7" t="s">
        <v>177</v>
      </c>
      <c r="D540" s="7" t="s">
        <v>178</v>
      </c>
      <c r="E540" s="7" t="s">
        <v>75</v>
      </c>
      <c r="F540" s="7" t="s">
        <v>76</v>
      </c>
      <c r="G540" s="7" t="s">
        <v>87</v>
      </c>
      <c r="H540" s="7" t="s">
        <v>88</v>
      </c>
      <c r="I540" s="8">
        <v>1</v>
      </c>
      <c r="J540" s="8">
        <v>13091</v>
      </c>
      <c r="K540" s="8">
        <v>59091</v>
      </c>
    </row>
    <row r="541" spans="1:11">
      <c r="A541" s="7" t="s">
        <v>173</v>
      </c>
      <c r="B541" s="7" t="s">
        <v>174</v>
      </c>
      <c r="C541" s="7" t="s">
        <v>177</v>
      </c>
      <c r="D541" s="7" t="s">
        <v>178</v>
      </c>
      <c r="E541" s="7" t="s">
        <v>83</v>
      </c>
      <c r="F541" s="7" t="s">
        <v>84</v>
      </c>
      <c r="G541" s="7" t="s">
        <v>77</v>
      </c>
      <c r="H541" s="7" t="s">
        <v>78</v>
      </c>
      <c r="I541" s="8">
        <v>15</v>
      </c>
      <c r="J541" s="8">
        <v>162258</v>
      </c>
      <c r="K541" s="8">
        <v>422908</v>
      </c>
    </row>
    <row r="542" spans="1:11">
      <c r="A542" s="7" t="s">
        <v>173</v>
      </c>
      <c r="B542" s="7" t="s">
        <v>174</v>
      </c>
      <c r="C542" s="7" t="s">
        <v>177</v>
      </c>
      <c r="D542" s="7" t="s">
        <v>178</v>
      </c>
      <c r="E542" s="7" t="s">
        <v>83</v>
      </c>
      <c r="F542" s="7" t="s">
        <v>84</v>
      </c>
      <c r="G542" s="7" t="s">
        <v>79</v>
      </c>
      <c r="H542" s="7" t="s">
        <v>80</v>
      </c>
      <c r="I542" s="8">
        <v>48</v>
      </c>
      <c r="J542" s="8">
        <v>595191.90853999997</v>
      </c>
      <c r="K542" s="8">
        <v>1123101</v>
      </c>
    </row>
    <row r="543" spans="1:11">
      <c r="A543" s="7" t="s">
        <v>173</v>
      </c>
      <c r="B543" s="7" t="s">
        <v>174</v>
      </c>
      <c r="C543" s="7" t="s">
        <v>177</v>
      </c>
      <c r="D543" s="7" t="s">
        <v>178</v>
      </c>
      <c r="E543" s="7" t="s">
        <v>83</v>
      </c>
      <c r="F543" s="7" t="s">
        <v>84</v>
      </c>
      <c r="G543" s="7" t="s">
        <v>81</v>
      </c>
      <c r="H543" s="7" t="s">
        <v>82</v>
      </c>
      <c r="I543" s="8">
        <v>91</v>
      </c>
      <c r="J543" s="8">
        <v>1132085</v>
      </c>
      <c r="K543" s="8">
        <v>2330185</v>
      </c>
    </row>
    <row r="544" spans="1:11">
      <c r="A544" s="7" t="s">
        <v>173</v>
      </c>
      <c r="B544" s="7" t="s">
        <v>174</v>
      </c>
      <c r="C544" s="7" t="s">
        <v>177</v>
      </c>
      <c r="D544" s="7" t="s">
        <v>178</v>
      </c>
      <c r="E544" s="7" t="s">
        <v>83</v>
      </c>
      <c r="F544" s="7" t="s">
        <v>84</v>
      </c>
      <c r="G544" s="7" t="s">
        <v>101</v>
      </c>
      <c r="H544" s="7" t="s">
        <v>102</v>
      </c>
      <c r="I544" s="8">
        <v>1</v>
      </c>
      <c r="J544" s="8">
        <v>19372</v>
      </c>
      <c r="K544" s="8">
        <v>77272</v>
      </c>
    </row>
    <row r="545" spans="1:11">
      <c r="A545" s="7" t="s">
        <v>173</v>
      </c>
      <c r="B545" s="7" t="s">
        <v>174</v>
      </c>
      <c r="C545" s="7" t="s">
        <v>177</v>
      </c>
      <c r="D545" s="7" t="s">
        <v>178</v>
      </c>
      <c r="E545" s="7" t="s">
        <v>83</v>
      </c>
      <c r="F545" s="7" t="s">
        <v>84</v>
      </c>
      <c r="G545" s="7" t="s">
        <v>85</v>
      </c>
      <c r="H545" s="7" t="s">
        <v>86</v>
      </c>
      <c r="I545" s="8">
        <v>75</v>
      </c>
      <c r="J545" s="8">
        <v>504814</v>
      </c>
      <c r="K545" s="8">
        <v>1533814</v>
      </c>
    </row>
    <row r="546" spans="1:11">
      <c r="A546" s="7" t="s">
        <v>173</v>
      </c>
      <c r="B546" s="7" t="s">
        <v>174</v>
      </c>
      <c r="C546" s="7" t="s">
        <v>177</v>
      </c>
      <c r="D546" s="7" t="s">
        <v>178</v>
      </c>
      <c r="E546" s="7" t="s">
        <v>83</v>
      </c>
      <c r="F546" s="7" t="s">
        <v>84</v>
      </c>
      <c r="G546" s="7" t="s">
        <v>107</v>
      </c>
      <c r="H546" s="7" t="s">
        <v>108</v>
      </c>
      <c r="I546" s="8">
        <v>1</v>
      </c>
      <c r="J546" s="8">
        <v>5445</v>
      </c>
      <c r="K546" s="8">
        <v>13545</v>
      </c>
    </row>
    <row r="547" spans="1:11">
      <c r="A547" s="7" t="s">
        <v>173</v>
      </c>
      <c r="B547" s="7" t="s">
        <v>174</v>
      </c>
      <c r="C547" s="7" t="s">
        <v>177</v>
      </c>
      <c r="D547" s="7" t="s">
        <v>178</v>
      </c>
      <c r="E547" s="7" t="s">
        <v>83</v>
      </c>
      <c r="F547" s="7" t="s">
        <v>84</v>
      </c>
      <c r="G547" s="7" t="s">
        <v>87</v>
      </c>
      <c r="H547" s="7" t="s">
        <v>88</v>
      </c>
      <c r="I547" s="8">
        <v>26</v>
      </c>
      <c r="J547" s="8">
        <v>228457</v>
      </c>
      <c r="K547" s="8">
        <v>472907</v>
      </c>
    </row>
    <row r="548" spans="1:11">
      <c r="A548" s="7" t="s">
        <v>173</v>
      </c>
      <c r="B548" s="7" t="s">
        <v>174</v>
      </c>
      <c r="C548" s="7" t="s">
        <v>177</v>
      </c>
      <c r="D548" s="7" t="s">
        <v>178</v>
      </c>
      <c r="E548" s="7" t="s">
        <v>89</v>
      </c>
      <c r="F548" s="7" t="s">
        <v>90</v>
      </c>
      <c r="G548" s="7" t="s">
        <v>91</v>
      </c>
      <c r="H548" s="7" t="s">
        <v>90</v>
      </c>
      <c r="I548" s="8">
        <v>54</v>
      </c>
      <c r="J548" s="8">
        <v>1009.795512</v>
      </c>
      <c r="K548" s="8">
        <v>6364</v>
      </c>
    </row>
    <row r="549" spans="1:11">
      <c r="A549" s="7" t="s">
        <v>173</v>
      </c>
      <c r="B549" s="7" t="s">
        <v>174</v>
      </c>
      <c r="C549" s="7" t="s">
        <v>177</v>
      </c>
      <c r="D549" s="7" t="s">
        <v>178</v>
      </c>
      <c r="E549" s="7" t="s">
        <v>92</v>
      </c>
      <c r="F549" s="7" t="s">
        <v>92</v>
      </c>
      <c r="G549" s="7" t="s">
        <v>92</v>
      </c>
      <c r="H549" s="7" t="s">
        <v>92</v>
      </c>
      <c r="I549" s="8">
        <v>-9751</v>
      </c>
      <c r="J549" s="8">
        <v>-177290</v>
      </c>
      <c r="K549" s="8">
        <v>-177290</v>
      </c>
    </row>
    <row r="550" spans="1:11">
      <c r="A550" s="7" t="s">
        <v>173</v>
      </c>
      <c r="B550" s="7" t="s">
        <v>174</v>
      </c>
      <c r="C550" s="7" t="s">
        <v>179</v>
      </c>
      <c r="D550" s="7" t="s">
        <v>180</v>
      </c>
      <c r="E550" s="7" t="s">
        <v>65</v>
      </c>
      <c r="F550" s="7" t="s">
        <v>66</v>
      </c>
      <c r="G550" s="7" t="s">
        <v>95</v>
      </c>
      <c r="H550" s="7" t="s">
        <v>96</v>
      </c>
      <c r="I550" s="8">
        <v>0</v>
      </c>
      <c r="J550" s="8">
        <v>0</v>
      </c>
      <c r="K550" s="8">
        <v>0</v>
      </c>
    </row>
    <row r="551" spans="1:11">
      <c r="A551" s="7" t="s">
        <v>173</v>
      </c>
      <c r="B551" s="7" t="s">
        <v>174</v>
      </c>
      <c r="C551" s="7" t="s">
        <v>179</v>
      </c>
      <c r="D551" s="7" t="s">
        <v>180</v>
      </c>
      <c r="E551" s="7" t="s">
        <v>65</v>
      </c>
      <c r="F551" s="7" t="s">
        <v>66</v>
      </c>
      <c r="G551" s="7" t="s">
        <v>67</v>
      </c>
      <c r="H551" s="7" t="s">
        <v>68</v>
      </c>
      <c r="I551" s="8">
        <v>5</v>
      </c>
      <c r="J551" s="8">
        <v>1172273</v>
      </c>
      <c r="K551" s="8">
        <v>11727273</v>
      </c>
    </row>
    <row r="552" spans="1:11">
      <c r="A552" s="7" t="s">
        <v>173</v>
      </c>
      <c r="B552" s="7" t="s">
        <v>174</v>
      </c>
      <c r="C552" s="7" t="s">
        <v>179</v>
      </c>
      <c r="D552" s="7" t="s">
        <v>180</v>
      </c>
      <c r="E552" s="7" t="s">
        <v>65</v>
      </c>
      <c r="F552" s="7" t="s">
        <v>66</v>
      </c>
      <c r="G552" s="7" t="s">
        <v>69</v>
      </c>
      <c r="H552" s="7" t="s">
        <v>36</v>
      </c>
      <c r="I552" s="8">
        <v>5</v>
      </c>
      <c r="J552" s="8">
        <v>428746</v>
      </c>
      <c r="K552" s="8">
        <v>5672726</v>
      </c>
    </row>
    <row r="553" spans="1:11">
      <c r="A553" s="7" t="s">
        <v>173</v>
      </c>
      <c r="B553" s="7" t="s">
        <v>174</v>
      </c>
      <c r="C553" s="7" t="s">
        <v>179</v>
      </c>
      <c r="D553" s="7" t="s">
        <v>180</v>
      </c>
      <c r="E553" s="7" t="s">
        <v>65</v>
      </c>
      <c r="F553" s="7" t="s">
        <v>66</v>
      </c>
      <c r="G553" s="7" t="s">
        <v>70</v>
      </c>
      <c r="H553" s="7" t="s">
        <v>28</v>
      </c>
      <c r="I553" s="8">
        <v>15</v>
      </c>
      <c r="J553" s="8">
        <v>658909</v>
      </c>
      <c r="K553" s="8">
        <v>8240909</v>
      </c>
    </row>
    <row r="554" spans="1:11">
      <c r="A554" s="7" t="s">
        <v>173</v>
      </c>
      <c r="B554" s="7" t="s">
        <v>174</v>
      </c>
      <c r="C554" s="7" t="s">
        <v>179</v>
      </c>
      <c r="D554" s="7" t="s">
        <v>180</v>
      </c>
      <c r="E554" s="7" t="s">
        <v>65</v>
      </c>
      <c r="F554" s="7" t="s">
        <v>66</v>
      </c>
      <c r="G554" s="7" t="s">
        <v>97</v>
      </c>
      <c r="H554" s="7" t="s">
        <v>98</v>
      </c>
      <c r="I554" s="8">
        <v>2</v>
      </c>
      <c r="J554" s="8">
        <v>55272</v>
      </c>
      <c r="K554" s="8">
        <v>907272</v>
      </c>
    </row>
    <row r="555" spans="1:11">
      <c r="A555" s="7" t="s">
        <v>173</v>
      </c>
      <c r="B555" s="7" t="s">
        <v>174</v>
      </c>
      <c r="C555" s="7" t="s">
        <v>179</v>
      </c>
      <c r="D555" s="7" t="s">
        <v>180</v>
      </c>
      <c r="E555" s="7" t="s">
        <v>65</v>
      </c>
      <c r="F555" s="7" t="s">
        <v>66</v>
      </c>
      <c r="G555" s="7" t="s">
        <v>71</v>
      </c>
      <c r="H555" s="7" t="s">
        <v>72</v>
      </c>
      <c r="I555" s="8">
        <v>15</v>
      </c>
      <c r="J555" s="8">
        <v>438821</v>
      </c>
      <c r="K555" s="8">
        <v>6331821</v>
      </c>
    </row>
    <row r="556" spans="1:11">
      <c r="A556" s="7" t="s">
        <v>173</v>
      </c>
      <c r="B556" s="7" t="s">
        <v>174</v>
      </c>
      <c r="C556" s="7" t="s">
        <v>179</v>
      </c>
      <c r="D556" s="7" t="s">
        <v>180</v>
      </c>
      <c r="E556" s="7" t="s">
        <v>65</v>
      </c>
      <c r="F556" s="7" t="s">
        <v>66</v>
      </c>
      <c r="G556" s="7" t="s">
        <v>73</v>
      </c>
      <c r="H556" s="7" t="s">
        <v>74</v>
      </c>
      <c r="I556" s="8">
        <v>3</v>
      </c>
      <c r="J556" s="8">
        <v>288181</v>
      </c>
      <c r="K556" s="8">
        <v>3588181</v>
      </c>
    </row>
    <row r="557" spans="1:11">
      <c r="A557" s="7" t="s">
        <v>173</v>
      </c>
      <c r="B557" s="7" t="s">
        <v>174</v>
      </c>
      <c r="C557" s="7" t="s">
        <v>179</v>
      </c>
      <c r="D557" s="7" t="s">
        <v>180</v>
      </c>
      <c r="E557" s="7" t="s">
        <v>75</v>
      </c>
      <c r="F557" s="7" t="s">
        <v>76</v>
      </c>
      <c r="G557" s="7" t="s">
        <v>77</v>
      </c>
      <c r="H557" s="7" t="s">
        <v>78</v>
      </c>
      <c r="I557" s="8">
        <v>9</v>
      </c>
      <c r="J557" s="8">
        <v>179816.99019700001</v>
      </c>
      <c r="K557" s="8">
        <v>1419817</v>
      </c>
    </row>
    <row r="558" spans="1:11">
      <c r="A558" s="7" t="s">
        <v>173</v>
      </c>
      <c r="B558" s="7" t="s">
        <v>174</v>
      </c>
      <c r="C558" s="7" t="s">
        <v>179</v>
      </c>
      <c r="D558" s="7" t="s">
        <v>180</v>
      </c>
      <c r="E558" s="7" t="s">
        <v>75</v>
      </c>
      <c r="F558" s="7" t="s">
        <v>76</v>
      </c>
      <c r="G558" s="7" t="s">
        <v>79</v>
      </c>
      <c r="H558" s="7" t="s">
        <v>80</v>
      </c>
      <c r="I558" s="8">
        <v>75</v>
      </c>
      <c r="J558" s="8">
        <v>2822187.335405</v>
      </c>
      <c r="K558" s="8">
        <v>11329175</v>
      </c>
    </row>
    <row r="559" spans="1:11">
      <c r="A559" s="7" t="s">
        <v>173</v>
      </c>
      <c r="B559" s="7" t="s">
        <v>174</v>
      </c>
      <c r="C559" s="7" t="s">
        <v>179</v>
      </c>
      <c r="D559" s="7" t="s">
        <v>180</v>
      </c>
      <c r="E559" s="7" t="s">
        <v>75</v>
      </c>
      <c r="F559" s="7" t="s">
        <v>76</v>
      </c>
      <c r="G559" s="7" t="s">
        <v>81</v>
      </c>
      <c r="H559" s="7" t="s">
        <v>82</v>
      </c>
      <c r="I559" s="8">
        <v>21</v>
      </c>
      <c r="J559" s="8">
        <v>258545.03669400001</v>
      </c>
      <c r="K559" s="8">
        <v>1734545</v>
      </c>
    </row>
    <row r="560" spans="1:11">
      <c r="A560" s="7" t="s">
        <v>173</v>
      </c>
      <c r="B560" s="7" t="s">
        <v>174</v>
      </c>
      <c r="C560" s="7" t="s">
        <v>179</v>
      </c>
      <c r="D560" s="7" t="s">
        <v>180</v>
      </c>
      <c r="E560" s="7" t="s">
        <v>75</v>
      </c>
      <c r="F560" s="7" t="s">
        <v>76</v>
      </c>
      <c r="G560" s="7" t="s">
        <v>99</v>
      </c>
      <c r="H560" s="7" t="s">
        <v>100</v>
      </c>
      <c r="I560" s="8">
        <v>1</v>
      </c>
      <c r="J560" s="8">
        <v>11545</v>
      </c>
      <c r="K560" s="8">
        <v>44545</v>
      </c>
    </row>
    <row r="561" spans="1:11">
      <c r="A561" s="7" t="s">
        <v>173</v>
      </c>
      <c r="B561" s="7" t="s">
        <v>174</v>
      </c>
      <c r="C561" s="7" t="s">
        <v>179</v>
      </c>
      <c r="D561" s="7" t="s">
        <v>180</v>
      </c>
      <c r="E561" s="7" t="s">
        <v>75</v>
      </c>
      <c r="F561" s="7" t="s">
        <v>76</v>
      </c>
      <c r="G561" s="7" t="s">
        <v>87</v>
      </c>
      <c r="H561" s="7" t="s">
        <v>88</v>
      </c>
      <c r="I561" s="8">
        <v>1</v>
      </c>
      <c r="J561" s="8">
        <v>13091</v>
      </c>
      <c r="K561" s="8">
        <v>59091</v>
      </c>
    </row>
    <row r="562" spans="1:11">
      <c r="A562" s="7" t="s">
        <v>173</v>
      </c>
      <c r="B562" s="7" t="s">
        <v>174</v>
      </c>
      <c r="C562" s="7" t="s">
        <v>179</v>
      </c>
      <c r="D562" s="7" t="s">
        <v>180</v>
      </c>
      <c r="E562" s="7" t="s">
        <v>83</v>
      </c>
      <c r="F562" s="7" t="s">
        <v>84</v>
      </c>
      <c r="G562" s="7" t="s">
        <v>77</v>
      </c>
      <c r="H562" s="7" t="s">
        <v>78</v>
      </c>
      <c r="I562" s="8">
        <v>15</v>
      </c>
      <c r="J562" s="8">
        <v>179818</v>
      </c>
      <c r="K562" s="8">
        <v>585291</v>
      </c>
    </row>
    <row r="563" spans="1:11">
      <c r="A563" s="7" t="s">
        <v>173</v>
      </c>
      <c r="B563" s="7" t="s">
        <v>174</v>
      </c>
      <c r="C563" s="7" t="s">
        <v>179</v>
      </c>
      <c r="D563" s="7" t="s">
        <v>180</v>
      </c>
      <c r="E563" s="7" t="s">
        <v>83</v>
      </c>
      <c r="F563" s="7" t="s">
        <v>84</v>
      </c>
      <c r="G563" s="7" t="s">
        <v>79</v>
      </c>
      <c r="H563" s="7" t="s">
        <v>80</v>
      </c>
      <c r="I563" s="8">
        <v>35</v>
      </c>
      <c r="J563" s="8">
        <v>481972.71414599998</v>
      </c>
      <c r="K563" s="8">
        <v>882093</v>
      </c>
    </row>
    <row r="564" spans="1:11">
      <c r="A564" s="7" t="s">
        <v>173</v>
      </c>
      <c r="B564" s="7" t="s">
        <v>174</v>
      </c>
      <c r="C564" s="7" t="s">
        <v>179</v>
      </c>
      <c r="D564" s="7" t="s">
        <v>180</v>
      </c>
      <c r="E564" s="7" t="s">
        <v>83</v>
      </c>
      <c r="F564" s="7" t="s">
        <v>84</v>
      </c>
      <c r="G564" s="7" t="s">
        <v>81</v>
      </c>
      <c r="H564" s="7" t="s">
        <v>82</v>
      </c>
      <c r="I564" s="8">
        <v>39</v>
      </c>
      <c r="J564" s="8">
        <v>518067</v>
      </c>
      <c r="K564" s="8">
        <v>1051367</v>
      </c>
    </row>
    <row r="565" spans="1:11">
      <c r="A565" s="7" t="s">
        <v>173</v>
      </c>
      <c r="B565" s="7" t="s">
        <v>174</v>
      </c>
      <c r="C565" s="7" t="s">
        <v>179</v>
      </c>
      <c r="D565" s="7" t="s">
        <v>180</v>
      </c>
      <c r="E565" s="7" t="s">
        <v>83</v>
      </c>
      <c r="F565" s="7" t="s">
        <v>84</v>
      </c>
      <c r="G565" s="7" t="s">
        <v>85</v>
      </c>
      <c r="H565" s="7" t="s">
        <v>86</v>
      </c>
      <c r="I565" s="8">
        <v>44</v>
      </c>
      <c r="J565" s="8">
        <v>219652</v>
      </c>
      <c r="K565" s="8">
        <v>546634</v>
      </c>
    </row>
    <row r="566" spans="1:11">
      <c r="A566" s="7" t="s">
        <v>173</v>
      </c>
      <c r="B566" s="7" t="s">
        <v>174</v>
      </c>
      <c r="C566" s="7" t="s">
        <v>179</v>
      </c>
      <c r="D566" s="7" t="s">
        <v>180</v>
      </c>
      <c r="E566" s="7" t="s">
        <v>83</v>
      </c>
      <c r="F566" s="7" t="s">
        <v>84</v>
      </c>
      <c r="G566" s="7" t="s">
        <v>107</v>
      </c>
      <c r="H566" s="7" t="s">
        <v>108</v>
      </c>
      <c r="I566" s="8">
        <v>2</v>
      </c>
      <c r="J566" s="8">
        <v>15545</v>
      </c>
      <c r="K566" s="8">
        <v>44545</v>
      </c>
    </row>
    <row r="567" spans="1:11">
      <c r="A567" s="7" t="s">
        <v>173</v>
      </c>
      <c r="B567" s="7" t="s">
        <v>174</v>
      </c>
      <c r="C567" s="7" t="s">
        <v>179</v>
      </c>
      <c r="D567" s="7" t="s">
        <v>180</v>
      </c>
      <c r="E567" s="7" t="s">
        <v>83</v>
      </c>
      <c r="F567" s="7" t="s">
        <v>84</v>
      </c>
      <c r="G567" s="7" t="s">
        <v>87</v>
      </c>
      <c r="H567" s="7" t="s">
        <v>88</v>
      </c>
      <c r="I567" s="8">
        <v>9</v>
      </c>
      <c r="J567" s="8">
        <v>69240</v>
      </c>
      <c r="K567" s="8">
        <v>153090</v>
      </c>
    </row>
    <row r="568" spans="1:11">
      <c r="A568" s="7" t="s">
        <v>173</v>
      </c>
      <c r="B568" s="7" t="s">
        <v>174</v>
      </c>
      <c r="C568" s="7" t="s">
        <v>179</v>
      </c>
      <c r="D568" s="7" t="s">
        <v>180</v>
      </c>
      <c r="E568" s="7" t="s">
        <v>89</v>
      </c>
      <c r="F568" s="7" t="s">
        <v>90</v>
      </c>
      <c r="G568" s="7" t="s">
        <v>91</v>
      </c>
      <c r="H568" s="7" t="s">
        <v>90</v>
      </c>
      <c r="I568" s="8">
        <v>32</v>
      </c>
      <c r="J568" s="8">
        <v>0</v>
      </c>
      <c r="K568" s="8">
        <v>0</v>
      </c>
    </row>
    <row r="569" spans="1:11">
      <c r="A569" s="7" t="s">
        <v>173</v>
      </c>
      <c r="B569" s="7" t="s">
        <v>174</v>
      </c>
      <c r="C569" s="7" t="s">
        <v>179</v>
      </c>
      <c r="D569" s="7" t="s">
        <v>180</v>
      </c>
      <c r="E569" s="7" t="s">
        <v>92</v>
      </c>
      <c r="F569" s="7" t="s">
        <v>92</v>
      </c>
      <c r="G569" s="7" t="s">
        <v>92</v>
      </c>
      <c r="H569" s="7" t="s">
        <v>92</v>
      </c>
      <c r="I569" s="8">
        <v>-23407</v>
      </c>
      <c r="J569" s="8">
        <v>-425582</v>
      </c>
      <c r="K569" s="8">
        <v>-425582</v>
      </c>
    </row>
    <row r="570" spans="1:11">
      <c r="A570" s="7" t="s">
        <v>173</v>
      </c>
      <c r="B570" s="7" t="s">
        <v>174</v>
      </c>
      <c r="C570" s="7" t="s">
        <v>181</v>
      </c>
      <c r="D570" s="7" t="s">
        <v>182</v>
      </c>
      <c r="E570" s="7" t="s">
        <v>65</v>
      </c>
      <c r="F570" s="7" t="s">
        <v>66</v>
      </c>
      <c r="G570" s="7" t="s">
        <v>95</v>
      </c>
      <c r="H570" s="7" t="s">
        <v>96</v>
      </c>
      <c r="I570" s="8">
        <v>2</v>
      </c>
      <c r="J570" s="8">
        <v>478909</v>
      </c>
      <c r="K570" s="8">
        <v>4790909</v>
      </c>
    </row>
    <row r="571" spans="1:11">
      <c r="A571" s="7" t="s">
        <v>173</v>
      </c>
      <c r="B571" s="7" t="s">
        <v>174</v>
      </c>
      <c r="C571" s="7" t="s">
        <v>181</v>
      </c>
      <c r="D571" s="7" t="s">
        <v>182</v>
      </c>
      <c r="E571" s="7" t="s">
        <v>65</v>
      </c>
      <c r="F571" s="7" t="s">
        <v>66</v>
      </c>
      <c r="G571" s="7" t="s">
        <v>67</v>
      </c>
      <c r="H571" s="7" t="s">
        <v>68</v>
      </c>
      <c r="I571" s="8">
        <v>4</v>
      </c>
      <c r="J571" s="8">
        <v>1168909</v>
      </c>
      <c r="K571" s="8">
        <v>11690909</v>
      </c>
    </row>
    <row r="572" spans="1:11">
      <c r="A572" s="7" t="s">
        <v>173</v>
      </c>
      <c r="B572" s="7" t="s">
        <v>174</v>
      </c>
      <c r="C572" s="7" t="s">
        <v>181</v>
      </c>
      <c r="D572" s="7" t="s">
        <v>182</v>
      </c>
      <c r="E572" s="7" t="s">
        <v>65</v>
      </c>
      <c r="F572" s="7" t="s">
        <v>66</v>
      </c>
      <c r="G572" s="7" t="s">
        <v>69</v>
      </c>
      <c r="H572" s="7" t="s">
        <v>36</v>
      </c>
      <c r="I572" s="8">
        <v>9</v>
      </c>
      <c r="J572" s="8">
        <v>825432</v>
      </c>
      <c r="K572" s="8">
        <v>10927272</v>
      </c>
    </row>
    <row r="573" spans="1:11">
      <c r="A573" s="7" t="s">
        <v>173</v>
      </c>
      <c r="B573" s="7" t="s">
        <v>174</v>
      </c>
      <c r="C573" s="7" t="s">
        <v>181</v>
      </c>
      <c r="D573" s="7" t="s">
        <v>182</v>
      </c>
      <c r="E573" s="7" t="s">
        <v>65</v>
      </c>
      <c r="F573" s="7" t="s">
        <v>66</v>
      </c>
      <c r="G573" s="7" t="s">
        <v>70</v>
      </c>
      <c r="H573" s="7" t="s">
        <v>28</v>
      </c>
      <c r="I573" s="8">
        <v>35</v>
      </c>
      <c r="J573" s="8">
        <v>1556999</v>
      </c>
      <c r="K573" s="8">
        <v>19749999</v>
      </c>
    </row>
    <row r="574" spans="1:11">
      <c r="A574" s="7" t="s">
        <v>173</v>
      </c>
      <c r="B574" s="7" t="s">
        <v>174</v>
      </c>
      <c r="C574" s="7" t="s">
        <v>181</v>
      </c>
      <c r="D574" s="7" t="s">
        <v>182</v>
      </c>
      <c r="E574" s="7" t="s">
        <v>65</v>
      </c>
      <c r="F574" s="7" t="s">
        <v>66</v>
      </c>
      <c r="G574" s="7" t="s">
        <v>97</v>
      </c>
      <c r="H574" s="7" t="s">
        <v>98</v>
      </c>
      <c r="I574" s="8">
        <v>6</v>
      </c>
      <c r="J574" s="8">
        <v>165817</v>
      </c>
      <c r="K574" s="8">
        <v>2721817</v>
      </c>
    </row>
    <row r="575" spans="1:11">
      <c r="A575" s="7" t="s">
        <v>173</v>
      </c>
      <c r="B575" s="7" t="s">
        <v>174</v>
      </c>
      <c r="C575" s="7" t="s">
        <v>181</v>
      </c>
      <c r="D575" s="7" t="s">
        <v>182</v>
      </c>
      <c r="E575" s="7" t="s">
        <v>65</v>
      </c>
      <c r="F575" s="7" t="s">
        <v>66</v>
      </c>
      <c r="G575" s="7" t="s">
        <v>71</v>
      </c>
      <c r="H575" s="7" t="s">
        <v>72</v>
      </c>
      <c r="I575" s="8">
        <v>23</v>
      </c>
      <c r="J575" s="8">
        <v>778457</v>
      </c>
      <c r="K575" s="8">
        <v>11215457</v>
      </c>
    </row>
    <row r="576" spans="1:11">
      <c r="A576" s="7" t="s">
        <v>173</v>
      </c>
      <c r="B576" s="7" t="s">
        <v>174</v>
      </c>
      <c r="C576" s="7" t="s">
        <v>181</v>
      </c>
      <c r="D576" s="7" t="s">
        <v>182</v>
      </c>
      <c r="E576" s="7" t="s">
        <v>65</v>
      </c>
      <c r="F576" s="7" t="s">
        <v>66</v>
      </c>
      <c r="G576" s="7" t="s">
        <v>73</v>
      </c>
      <c r="H576" s="7" t="s">
        <v>74</v>
      </c>
      <c r="I576" s="8">
        <v>3</v>
      </c>
      <c r="J576" s="8">
        <v>264181</v>
      </c>
      <c r="K576" s="8">
        <v>3288181</v>
      </c>
    </row>
    <row r="577" spans="1:11">
      <c r="A577" s="7" t="s">
        <v>173</v>
      </c>
      <c r="B577" s="7" t="s">
        <v>174</v>
      </c>
      <c r="C577" s="7" t="s">
        <v>181</v>
      </c>
      <c r="D577" s="7" t="s">
        <v>182</v>
      </c>
      <c r="E577" s="7" t="s">
        <v>75</v>
      </c>
      <c r="F577" s="7" t="s">
        <v>76</v>
      </c>
      <c r="G577" s="7" t="s">
        <v>77</v>
      </c>
      <c r="H577" s="7" t="s">
        <v>78</v>
      </c>
      <c r="I577" s="8">
        <v>6</v>
      </c>
      <c r="J577" s="8">
        <v>91089.997270000007</v>
      </c>
      <c r="K577" s="8">
        <v>713090</v>
      </c>
    </row>
    <row r="578" spans="1:11">
      <c r="A578" s="7" t="s">
        <v>173</v>
      </c>
      <c r="B578" s="7" t="s">
        <v>174</v>
      </c>
      <c r="C578" s="7" t="s">
        <v>181</v>
      </c>
      <c r="D578" s="7" t="s">
        <v>182</v>
      </c>
      <c r="E578" s="7" t="s">
        <v>75</v>
      </c>
      <c r="F578" s="7" t="s">
        <v>76</v>
      </c>
      <c r="G578" s="7" t="s">
        <v>79</v>
      </c>
      <c r="H578" s="7" t="s">
        <v>80</v>
      </c>
      <c r="I578" s="8">
        <v>117</v>
      </c>
      <c r="J578" s="8">
        <v>4360380.6802620003</v>
      </c>
      <c r="K578" s="8">
        <v>17477356</v>
      </c>
    </row>
    <row r="579" spans="1:11">
      <c r="A579" s="7" t="s">
        <v>173</v>
      </c>
      <c r="B579" s="7" t="s">
        <v>174</v>
      </c>
      <c r="C579" s="7" t="s">
        <v>181</v>
      </c>
      <c r="D579" s="7" t="s">
        <v>182</v>
      </c>
      <c r="E579" s="7" t="s">
        <v>75</v>
      </c>
      <c r="F579" s="7" t="s">
        <v>76</v>
      </c>
      <c r="G579" s="7" t="s">
        <v>81</v>
      </c>
      <c r="H579" s="7" t="s">
        <v>82</v>
      </c>
      <c r="I579" s="8">
        <v>39</v>
      </c>
      <c r="J579" s="8">
        <v>597272.07039400004</v>
      </c>
      <c r="K579" s="8">
        <v>3437272</v>
      </c>
    </row>
    <row r="580" spans="1:11">
      <c r="A580" s="7" t="s">
        <v>173</v>
      </c>
      <c r="B580" s="7" t="s">
        <v>174</v>
      </c>
      <c r="C580" s="7" t="s">
        <v>181</v>
      </c>
      <c r="D580" s="7" t="s">
        <v>182</v>
      </c>
      <c r="E580" s="7" t="s">
        <v>75</v>
      </c>
      <c r="F580" s="7" t="s">
        <v>76</v>
      </c>
      <c r="G580" s="7" t="s">
        <v>99</v>
      </c>
      <c r="H580" s="7" t="s">
        <v>100</v>
      </c>
      <c r="I580" s="8">
        <v>1</v>
      </c>
      <c r="J580" s="8">
        <v>11545</v>
      </c>
      <c r="K580" s="8">
        <v>44545</v>
      </c>
    </row>
    <row r="581" spans="1:11">
      <c r="A581" s="7" t="s">
        <v>173</v>
      </c>
      <c r="B581" s="7" t="s">
        <v>174</v>
      </c>
      <c r="C581" s="7" t="s">
        <v>181</v>
      </c>
      <c r="D581" s="7" t="s">
        <v>182</v>
      </c>
      <c r="E581" s="7" t="s">
        <v>75</v>
      </c>
      <c r="F581" s="7" t="s">
        <v>76</v>
      </c>
      <c r="G581" s="7" t="s">
        <v>87</v>
      </c>
      <c r="H581" s="7" t="s">
        <v>88</v>
      </c>
      <c r="I581" s="8">
        <v>5</v>
      </c>
      <c r="J581" s="8">
        <v>74455</v>
      </c>
      <c r="K581" s="8">
        <v>355455</v>
      </c>
    </row>
    <row r="582" spans="1:11">
      <c r="A582" s="7" t="s">
        <v>173</v>
      </c>
      <c r="B582" s="7" t="s">
        <v>174</v>
      </c>
      <c r="C582" s="7" t="s">
        <v>181</v>
      </c>
      <c r="D582" s="7" t="s">
        <v>182</v>
      </c>
      <c r="E582" s="7" t="s">
        <v>83</v>
      </c>
      <c r="F582" s="7" t="s">
        <v>84</v>
      </c>
      <c r="G582" s="7" t="s">
        <v>77</v>
      </c>
      <c r="H582" s="7" t="s">
        <v>78</v>
      </c>
      <c r="I582" s="8">
        <v>14</v>
      </c>
      <c r="J582" s="8">
        <v>130069</v>
      </c>
      <c r="K582" s="8">
        <v>383819</v>
      </c>
    </row>
    <row r="583" spans="1:11">
      <c r="A583" s="7" t="s">
        <v>173</v>
      </c>
      <c r="B583" s="7" t="s">
        <v>174</v>
      </c>
      <c r="C583" s="7" t="s">
        <v>181</v>
      </c>
      <c r="D583" s="7" t="s">
        <v>182</v>
      </c>
      <c r="E583" s="7" t="s">
        <v>83</v>
      </c>
      <c r="F583" s="7" t="s">
        <v>84</v>
      </c>
      <c r="G583" s="7" t="s">
        <v>79</v>
      </c>
      <c r="H583" s="7" t="s">
        <v>80</v>
      </c>
      <c r="I583" s="8">
        <v>49</v>
      </c>
      <c r="J583" s="8">
        <v>561392.06840999995</v>
      </c>
      <c r="K583" s="8">
        <v>1054729</v>
      </c>
    </row>
    <row r="584" spans="1:11">
      <c r="A584" s="7" t="s">
        <v>173</v>
      </c>
      <c r="B584" s="7" t="s">
        <v>174</v>
      </c>
      <c r="C584" s="7" t="s">
        <v>181</v>
      </c>
      <c r="D584" s="7" t="s">
        <v>182</v>
      </c>
      <c r="E584" s="7" t="s">
        <v>83</v>
      </c>
      <c r="F584" s="7" t="s">
        <v>84</v>
      </c>
      <c r="G584" s="7" t="s">
        <v>81</v>
      </c>
      <c r="H584" s="7" t="s">
        <v>82</v>
      </c>
      <c r="I584" s="8">
        <v>59</v>
      </c>
      <c r="J584" s="8">
        <v>789843</v>
      </c>
      <c r="K584" s="8">
        <v>1553543</v>
      </c>
    </row>
    <row r="585" spans="1:11">
      <c r="A585" s="7" t="s">
        <v>173</v>
      </c>
      <c r="B585" s="7" t="s">
        <v>174</v>
      </c>
      <c r="C585" s="7" t="s">
        <v>181</v>
      </c>
      <c r="D585" s="7" t="s">
        <v>182</v>
      </c>
      <c r="E585" s="7" t="s">
        <v>83</v>
      </c>
      <c r="F585" s="7" t="s">
        <v>84</v>
      </c>
      <c r="G585" s="7" t="s">
        <v>85</v>
      </c>
      <c r="H585" s="7" t="s">
        <v>86</v>
      </c>
      <c r="I585" s="8">
        <v>58</v>
      </c>
      <c r="J585" s="8">
        <v>254798</v>
      </c>
      <c r="K585" s="8">
        <v>678451</v>
      </c>
    </row>
    <row r="586" spans="1:11">
      <c r="A586" s="7" t="s">
        <v>173</v>
      </c>
      <c r="B586" s="7" t="s">
        <v>174</v>
      </c>
      <c r="C586" s="7" t="s">
        <v>181</v>
      </c>
      <c r="D586" s="7" t="s">
        <v>182</v>
      </c>
      <c r="E586" s="7" t="s">
        <v>83</v>
      </c>
      <c r="F586" s="7" t="s">
        <v>84</v>
      </c>
      <c r="G586" s="7" t="s">
        <v>107</v>
      </c>
      <c r="H586" s="7" t="s">
        <v>108</v>
      </c>
      <c r="I586" s="8">
        <v>3</v>
      </c>
      <c r="J586" s="8">
        <v>16426</v>
      </c>
      <c r="K586" s="8">
        <v>49726</v>
      </c>
    </row>
    <row r="587" spans="1:11">
      <c r="A587" s="7" t="s">
        <v>173</v>
      </c>
      <c r="B587" s="7" t="s">
        <v>174</v>
      </c>
      <c r="C587" s="7" t="s">
        <v>181</v>
      </c>
      <c r="D587" s="7" t="s">
        <v>182</v>
      </c>
      <c r="E587" s="7" t="s">
        <v>83</v>
      </c>
      <c r="F587" s="7" t="s">
        <v>84</v>
      </c>
      <c r="G587" s="7" t="s">
        <v>87</v>
      </c>
      <c r="H587" s="7" t="s">
        <v>88</v>
      </c>
      <c r="I587" s="8">
        <v>25</v>
      </c>
      <c r="J587" s="8">
        <v>217339</v>
      </c>
      <c r="K587" s="8">
        <v>489273</v>
      </c>
    </row>
    <row r="588" spans="1:11">
      <c r="A588" s="7" t="s">
        <v>173</v>
      </c>
      <c r="B588" s="7" t="s">
        <v>174</v>
      </c>
      <c r="C588" s="7" t="s">
        <v>181</v>
      </c>
      <c r="D588" s="7" t="s">
        <v>182</v>
      </c>
      <c r="E588" s="7" t="s">
        <v>89</v>
      </c>
      <c r="F588" s="7" t="s">
        <v>90</v>
      </c>
      <c r="G588" s="7" t="s">
        <v>91</v>
      </c>
      <c r="H588" s="7" t="s">
        <v>90</v>
      </c>
      <c r="I588" s="8">
        <v>40</v>
      </c>
      <c r="J588" s="8">
        <v>1364</v>
      </c>
      <c r="K588" s="8">
        <v>6364</v>
      </c>
    </row>
    <row r="589" spans="1:11">
      <c r="A589" s="7" t="s">
        <v>173</v>
      </c>
      <c r="B589" s="7" t="s">
        <v>174</v>
      </c>
      <c r="C589" s="7" t="s">
        <v>181</v>
      </c>
      <c r="D589" s="7" t="s">
        <v>182</v>
      </c>
      <c r="E589" s="7" t="s">
        <v>92</v>
      </c>
      <c r="F589" s="7" t="s">
        <v>92</v>
      </c>
      <c r="G589" s="7" t="s">
        <v>92</v>
      </c>
      <c r="H589" s="7" t="s">
        <v>92</v>
      </c>
      <c r="I589" s="8">
        <v>-500</v>
      </c>
      <c r="J589" s="8">
        <v>-9091</v>
      </c>
      <c r="K589" s="8">
        <v>-9091</v>
      </c>
    </row>
    <row r="590" spans="1:11">
      <c r="A590" s="7" t="s">
        <v>173</v>
      </c>
      <c r="B590" s="7" t="s">
        <v>174</v>
      </c>
      <c r="C590" s="7" t="s">
        <v>183</v>
      </c>
      <c r="D590" s="7" t="s">
        <v>184</v>
      </c>
      <c r="E590" s="7" t="s">
        <v>65</v>
      </c>
      <c r="F590" s="7" t="s">
        <v>66</v>
      </c>
      <c r="G590" s="7" t="s">
        <v>67</v>
      </c>
      <c r="H590" s="7" t="s">
        <v>68</v>
      </c>
      <c r="I590" s="8">
        <v>2</v>
      </c>
      <c r="J590" s="8">
        <v>566637</v>
      </c>
      <c r="K590" s="8">
        <v>5663637</v>
      </c>
    </row>
    <row r="591" spans="1:11">
      <c r="A591" s="7" t="s">
        <v>173</v>
      </c>
      <c r="B591" s="7" t="s">
        <v>174</v>
      </c>
      <c r="C591" s="7" t="s">
        <v>183</v>
      </c>
      <c r="D591" s="7" t="s">
        <v>184</v>
      </c>
      <c r="E591" s="7" t="s">
        <v>65</v>
      </c>
      <c r="F591" s="7" t="s">
        <v>66</v>
      </c>
      <c r="G591" s="7" t="s">
        <v>69</v>
      </c>
      <c r="H591" s="7" t="s">
        <v>36</v>
      </c>
      <c r="I591" s="8">
        <v>12</v>
      </c>
      <c r="J591" s="8">
        <v>1034969</v>
      </c>
      <c r="K591" s="8">
        <v>13699999</v>
      </c>
    </row>
    <row r="592" spans="1:11">
      <c r="A592" s="7" t="s">
        <v>173</v>
      </c>
      <c r="B592" s="7" t="s">
        <v>174</v>
      </c>
      <c r="C592" s="7" t="s">
        <v>183</v>
      </c>
      <c r="D592" s="7" t="s">
        <v>184</v>
      </c>
      <c r="E592" s="7" t="s">
        <v>65</v>
      </c>
      <c r="F592" s="7" t="s">
        <v>66</v>
      </c>
      <c r="G592" s="7" t="s">
        <v>70</v>
      </c>
      <c r="H592" s="7" t="s">
        <v>28</v>
      </c>
      <c r="I592" s="8">
        <v>28</v>
      </c>
      <c r="J592" s="8">
        <v>1253121.9411760001</v>
      </c>
      <c r="K592" s="8">
        <v>15947269</v>
      </c>
    </row>
    <row r="593" spans="1:11">
      <c r="A593" s="7" t="s">
        <v>173</v>
      </c>
      <c r="B593" s="7" t="s">
        <v>174</v>
      </c>
      <c r="C593" s="7" t="s">
        <v>183</v>
      </c>
      <c r="D593" s="7" t="s">
        <v>184</v>
      </c>
      <c r="E593" s="7" t="s">
        <v>65</v>
      </c>
      <c r="F593" s="7" t="s">
        <v>66</v>
      </c>
      <c r="G593" s="7" t="s">
        <v>97</v>
      </c>
      <c r="H593" s="7" t="s">
        <v>98</v>
      </c>
      <c r="I593" s="8">
        <v>6</v>
      </c>
      <c r="J593" s="8">
        <v>165816</v>
      </c>
      <c r="K593" s="8">
        <v>2721816</v>
      </c>
    </row>
    <row r="594" spans="1:11">
      <c r="A594" s="7" t="s">
        <v>173</v>
      </c>
      <c r="B594" s="7" t="s">
        <v>174</v>
      </c>
      <c r="C594" s="7" t="s">
        <v>183</v>
      </c>
      <c r="D594" s="7" t="s">
        <v>184</v>
      </c>
      <c r="E594" s="7" t="s">
        <v>65</v>
      </c>
      <c r="F594" s="7" t="s">
        <v>66</v>
      </c>
      <c r="G594" s="7" t="s">
        <v>71</v>
      </c>
      <c r="H594" s="7" t="s">
        <v>72</v>
      </c>
      <c r="I594" s="8">
        <v>33</v>
      </c>
      <c r="J594" s="8">
        <v>1131458</v>
      </c>
      <c r="K594" s="8">
        <v>16315458</v>
      </c>
    </row>
    <row r="595" spans="1:11">
      <c r="A595" s="7" t="s">
        <v>173</v>
      </c>
      <c r="B595" s="7" t="s">
        <v>174</v>
      </c>
      <c r="C595" s="7" t="s">
        <v>183</v>
      </c>
      <c r="D595" s="7" t="s">
        <v>184</v>
      </c>
      <c r="E595" s="7" t="s">
        <v>65</v>
      </c>
      <c r="F595" s="7" t="s">
        <v>66</v>
      </c>
      <c r="G595" s="7" t="s">
        <v>73</v>
      </c>
      <c r="H595" s="7" t="s">
        <v>74</v>
      </c>
      <c r="I595" s="8">
        <v>6</v>
      </c>
      <c r="J595" s="8">
        <v>475272</v>
      </c>
      <c r="K595" s="8">
        <v>5967272</v>
      </c>
    </row>
    <row r="596" spans="1:11">
      <c r="A596" s="7" t="s">
        <v>173</v>
      </c>
      <c r="B596" s="7" t="s">
        <v>174</v>
      </c>
      <c r="C596" s="7" t="s">
        <v>183</v>
      </c>
      <c r="D596" s="7" t="s">
        <v>184</v>
      </c>
      <c r="E596" s="7" t="s">
        <v>75</v>
      </c>
      <c r="F596" s="7" t="s">
        <v>76</v>
      </c>
      <c r="G596" s="7" t="s">
        <v>77</v>
      </c>
      <c r="H596" s="7" t="s">
        <v>78</v>
      </c>
      <c r="I596" s="8">
        <v>11</v>
      </c>
      <c r="J596" s="8">
        <v>92179.957983999993</v>
      </c>
      <c r="K596" s="8">
        <v>688180</v>
      </c>
    </row>
    <row r="597" spans="1:11">
      <c r="A597" s="7" t="s">
        <v>173</v>
      </c>
      <c r="B597" s="7" t="s">
        <v>174</v>
      </c>
      <c r="C597" s="7" t="s">
        <v>183</v>
      </c>
      <c r="D597" s="7" t="s">
        <v>184</v>
      </c>
      <c r="E597" s="7" t="s">
        <v>75</v>
      </c>
      <c r="F597" s="7" t="s">
        <v>76</v>
      </c>
      <c r="G597" s="7" t="s">
        <v>79</v>
      </c>
      <c r="H597" s="7" t="s">
        <v>80</v>
      </c>
      <c r="I597" s="8">
        <v>140</v>
      </c>
      <c r="J597" s="8">
        <v>5057262.0908540003</v>
      </c>
      <c r="K597" s="8">
        <v>20305632</v>
      </c>
    </row>
    <row r="598" spans="1:11">
      <c r="A598" s="7" t="s">
        <v>173</v>
      </c>
      <c r="B598" s="7" t="s">
        <v>174</v>
      </c>
      <c r="C598" s="7" t="s">
        <v>183</v>
      </c>
      <c r="D598" s="7" t="s">
        <v>184</v>
      </c>
      <c r="E598" s="7" t="s">
        <v>75</v>
      </c>
      <c r="F598" s="7" t="s">
        <v>76</v>
      </c>
      <c r="G598" s="7" t="s">
        <v>81</v>
      </c>
      <c r="H598" s="7" t="s">
        <v>82</v>
      </c>
      <c r="I598" s="8">
        <v>67</v>
      </c>
      <c r="J598" s="8">
        <v>933817.07142699999</v>
      </c>
      <c r="K598" s="8">
        <v>4601817</v>
      </c>
    </row>
    <row r="599" spans="1:11">
      <c r="A599" s="7" t="s">
        <v>173</v>
      </c>
      <c r="B599" s="7" t="s">
        <v>174</v>
      </c>
      <c r="C599" s="7" t="s">
        <v>183</v>
      </c>
      <c r="D599" s="7" t="s">
        <v>184</v>
      </c>
      <c r="E599" s="7" t="s">
        <v>75</v>
      </c>
      <c r="F599" s="7" t="s">
        <v>76</v>
      </c>
      <c r="G599" s="7" t="s">
        <v>99</v>
      </c>
      <c r="H599" s="7" t="s">
        <v>100</v>
      </c>
      <c r="I599" s="8">
        <v>1</v>
      </c>
      <c r="J599" s="8">
        <v>11545</v>
      </c>
      <c r="K599" s="8">
        <v>44545</v>
      </c>
    </row>
    <row r="600" spans="1:11">
      <c r="A600" s="7" t="s">
        <v>173</v>
      </c>
      <c r="B600" s="7" t="s">
        <v>174</v>
      </c>
      <c r="C600" s="7" t="s">
        <v>183</v>
      </c>
      <c r="D600" s="7" t="s">
        <v>184</v>
      </c>
      <c r="E600" s="7" t="s">
        <v>75</v>
      </c>
      <c r="F600" s="7" t="s">
        <v>76</v>
      </c>
      <c r="G600" s="7" t="s">
        <v>87</v>
      </c>
      <c r="H600" s="7" t="s">
        <v>88</v>
      </c>
      <c r="I600" s="8">
        <v>5</v>
      </c>
      <c r="J600" s="8">
        <v>81455</v>
      </c>
      <c r="K600" s="8">
        <v>395455</v>
      </c>
    </row>
    <row r="601" spans="1:11">
      <c r="A601" s="7" t="s">
        <v>173</v>
      </c>
      <c r="B601" s="7" t="s">
        <v>174</v>
      </c>
      <c r="C601" s="7" t="s">
        <v>183</v>
      </c>
      <c r="D601" s="7" t="s">
        <v>184</v>
      </c>
      <c r="E601" s="7" t="s">
        <v>83</v>
      </c>
      <c r="F601" s="7" t="s">
        <v>84</v>
      </c>
      <c r="G601" s="7" t="s">
        <v>77</v>
      </c>
      <c r="H601" s="7" t="s">
        <v>78</v>
      </c>
      <c r="I601" s="8">
        <v>17</v>
      </c>
      <c r="J601" s="8">
        <v>163504</v>
      </c>
      <c r="K601" s="8">
        <v>484454</v>
      </c>
    </row>
    <row r="602" spans="1:11">
      <c r="A602" s="7" t="s">
        <v>173</v>
      </c>
      <c r="B602" s="7" t="s">
        <v>174</v>
      </c>
      <c r="C602" s="7" t="s">
        <v>183</v>
      </c>
      <c r="D602" s="7" t="s">
        <v>184</v>
      </c>
      <c r="E602" s="7" t="s">
        <v>83</v>
      </c>
      <c r="F602" s="7" t="s">
        <v>84</v>
      </c>
      <c r="G602" s="7" t="s">
        <v>79</v>
      </c>
      <c r="H602" s="7" t="s">
        <v>80</v>
      </c>
      <c r="I602" s="8">
        <v>53</v>
      </c>
      <c r="J602" s="8">
        <v>525063.67761300004</v>
      </c>
      <c r="K602" s="8">
        <v>1005458</v>
      </c>
    </row>
    <row r="603" spans="1:11">
      <c r="A603" s="7" t="s">
        <v>173</v>
      </c>
      <c r="B603" s="7" t="s">
        <v>174</v>
      </c>
      <c r="C603" s="7" t="s">
        <v>183</v>
      </c>
      <c r="D603" s="7" t="s">
        <v>184</v>
      </c>
      <c r="E603" s="7" t="s">
        <v>83</v>
      </c>
      <c r="F603" s="7" t="s">
        <v>84</v>
      </c>
      <c r="G603" s="7" t="s">
        <v>81</v>
      </c>
      <c r="H603" s="7" t="s">
        <v>82</v>
      </c>
      <c r="I603" s="8">
        <v>93</v>
      </c>
      <c r="J603" s="8">
        <v>1109937</v>
      </c>
      <c r="K603" s="8">
        <v>2229737</v>
      </c>
    </row>
    <row r="604" spans="1:11">
      <c r="A604" s="7" t="s">
        <v>173</v>
      </c>
      <c r="B604" s="7" t="s">
        <v>174</v>
      </c>
      <c r="C604" s="7" t="s">
        <v>183</v>
      </c>
      <c r="D604" s="7" t="s">
        <v>184</v>
      </c>
      <c r="E604" s="7" t="s">
        <v>83</v>
      </c>
      <c r="F604" s="7" t="s">
        <v>84</v>
      </c>
      <c r="G604" s="7" t="s">
        <v>101</v>
      </c>
      <c r="H604" s="7" t="s">
        <v>102</v>
      </c>
      <c r="I604" s="8">
        <v>3</v>
      </c>
      <c r="J604" s="8">
        <v>53228</v>
      </c>
      <c r="K604" s="8">
        <v>190728</v>
      </c>
    </row>
    <row r="605" spans="1:11">
      <c r="A605" s="7" t="s">
        <v>173</v>
      </c>
      <c r="B605" s="7" t="s">
        <v>174</v>
      </c>
      <c r="C605" s="7" t="s">
        <v>183</v>
      </c>
      <c r="D605" s="7" t="s">
        <v>184</v>
      </c>
      <c r="E605" s="7" t="s">
        <v>83</v>
      </c>
      <c r="F605" s="7" t="s">
        <v>84</v>
      </c>
      <c r="G605" s="7" t="s">
        <v>85</v>
      </c>
      <c r="H605" s="7" t="s">
        <v>86</v>
      </c>
      <c r="I605" s="8">
        <v>68</v>
      </c>
      <c r="J605" s="8">
        <v>332308</v>
      </c>
      <c r="K605" s="8">
        <v>850272</v>
      </c>
    </row>
    <row r="606" spans="1:11">
      <c r="A606" s="7" t="s">
        <v>173</v>
      </c>
      <c r="B606" s="7" t="s">
        <v>174</v>
      </c>
      <c r="C606" s="7" t="s">
        <v>183</v>
      </c>
      <c r="D606" s="7" t="s">
        <v>184</v>
      </c>
      <c r="E606" s="7" t="s">
        <v>83</v>
      </c>
      <c r="F606" s="7" t="s">
        <v>84</v>
      </c>
      <c r="G606" s="7" t="s">
        <v>107</v>
      </c>
      <c r="H606" s="7" t="s">
        <v>108</v>
      </c>
      <c r="I606" s="8">
        <v>1</v>
      </c>
      <c r="J606" s="8">
        <v>9036</v>
      </c>
      <c r="K606" s="8">
        <v>22636</v>
      </c>
    </row>
    <row r="607" spans="1:11">
      <c r="A607" s="7" t="s">
        <v>173</v>
      </c>
      <c r="B607" s="7" t="s">
        <v>174</v>
      </c>
      <c r="C607" s="7" t="s">
        <v>183</v>
      </c>
      <c r="D607" s="7" t="s">
        <v>184</v>
      </c>
      <c r="E607" s="7" t="s">
        <v>83</v>
      </c>
      <c r="F607" s="7" t="s">
        <v>84</v>
      </c>
      <c r="G607" s="7" t="s">
        <v>87</v>
      </c>
      <c r="H607" s="7" t="s">
        <v>88</v>
      </c>
      <c r="I607" s="8">
        <v>31</v>
      </c>
      <c r="J607" s="8">
        <v>236973</v>
      </c>
      <c r="K607" s="8">
        <v>516723</v>
      </c>
    </row>
    <row r="608" spans="1:11">
      <c r="A608" s="7" t="s">
        <v>173</v>
      </c>
      <c r="B608" s="7" t="s">
        <v>174</v>
      </c>
      <c r="C608" s="7" t="s">
        <v>183</v>
      </c>
      <c r="D608" s="7" t="s">
        <v>184</v>
      </c>
      <c r="E608" s="7" t="s">
        <v>89</v>
      </c>
      <c r="F608" s="7" t="s">
        <v>90</v>
      </c>
      <c r="G608" s="7" t="s">
        <v>91</v>
      </c>
      <c r="H608" s="7" t="s">
        <v>90</v>
      </c>
      <c r="I608" s="8">
        <v>41</v>
      </c>
      <c r="J608" s="8">
        <v>0</v>
      </c>
      <c r="K608" s="8">
        <v>0</v>
      </c>
    </row>
    <row r="609" spans="1:11">
      <c r="A609" s="7" t="s">
        <v>185</v>
      </c>
      <c r="B609" s="7" t="s">
        <v>186</v>
      </c>
      <c r="C609" s="7" t="s">
        <v>330</v>
      </c>
      <c r="D609" s="7" t="s">
        <v>331</v>
      </c>
      <c r="E609" s="7" t="s">
        <v>75</v>
      </c>
      <c r="F609" s="7" t="s">
        <v>76</v>
      </c>
      <c r="G609" s="7" t="s">
        <v>81</v>
      </c>
      <c r="H609" s="7" t="s">
        <v>82</v>
      </c>
      <c r="I609" s="8">
        <v>1</v>
      </c>
      <c r="J609" s="8">
        <v>5726.9999070000003</v>
      </c>
      <c r="K609" s="8">
        <v>22727</v>
      </c>
    </row>
    <row r="610" spans="1:11">
      <c r="A610" s="7" t="s">
        <v>185</v>
      </c>
      <c r="B610" s="7" t="s">
        <v>186</v>
      </c>
      <c r="C610" s="7" t="s">
        <v>187</v>
      </c>
      <c r="D610" s="7" t="s">
        <v>188</v>
      </c>
      <c r="E610" s="7" t="s">
        <v>65</v>
      </c>
      <c r="F610" s="7" t="s">
        <v>66</v>
      </c>
      <c r="G610" s="7" t="s">
        <v>95</v>
      </c>
      <c r="H610" s="7" t="s">
        <v>96</v>
      </c>
      <c r="I610" s="8">
        <v>1</v>
      </c>
      <c r="J610" s="8">
        <v>267818</v>
      </c>
      <c r="K610" s="8">
        <v>2681818</v>
      </c>
    </row>
    <row r="611" spans="1:11">
      <c r="A611" s="7" t="s">
        <v>185</v>
      </c>
      <c r="B611" s="7" t="s">
        <v>186</v>
      </c>
      <c r="C611" s="7" t="s">
        <v>187</v>
      </c>
      <c r="D611" s="7" t="s">
        <v>188</v>
      </c>
      <c r="E611" s="7" t="s">
        <v>65</v>
      </c>
      <c r="F611" s="7" t="s">
        <v>66</v>
      </c>
      <c r="G611" s="7" t="s">
        <v>67</v>
      </c>
      <c r="H611" s="7" t="s">
        <v>68</v>
      </c>
      <c r="I611" s="8">
        <v>10</v>
      </c>
      <c r="J611" s="8">
        <v>2563364</v>
      </c>
      <c r="K611" s="8">
        <v>25636364</v>
      </c>
    </row>
    <row r="612" spans="1:11">
      <c r="A612" s="7" t="s">
        <v>185</v>
      </c>
      <c r="B612" s="7" t="s">
        <v>186</v>
      </c>
      <c r="C612" s="7" t="s">
        <v>187</v>
      </c>
      <c r="D612" s="7" t="s">
        <v>188</v>
      </c>
      <c r="E612" s="7" t="s">
        <v>65</v>
      </c>
      <c r="F612" s="7" t="s">
        <v>66</v>
      </c>
      <c r="G612" s="7" t="s">
        <v>69</v>
      </c>
      <c r="H612" s="7" t="s">
        <v>36</v>
      </c>
      <c r="I612" s="8">
        <v>9</v>
      </c>
      <c r="J612" s="8">
        <v>909441</v>
      </c>
      <c r="K612" s="8">
        <v>12036361</v>
      </c>
    </row>
    <row r="613" spans="1:11">
      <c r="A613" s="7" t="s">
        <v>185</v>
      </c>
      <c r="B613" s="7" t="s">
        <v>186</v>
      </c>
      <c r="C613" s="7" t="s">
        <v>187</v>
      </c>
      <c r="D613" s="7" t="s">
        <v>188</v>
      </c>
      <c r="E613" s="7" t="s">
        <v>65</v>
      </c>
      <c r="F613" s="7" t="s">
        <v>66</v>
      </c>
      <c r="G613" s="7" t="s">
        <v>70</v>
      </c>
      <c r="H613" s="7" t="s">
        <v>28</v>
      </c>
      <c r="I613" s="8">
        <v>14</v>
      </c>
      <c r="J613" s="8">
        <v>681108.47058800003</v>
      </c>
      <c r="K613" s="8">
        <v>8478182</v>
      </c>
    </row>
    <row r="614" spans="1:11">
      <c r="A614" s="7" t="s">
        <v>185</v>
      </c>
      <c r="B614" s="7" t="s">
        <v>186</v>
      </c>
      <c r="C614" s="7" t="s">
        <v>187</v>
      </c>
      <c r="D614" s="7" t="s">
        <v>188</v>
      </c>
      <c r="E614" s="7" t="s">
        <v>65</v>
      </c>
      <c r="F614" s="7" t="s">
        <v>66</v>
      </c>
      <c r="G614" s="7" t="s">
        <v>97</v>
      </c>
      <c r="H614" s="7" t="s">
        <v>98</v>
      </c>
      <c r="I614" s="8">
        <v>2</v>
      </c>
      <c r="J614" s="8">
        <v>55272</v>
      </c>
      <c r="K614" s="8">
        <v>907272</v>
      </c>
    </row>
    <row r="615" spans="1:11">
      <c r="A615" s="7" t="s">
        <v>185</v>
      </c>
      <c r="B615" s="7" t="s">
        <v>186</v>
      </c>
      <c r="C615" s="7" t="s">
        <v>187</v>
      </c>
      <c r="D615" s="7" t="s">
        <v>188</v>
      </c>
      <c r="E615" s="7" t="s">
        <v>65</v>
      </c>
      <c r="F615" s="7" t="s">
        <v>66</v>
      </c>
      <c r="G615" s="7" t="s">
        <v>71</v>
      </c>
      <c r="H615" s="7" t="s">
        <v>72</v>
      </c>
      <c r="I615" s="8">
        <v>6</v>
      </c>
      <c r="J615" s="8">
        <v>211092</v>
      </c>
      <c r="K615" s="8">
        <v>3049092</v>
      </c>
    </row>
    <row r="616" spans="1:11">
      <c r="A616" s="7" t="s">
        <v>185</v>
      </c>
      <c r="B616" s="7" t="s">
        <v>186</v>
      </c>
      <c r="C616" s="7" t="s">
        <v>187</v>
      </c>
      <c r="D616" s="7" t="s">
        <v>188</v>
      </c>
      <c r="E616" s="7" t="s">
        <v>65</v>
      </c>
      <c r="F616" s="7" t="s">
        <v>66</v>
      </c>
      <c r="G616" s="7" t="s">
        <v>73</v>
      </c>
      <c r="H616" s="7" t="s">
        <v>74</v>
      </c>
      <c r="I616" s="8">
        <v>12</v>
      </c>
      <c r="J616" s="8">
        <v>1097268</v>
      </c>
      <c r="K616" s="8">
        <v>13707268</v>
      </c>
    </row>
    <row r="617" spans="1:11">
      <c r="A617" s="7" t="s">
        <v>185</v>
      </c>
      <c r="B617" s="7" t="s">
        <v>186</v>
      </c>
      <c r="C617" s="7" t="s">
        <v>187</v>
      </c>
      <c r="D617" s="7" t="s">
        <v>188</v>
      </c>
      <c r="E617" s="7" t="s">
        <v>75</v>
      </c>
      <c r="F617" s="7" t="s">
        <v>76</v>
      </c>
      <c r="G617" s="7" t="s">
        <v>77</v>
      </c>
      <c r="H617" s="7" t="s">
        <v>78</v>
      </c>
      <c r="I617" s="8">
        <v>15</v>
      </c>
      <c r="J617" s="8">
        <v>220706.35913299999</v>
      </c>
      <c r="K617" s="8">
        <v>1708726</v>
      </c>
    </row>
    <row r="618" spans="1:11">
      <c r="A618" s="7" t="s">
        <v>185</v>
      </c>
      <c r="B618" s="7" t="s">
        <v>186</v>
      </c>
      <c r="C618" s="7" t="s">
        <v>187</v>
      </c>
      <c r="D618" s="7" t="s">
        <v>188</v>
      </c>
      <c r="E618" s="7" t="s">
        <v>75</v>
      </c>
      <c r="F618" s="7" t="s">
        <v>76</v>
      </c>
      <c r="G618" s="7" t="s">
        <v>79</v>
      </c>
      <c r="H618" s="7" t="s">
        <v>80</v>
      </c>
      <c r="I618" s="8">
        <v>73</v>
      </c>
      <c r="J618" s="8">
        <v>2112221.171329</v>
      </c>
      <c r="K618" s="8">
        <v>10075215</v>
      </c>
    </row>
    <row r="619" spans="1:11">
      <c r="A619" s="7" t="s">
        <v>185</v>
      </c>
      <c r="B619" s="7" t="s">
        <v>186</v>
      </c>
      <c r="C619" s="7" t="s">
        <v>187</v>
      </c>
      <c r="D619" s="7" t="s">
        <v>188</v>
      </c>
      <c r="E619" s="7" t="s">
        <v>75</v>
      </c>
      <c r="F619" s="7" t="s">
        <v>76</v>
      </c>
      <c r="G619" s="7" t="s">
        <v>81</v>
      </c>
      <c r="H619" s="7" t="s">
        <v>82</v>
      </c>
      <c r="I619" s="8">
        <v>35</v>
      </c>
      <c r="J619" s="8">
        <v>610456.00327400002</v>
      </c>
      <c r="K619" s="8">
        <v>3895456</v>
      </c>
    </row>
    <row r="620" spans="1:11">
      <c r="A620" s="7" t="s">
        <v>185</v>
      </c>
      <c r="B620" s="7" t="s">
        <v>186</v>
      </c>
      <c r="C620" s="7" t="s">
        <v>187</v>
      </c>
      <c r="D620" s="7" t="s">
        <v>188</v>
      </c>
      <c r="E620" s="7" t="s">
        <v>75</v>
      </c>
      <c r="F620" s="7" t="s">
        <v>76</v>
      </c>
      <c r="G620" s="7" t="s">
        <v>87</v>
      </c>
      <c r="H620" s="7" t="s">
        <v>88</v>
      </c>
      <c r="I620" s="8">
        <v>2</v>
      </c>
      <c r="J620" s="8">
        <v>40182</v>
      </c>
      <c r="K620" s="8">
        <v>198182</v>
      </c>
    </row>
    <row r="621" spans="1:11">
      <c r="A621" s="7" t="s">
        <v>185</v>
      </c>
      <c r="B621" s="7" t="s">
        <v>186</v>
      </c>
      <c r="C621" s="7" t="s">
        <v>187</v>
      </c>
      <c r="D621" s="7" t="s">
        <v>188</v>
      </c>
      <c r="E621" s="7" t="s">
        <v>83</v>
      </c>
      <c r="F621" s="7" t="s">
        <v>84</v>
      </c>
      <c r="G621" s="7" t="s">
        <v>77</v>
      </c>
      <c r="H621" s="7" t="s">
        <v>78</v>
      </c>
      <c r="I621" s="8">
        <v>26</v>
      </c>
      <c r="J621" s="8">
        <v>307392.48297000001</v>
      </c>
      <c r="K621" s="8">
        <v>803306</v>
      </c>
    </row>
    <row r="622" spans="1:11">
      <c r="A622" s="7" t="s">
        <v>185</v>
      </c>
      <c r="B622" s="7" t="s">
        <v>186</v>
      </c>
      <c r="C622" s="7" t="s">
        <v>187</v>
      </c>
      <c r="D622" s="7" t="s">
        <v>188</v>
      </c>
      <c r="E622" s="7" t="s">
        <v>83</v>
      </c>
      <c r="F622" s="7" t="s">
        <v>84</v>
      </c>
      <c r="G622" s="7" t="s">
        <v>79</v>
      </c>
      <c r="H622" s="7" t="s">
        <v>80</v>
      </c>
      <c r="I622" s="8">
        <v>53</v>
      </c>
      <c r="J622" s="8">
        <v>634668.99230000004</v>
      </c>
      <c r="K622" s="8">
        <v>1188005</v>
      </c>
    </row>
    <row r="623" spans="1:11">
      <c r="A623" s="7" t="s">
        <v>185</v>
      </c>
      <c r="B623" s="7" t="s">
        <v>186</v>
      </c>
      <c r="C623" s="7" t="s">
        <v>187</v>
      </c>
      <c r="D623" s="7" t="s">
        <v>188</v>
      </c>
      <c r="E623" s="7" t="s">
        <v>83</v>
      </c>
      <c r="F623" s="7" t="s">
        <v>84</v>
      </c>
      <c r="G623" s="7" t="s">
        <v>81</v>
      </c>
      <c r="H623" s="7" t="s">
        <v>82</v>
      </c>
      <c r="I623" s="8">
        <v>44</v>
      </c>
      <c r="J623" s="8">
        <v>629902</v>
      </c>
      <c r="K623" s="8">
        <v>1261002</v>
      </c>
    </row>
    <row r="624" spans="1:11">
      <c r="A624" s="7" t="s">
        <v>185</v>
      </c>
      <c r="B624" s="7" t="s">
        <v>186</v>
      </c>
      <c r="C624" s="7" t="s">
        <v>187</v>
      </c>
      <c r="D624" s="7" t="s">
        <v>188</v>
      </c>
      <c r="E624" s="7" t="s">
        <v>83</v>
      </c>
      <c r="F624" s="7" t="s">
        <v>84</v>
      </c>
      <c r="G624" s="7" t="s">
        <v>85</v>
      </c>
      <c r="H624" s="7" t="s">
        <v>86</v>
      </c>
      <c r="I624" s="8">
        <v>20</v>
      </c>
      <c r="J624" s="8">
        <v>161318</v>
      </c>
      <c r="K624" s="8">
        <v>509818</v>
      </c>
    </row>
    <row r="625" spans="1:11">
      <c r="A625" s="7" t="s">
        <v>185</v>
      </c>
      <c r="B625" s="7" t="s">
        <v>186</v>
      </c>
      <c r="C625" s="7" t="s">
        <v>187</v>
      </c>
      <c r="D625" s="7" t="s">
        <v>188</v>
      </c>
      <c r="E625" s="7" t="s">
        <v>83</v>
      </c>
      <c r="F625" s="7" t="s">
        <v>84</v>
      </c>
      <c r="G625" s="7" t="s">
        <v>107</v>
      </c>
      <c r="H625" s="7" t="s">
        <v>108</v>
      </c>
      <c r="I625" s="8">
        <v>1</v>
      </c>
      <c r="J625" s="8">
        <v>2700</v>
      </c>
      <c r="K625" s="8">
        <v>9000</v>
      </c>
    </row>
    <row r="626" spans="1:11">
      <c r="A626" s="7" t="s">
        <v>185</v>
      </c>
      <c r="B626" s="7" t="s">
        <v>186</v>
      </c>
      <c r="C626" s="7" t="s">
        <v>187</v>
      </c>
      <c r="D626" s="7" t="s">
        <v>188</v>
      </c>
      <c r="E626" s="7" t="s">
        <v>83</v>
      </c>
      <c r="F626" s="7" t="s">
        <v>84</v>
      </c>
      <c r="G626" s="7" t="s">
        <v>87</v>
      </c>
      <c r="H626" s="7" t="s">
        <v>88</v>
      </c>
      <c r="I626" s="8">
        <v>1</v>
      </c>
      <c r="J626" s="8">
        <v>5736</v>
      </c>
      <c r="K626" s="8">
        <v>12636</v>
      </c>
    </row>
    <row r="627" spans="1:11">
      <c r="A627" s="7" t="s">
        <v>185</v>
      </c>
      <c r="B627" s="7" t="s">
        <v>186</v>
      </c>
      <c r="C627" s="7" t="s">
        <v>187</v>
      </c>
      <c r="D627" s="7" t="s">
        <v>188</v>
      </c>
      <c r="E627" s="7" t="s">
        <v>89</v>
      </c>
      <c r="F627" s="7" t="s">
        <v>90</v>
      </c>
      <c r="G627" s="7" t="s">
        <v>91</v>
      </c>
      <c r="H627" s="7" t="s">
        <v>90</v>
      </c>
      <c r="I627" s="8">
        <v>19</v>
      </c>
      <c r="J627" s="8">
        <v>9999</v>
      </c>
      <c r="K627" s="8">
        <v>9999</v>
      </c>
    </row>
    <row r="628" spans="1:11">
      <c r="A628" s="7" t="s">
        <v>185</v>
      </c>
      <c r="B628" s="7" t="s">
        <v>186</v>
      </c>
      <c r="C628" s="7" t="s">
        <v>187</v>
      </c>
      <c r="D628" s="7" t="s">
        <v>188</v>
      </c>
      <c r="E628" s="7" t="s">
        <v>92</v>
      </c>
      <c r="F628" s="7" t="s">
        <v>92</v>
      </c>
      <c r="G628" s="7" t="s">
        <v>92</v>
      </c>
      <c r="H628" s="7" t="s">
        <v>92</v>
      </c>
      <c r="I628" s="8">
        <v>-22643</v>
      </c>
      <c r="J628" s="8">
        <v>-411689</v>
      </c>
      <c r="K628" s="8">
        <v>-411689</v>
      </c>
    </row>
    <row r="629" spans="1:11">
      <c r="A629" s="7" t="s">
        <v>185</v>
      </c>
      <c r="B629" s="7" t="s">
        <v>186</v>
      </c>
      <c r="C629" s="7" t="s">
        <v>189</v>
      </c>
      <c r="D629" s="7" t="s">
        <v>190</v>
      </c>
      <c r="E629" s="7" t="s">
        <v>65</v>
      </c>
      <c r="F629" s="7" t="s">
        <v>66</v>
      </c>
      <c r="G629" s="7" t="s">
        <v>67</v>
      </c>
      <c r="H629" s="7" t="s">
        <v>68</v>
      </c>
      <c r="I629" s="8">
        <v>4</v>
      </c>
      <c r="J629" s="8">
        <v>1123364</v>
      </c>
      <c r="K629" s="8">
        <v>11236364</v>
      </c>
    </row>
    <row r="630" spans="1:11">
      <c r="A630" s="7" t="s">
        <v>185</v>
      </c>
      <c r="B630" s="7" t="s">
        <v>186</v>
      </c>
      <c r="C630" s="7" t="s">
        <v>189</v>
      </c>
      <c r="D630" s="7" t="s">
        <v>190</v>
      </c>
      <c r="E630" s="7" t="s">
        <v>65</v>
      </c>
      <c r="F630" s="7" t="s">
        <v>66</v>
      </c>
      <c r="G630" s="7" t="s">
        <v>69</v>
      </c>
      <c r="H630" s="7" t="s">
        <v>36</v>
      </c>
      <c r="I630" s="8">
        <v>8</v>
      </c>
      <c r="J630" s="8">
        <v>796905</v>
      </c>
      <c r="K630" s="8">
        <v>10545455</v>
      </c>
    </row>
    <row r="631" spans="1:11">
      <c r="A631" s="7" t="s">
        <v>185</v>
      </c>
      <c r="B631" s="7" t="s">
        <v>186</v>
      </c>
      <c r="C631" s="7" t="s">
        <v>189</v>
      </c>
      <c r="D631" s="7" t="s">
        <v>190</v>
      </c>
      <c r="E631" s="7" t="s">
        <v>65</v>
      </c>
      <c r="F631" s="7" t="s">
        <v>66</v>
      </c>
      <c r="G631" s="7" t="s">
        <v>70</v>
      </c>
      <c r="H631" s="7" t="s">
        <v>28</v>
      </c>
      <c r="I631" s="8">
        <v>10</v>
      </c>
      <c r="J631" s="8">
        <v>446471.47058800003</v>
      </c>
      <c r="K631" s="8">
        <v>5554545</v>
      </c>
    </row>
    <row r="632" spans="1:11">
      <c r="A632" s="7" t="s">
        <v>185</v>
      </c>
      <c r="B632" s="7" t="s">
        <v>186</v>
      </c>
      <c r="C632" s="7" t="s">
        <v>189</v>
      </c>
      <c r="D632" s="7" t="s">
        <v>190</v>
      </c>
      <c r="E632" s="7" t="s">
        <v>65</v>
      </c>
      <c r="F632" s="7" t="s">
        <v>66</v>
      </c>
      <c r="G632" s="7" t="s">
        <v>97</v>
      </c>
      <c r="H632" s="7" t="s">
        <v>98</v>
      </c>
      <c r="I632" s="8">
        <v>5</v>
      </c>
      <c r="J632" s="8">
        <v>138181</v>
      </c>
      <c r="K632" s="8">
        <v>2268181</v>
      </c>
    </row>
    <row r="633" spans="1:11">
      <c r="A633" s="7" t="s">
        <v>185</v>
      </c>
      <c r="B633" s="7" t="s">
        <v>186</v>
      </c>
      <c r="C633" s="7" t="s">
        <v>189</v>
      </c>
      <c r="D633" s="7" t="s">
        <v>190</v>
      </c>
      <c r="E633" s="7" t="s">
        <v>65</v>
      </c>
      <c r="F633" s="7" t="s">
        <v>66</v>
      </c>
      <c r="G633" s="7" t="s">
        <v>71</v>
      </c>
      <c r="H633" s="7" t="s">
        <v>72</v>
      </c>
      <c r="I633" s="8">
        <v>16</v>
      </c>
      <c r="J633" s="8">
        <v>577091</v>
      </c>
      <c r="K633" s="8">
        <v>8349091</v>
      </c>
    </row>
    <row r="634" spans="1:11">
      <c r="A634" s="7" t="s">
        <v>185</v>
      </c>
      <c r="B634" s="7" t="s">
        <v>186</v>
      </c>
      <c r="C634" s="7" t="s">
        <v>189</v>
      </c>
      <c r="D634" s="7" t="s">
        <v>190</v>
      </c>
      <c r="E634" s="7" t="s">
        <v>65</v>
      </c>
      <c r="F634" s="7" t="s">
        <v>66</v>
      </c>
      <c r="G634" s="7" t="s">
        <v>73</v>
      </c>
      <c r="H634" s="7" t="s">
        <v>74</v>
      </c>
      <c r="I634" s="8">
        <v>8</v>
      </c>
      <c r="J634" s="8">
        <v>655817</v>
      </c>
      <c r="K634" s="8">
        <v>8201817</v>
      </c>
    </row>
    <row r="635" spans="1:11">
      <c r="A635" s="7" t="s">
        <v>185</v>
      </c>
      <c r="B635" s="7" t="s">
        <v>186</v>
      </c>
      <c r="C635" s="7" t="s">
        <v>189</v>
      </c>
      <c r="D635" s="7" t="s">
        <v>190</v>
      </c>
      <c r="E635" s="7" t="s">
        <v>75</v>
      </c>
      <c r="F635" s="7" t="s">
        <v>76</v>
      </c>
      <c r="G635" s="7" t="s">
        <v>77</v>
      </c>
      <c r="H635" s="7" t="s">
        <v>78</v>
      </c>
      <c r="I635" s="8">
        <v>4</v>
      </c>
      <c r="J635" s="8">
        <v>65089.992926999999</v>
      </c>
      <c r="K635" s="8">
        <v>511090</v>
      </c>
    </row>
    <row r="636" spans="1:11">
      <c r="A636" s="7" t="s">
        <v>185</v>
      </c>
      <c r="B636" s="7" t="s">
        <v>186</v>
      </c>
      <c r="C636" s="7" t="s">
        <v>189</v>
      </c>
      <c r="D636" s="7" t="s">
        <v>190</v>
      </c>
      <c r="E636" s="7" t="s">
        <v>75</v>
      </c>
      <c r="F636" s="7" t="s">
        <v>76</v>
      </c>
      <c r="G636" s="7" t="s">
        <v>79</v>
      </c>
      <c r="H636" s="7" t="s">
        <v>80</v>
      </c>
      <c r="I636" s="8">
        <v>73</v>
      </c>
      <c r="J636" s="8">
        <v>2701072.5879759998</v>
      </c>
      <c r="K636" s="8">
        <v>11018051</v>
      </c>
    </row>
    <row r="637" spans="1:11">
      <c r="A637" s="7" t="s">
        <v>185</v>
      </c>
      <c r="B637" s="7" t="s">
        <v>186</v>
      </c>
      <c r="C637" s="7" t="s">
        <v>189</v>
      </c>
      <c r="D637" s="7" t="s">
        <v>190</v>
      </c>
      <c r="E637" s="7" t="s">
        <v>75</v>
      </c>
      <c r="F637" s="7" t="s">
        <v>76</v>
      </c>
      <c r="G637" s="7" t="s">
        <v>81</v>
      </c>
      <c r="H637" s="7" t="s">
        <v>82</v>
      </c>
      <c r="I637" s="8">
        <v>15</v>
      </c>
      <c r="J637" s="8">
        <v>176910.03559300001</v>
      </c>
      <c r="K637" s="8">
        <v>1120910</v>
      </c>
    </row>
    <row r="638" spans="1:11">
      <c r="A638" s="7" t="s">
        <v>185</v>
      </c>
      <c r="B638" s="7" t="s">
        <v>186</v>
      </c>
      <c r="C638" s="7" t="s">
        <v>189</v>
      </c>
      <c r="D638" s="7" t="s">
        <v>190</v>
      </c>
      <c r="E638" s="7" t="s">
        <v>83</v>
      </c>
      <c r="F638" s="7" t="s">
        <v>84</v>
      </c>
      <c r="G638" s="7" t="s">
        <v>77</v>
      </c>
      <c r="H638" s="7" t="s">
        <v>78</v>
      </c>
      <c r="I638" s="8">
        <v>10</v>
      </c>
      <c r="J638" s="8">
        <v>100091</v>
      </c>
      <c r="K638" s="8">
        <v>268091</v>
      </c>
    </row>
    <row r="639" spans="1:11">
      <c r="A639" s="7" t="s">
        <v>185</v>
      </c>
      <c r="B639" s="7" t="s">
        <v>186</v>
      </c>
      <c r="C639" s="7" t="s">
        <v>189</v>
      </c>
      <c r="D639" s="7" t="s">
        <v>190</v>
      </c>
      <c r="E639" s="7" t="s">
        <v>83</v>
      </c>
      <c r="F639" s="7" t="s">
        <v>84</v>
      </c>
      <c r="G639" s="7" t="s">
        <v>79</v>
      </c>
      <c r="H639" s="7" t="s">
        <v>80</v>
      </c>
      <c r="I639" s="8">
        <v>44</v>
      </c>
      <c r="J639" s="8">
        <v>574037.86364999996</v>
      </c>
      <c r="K639" s="8">
        <v>1073000</v>
      </c>
    </row>
    <row r="640" spans="1:11">
      <c r="A640" s="7" t="s">
        <v>185</v>
      </c>
      <c r="B640" s="7" t="s">
        <v>186</v>
      </c>
      <c r="C640" s="7" t="s">
        <v>189</v>
      </c>
      <c r="D640" s="7" t="s">
        <v>190</v>
      </c>
      <c r="E640" s="7" t="s">
        <v>83</v>
      </c>
      <c r="F640" s="7" t="s">
        <v>84</v>
      </c>
      <c r="G640" s="7" t="s">
        <v>81</v>
      </c>
      <c r="H640" s="7" t="s">
        <v>82</v>
      </c>
      <c r="I640" s="8">
        <v>32</v>
      </c>
      <c r="J640" s="8">
        <v>411522</v>
      </c>
      <c r="K640" s="8">
        <v>871822</v>
      </c>
    </row>
    <row r="641" spans="1:11">
      <c r="A641" s="7" t="s">
        <v>185</v>
      </c>
      <c r="B641" s="7" t="s">
        <v>186</v>
      </c>
      <c r="C641" s="7" t="s">
        <v>189</v>
      </c>
      <c r="D641" s="7" t="s">
        <v>190</v>
      </c>
      <c r="E641" s="7" t="s">
        <v>83</v>
      </c>
      <c r="F641" s="7" t="s">
        <v>84</v>
      </c>
      <c r="G641" s="7" t="s">
        <v>85</v>
      </c>
      <c r="H641" s="7" t="s">
        <v>86</v>
      </c>
      <c r="I641" s="8">
        <v>20</v>
      </c>
      <c r="J641" s="8">
        <v>98853</v>
      </c>
      <c r="K641" s="8">
        <v>246544</v>
      </c>
    </row>
    <row r="642" spans="1:11">
      <c r="A642" s="7" t="s">
        <v>185</v>
      </c>
      <c r="B642" s="7" t="s">
        <v>186</v>
      </c>
      <c r="C642" s="7" t="s">
        <v>189</v>
      </c>
      <c r="D642" s="7" t="s">
        <v>190</v>
      </c>
      <c r="E642" s="7" t="s">
        <v>83</v>
      </c>
      <c r="F642" s="7" t="s">
        <v>84</v>
      </c>
      <c r="G642" s="7" t="s">
        <v>107</v>
      </c>
      <c r="H642" s="7" t="s">
        <v>108</v>
      </c>
      <c r="I642" s="8">
        <v>1</v>
      </c>
      <c r="J642" s="8">
        <v>5445</v>
      </c>
      <c r="K642" s="8">
        <v>13545</v>
      </c>
    </row>
    <row r="643" spans="1:11">
      <c r="A643" s="7" t="s">
        <v>185</v>
      </c>
      <c r="B643" s="7" t="s">
        <v>186</v>
      </c>
      <c r="C643" s="7" t="s">
        <v>189</v>
      </c>
      <c r="D643" s="7" t="s">
        <v>190</v>
      </c>
      <c r="E643" s="7" t="s">
        <v>83</v>
      </c>
      <c r="F643" s="7" t="s">
        <v>84</v>
      </c>
      <c r="G643" s="7" t="s">
        <v>87</v>
      </c>
      <c r="H643" s="7" t="s">
        <v>88</v>
      </c>
      <c r="I643" s="8">
        <v>2</v>
      </c>
      <c r="J643" s="8">
        <v>34091</v>
      </c>
      <c r="K643" s="8">
        <v>117091</v>
      </c>
    </row>
    <row r="644" spans="1:11">
      <c r="A644" s="7" t="s">
        <v>185</v>
      </c>
      <c r="B644" s="7" t="s">
        <v>186</v>
      </c>
      <c r="C644" s="7" t="s">
        <v>189</v>
      </c>
      <c r="D644" s="7" t="s">
        <v>190</v>
      </c>
      <c r="E644" s="7" t="s">
        <v>89</v>
      </c>
      <c r="F644" s="7" t="s">
        <v>90</v>
      </c>
      <c r="G644" s="7" t="s">
        <v>91</v>
      </c>
      <c r="H644" s="7" t="s">
        <v>90</v>
      </c>
      <c r="I644" s="8">
        <v>15</v>
      </c>
      <c r="J644" s="8">
        <v>4545</v>
      </c>
      <c r="K644" s="8">
        <v>4545</v>
      </c>
    </row>
    <row r="645" spans="1:11">
      <c r="A645" s="7" t="s">
        <v>185</v>
      </c>
      <c r="B645" s="7" t="s">
        <v>186</v>
      </c>
      <c r="C645" s="7" t="s">
        <v>189</v>
      </c>
      <c r="D645" s="7" t="s">
        <v>190</v>
      </c>
      <c r="E645" s="7" t="s">
        <v>92</v>
      </c>
      <c r="F645" s="7" t="s">
        <v>92</v>
      </c>
      <c r="G645" s="7" t="s">
        <v>92</v>
      </c>
      <c r="H645" s="7" t="s">
        <v>92</v>
      </c>
      <c r="I645" s="8">
        <v>-16343</v>
      </c>
      <c r="J645" s="8">
        <v>-297145</v>
      </c>
      <c r="K645" s="8">
        <v>-297145</v>
      </c>
    </row>
    <row r="646" spans="1:11">
      <c r="A646" s="7" t="s">
        <v>185</v>
      </c>
      <c r="B646" s="7" t="s">
        <v>186</v>
      </c>
      <c r="C646" s="7" t="s">
        <v>191</v>
      </c>
      <c r="D646" s="7" t="s">
        <v>192</v>
      </c>
      <c r="E646" s="7" t="s">
        <v>65</v>
      </c>
      <c r="F646" s="7" t="s">
        <v>66</v>
      </c>
      <c r="G646" s="7" t="s">
        <v>67</v>
      </c>
      <c r="H646" s="7" t="s">
        <v>68</v>
      </c>
      <c r="I646" s="8">
        <v>4</v>
      </c>
      <c r="J646" s="8">
        <v>1064455</v>
      </c>
      <c r="K646" s="8">
        <v>10645455</v>
      </c>
    </row>
    <row r="647" spans="1:11">
      <c r="A647" s="7" t="s">
        <v>185</v>
      </c>
      <c r="B647" s="7" t="s">
        <v>186</v>
      </c>
      <c r="C647" s="7" t="s">
        <v>191</v>
      </c>
      <c r="D647" s="7" t="s">
        <v>192</v>
      </c>
      <c r="E647" s="7" t="s">
        <v>65</v>
      </c>
      <c r="F647" s="7" t="s">
        <v>66</v>
      </c>
      <c r="G647" s="7" t="s">
        <v>69</v>
      </c>
      <c r="H647" s="7" t="s">
        <v>36</v>
      </c>
      <c r="I647" s="8">
        <v>5</v>
      </c>
      <c r="J647" s="8">
        <v>470751</v>
      </c>
      <c r="K647" s="8">
        <v>6227271</v>
      </c>
    </row>
    <row r="648" spans="1:11">
      <c r="A648" s="7" t="s">
        <v>185</v>
      </c>
      <c r="B648" s="7" t="s">
        <v>186</v>
      </c>
      <c r="C648" s="7" t="s">
        <v>191</v>
      </c>
      <c r="D648" s="7" t="s">
        <v>192</v>
      </c>
      <c r="E648" s="7" t="s">
        <v>65</v>
      </c>
      <c r="F648" s="7" t="s">
        <v>66</v>
      </c>
      <c r="G648" s="7" t="s">
        <v>70</v>
      </c>
      <c r="H648" s="7" t="s">
        <v>28</v>
      </c>
      <c r="I648" s="8">
        <v>19</v>
      </c>
      <c r="J648" s="8">
        <v>742002</v>
      </c>
      <c r="K648" s="8">
        <v>9910002</v>
      </c>
    </row>
    <row r="649" spans="1:11">
      <c r="A649" s="7" t="s">
        <v>185</v>
      </c>
      <c r="B649" s="7" t="s">
        <v>186</v>
      </c>
      <c r="C649" s="7" t="s">
        <v>191</v>
      </c>
      <c r="D649" s="7" t="s">
        <v>192</v>
      </c>
      <c r="E649" s="7" t="s">
        <v>65</v>
      </c>
      <c r="F649" s="7" t="s">
        <v>66</v>
      </c>
      <c r="G649" s="7" t="s">
        <v>97</v>
      </c>
      <c r="H649" s="7" t="s">
        <v>98</v>
      </c>
      <c r="I649" s="8">
        <v>4</v>
      </c>
      <c r="J649" s="8">
        <v>110546</v>
      </c>
      <c r="K649" s="8">
        <v>1814546</v>
      </c>
    </row>
    <row r="650" spans="1:11">
      <c r="A650" s="7" t="s">
        <v>185</v>
      </c>
      <c r="B650" s="7" t="s">
        <v>186</v>
      </c>
      <c r="C650" s="7" t="s">
        <v>191</v>
      </c>
      <c r="D650" s="7" t="s">
        <v>192</v>
      </c>
      <c r="E650" s="7" t="s">
        <v>65</v>
      </c>
      <c r="F650" s="7" t="s">
        <v>66</v>
      </c>
      <c r="G650" s="7" t="s">
        <v>71</v>
      </c>
      <c r="H650" s="7" t="s">
        <v>72</v>
      </c>
      <c r="I650" s="8">
        <v>6</v>
      </c>
      <c r="J650" s="8">
        <v>214455</v>
      </c>
      <c r="K650" s="8">
        <v>3085455</v>
      </c>
    </row>
    <row r="651" spans="1:11">
      <c r="A651" s="7" t="s">
        <v>185</v>
      </c>
      <c r="B651" s="7" t="s">
        <v>186</v>
      </c>
      <c r="C651" s="7" t="s">
        <v>191</v>
      </c>
      <c r="D651" s="7" t="s">
        <v>192</v>
      </c>
      <c r="E651" s="7" t="s">
        <v>65</v>
      </c>
      <c r="F651" s="7" t="s">
        <v>66</v>
      </c>
      <c r="G651" s="7" t="s">
        <v>73</v>
      </c>
      <c r="H651" s="7" t="s">
        <v>74</v>
      </c>
      <c r="I651" s="8">
        <v>7</v>
      </c>
      <c r="J651" s="8">
        <v>701359</v>
      </c>
      <c r="K651" s="8">
        <v>8766359</v>
      </c>
    </row>
    <row r="652" spans="1:11">
      <c r="A652" s="7" t="s">
        <v>185</v>
      </c>
      <c r="B652" s="7" t="s">
        <v>186</v>
      </c>
      <c r="C652" s="7" t="s">
        <v>191</v>
      </c>
      <c r="D652" s="7" t="s">
        <v>192</v>
      </c>
      <c r="E652" s="7" t="s">
        <v>75</v>
      </c>
      <c r="F652" s="7" t="s">
        <v>76</v>
      </c>
      <c r="G652" s="7" t="s">
        <v>77</v>
      </c>
      <c r="H652" s="7" t="s">
        <v>78</v>
      </c>
      <c r="I652" s="8">
        <v>9</v>
      </c>
      <c r="J652" s="8">
        <v>88907.993174999996</v>
      </c>
      <c r="K652" s="8">
        <v>682908</v>
      </c>
    </row>
    <row r="653" spans="1:11">
      <c r="A653" s="7" t="s">
        <v>185</v>
      </c>
      <c r="B653" s="7" t="s">
        <v>186</v>
      </c>
      <c r="C653" s="7" t="s">
        <v>191</v>
      </c>
      <c r="D653" s="7" t="s">
        <v>192</v>
      </c>
      <c r="E653" s="7" t="s">
        <v>75</v>
      </c>
      <c r="F653" s="7" t="s">
        <v>76</v>
      </c>
      <c r="G653" s="7" t="s">
        <v>79</v>
      </c>
      <c r="H653" s="7" t="s">
        <v>80</v>
      </c>
      <c r="I653" s="8">
        <v>57</v>
      </c>
      <c r="J653" s="8">
        <v>2471198.4245429998</v>
      </c>
      <c r="K653" s="8">
        <v>9858183</v>
      </c>
    </row>
    <row r="654" spans="1:11">
      <c r="A654" s="7" t="s">
        <v>185</v>
      </c>
      <c r="B654" s="7" t="s">
        <v>186</v>
      </c>
      <c r="C654" s="7" t="s">
        <v>191</v>
      </c>
      <c r="D654" s="7" t="s">
        <v>192</v>
      </c>
      <c r="E654" s="7" t="s">
        <v>75</v>
      </c>
      <c r="F654" s="7" t="s">
        <v>76</v>
      </c>
      <c r="G654" s="7" t="s">
        <v>81</v>
      </c>
      <c r="H654" s="7" t="s">
        <v>82</v>
      </c>
      <c r="I654" s="8">
        <v>31</v>
      </c>
      <c r="J654" s="8">
        <v>547455.10444000002</v>
      </c>
      <c r="K654" s="8">
        <v>3335455</v>
      </c>
    </row>
    <row r="655" spans="1:11">
      <c r="A655" s="7" t="s">
        <v>185</v>
      </c>
      <c r="B655" s="7" t="s">
        <v>186</v>
      </c>
      <c r="C655" s="7" t="s">
        <v>191</v>
      </c>
      <c r="D655" s="7" t="s">
        <v>192</v>
      </c>
      <c r="E655" s="7" t="s">
        <v>83</v>
      </c>
      <c r="F655" s="7" t="s">
        <v>84</v>
      </c>
      <c r="G655" s="7" t="s">
        <v>77</v>
      </c>
      <c r="H655" s="7" t="s">
        <v>78</v>
      </c>
      <c r="I655" s="8">
        <v>23</v>
      </c>
      <c r="J655" s="8">
        <v>262618.48297000001</v>
      </c>
      <c r="K655" s="8">
        <v>707564</v>
      </c>
    </row>
    <row r="656" spans="1:11">
      <c r="A656" s="7" t="s">
        <v>185</v>
      </c>
      <c r="B656" s="7" t="s">
        <v>186</v>
      </c>
      <c r="C656" s="7" t="s">
        <v>191</v>
      </c>
      <c r="D656" s="7" t="s">
        <v>192</v>
      </c>
      <c r="E656" s="7" t="s">
        <v>83</v>
      </c>
      <c r="F656" s="7" t="s">
        <v>84</v>
      </c>
      <c r="G656" s="7" t="s">
        <v>79</v>
      </c>
      <c r="H656" s="7" t="s">
        <v>80</v>
      </c>
      <c r="I656" s="8">
        <v>40</v>
      </c>
      <c r="J656" s="8">
        <v>612319.96070000005</v>
      </c>
      <c r="K656" s="8">
        <v>992274</v>
      </c>
    </row>
    <row r="657" spans="1:11">
      <c r="A657" s="7" t="s">
        <v>185</v>
      </c>
      <c r="B657" s="7" t="s">
        <v>186</v>
      </c>
      <c r="C657" s="7" t="s">
        <v>191</v>
      </c>
      <c r="D657" s="7" t="s">
        <v>192</v>
      </c>
      <c r="E657" s="7" t="s">
        <v>83</v>
      </c>
      <c r="F657" s="7" t="s">
        <v>84</v>
      </c>
      <c r="G657" s="7" t="s">
        <v>81</v>
      </c>
      <c r="H657" s="7" t="s">
        <v>82</v>
      </c>
      <c r="I657" s="8">
        <v>34</v>
      </c>
      <c r="J657" s="8">
        <v>440454</v>
      </c>
      <c r="K657" s="8">
        <v>894454</v>
      </c>
    </row>
    <row r="658" spans="1:11">
      <c r="A658" s="7" t="s">
        <v>185</v>
      </c>
      <c r="B658" s="7" t="s">
        <v>186</v>
      </c>
      <c r="C658" s="7" t="s">
        <v>191</v>
      </c>
      <c r="D658" s="7" t="s">
        <v>192</v>
      </c>
      <c r="E658" s="7" t="s">
        <v>83</v>
      </c>
      <c r="F658" s="7" t="s">
        <v>84</v>
      </c>
      <c r="G658" s="7" t="s">
        <v>85</v>
      </c>
      <c r="H658" s="7" t="s">
        <v>86</v>
      </c>
      <c r="I658" s="8">
        <v>29</v>
      </c>
      <c r="J658" s="8">
        <v>157353</v>
      </c>
      <c r="K658" s="8">
        <v>419089</v>
      </c>
    </row>
    <row r="659" spans="1:11">
      <c r="A659" s="7" t="s">
        <v>185</v>
      </c>
      <c r="B659" s="7" t="s">
        <v>186</v>
      </c>
      <c r="C659" s="7" t="s">
        <v>191</v>
      </c>
      <c r="D659" s="7" t="s">
        <v>192</v>
      </c>
      <c r="E659" s="7" t="s">
        <v>83</v>
      </c>
      <c r="F659" s="7" t="s">
        <v>84</v>
      </c>
      <c r="G659" s="7" t="s">
        <v>107</v>
      </c>
      <c r="H659" s="7" t="s">
        <v>108</v>
      </c>
      <c r="I659" s="8">
        <v>1</v>
      </c>
      <c r="J659" s="8">
        <v>2700</v>
      </c>
      <c r="K659" s="8">
        <v>9000</v>
      </c>
    </row>
    <row r="660" spans="1:11">
      <c r="A660" s="7" t="s">
        <v>185</v>
      </c>
      <c r="B660" s="7" t="s">
        <v>186</v>
      </c>
      <c r="C660" s="7" t="s">
        <v>191</v>
      </c>
      <c r="D660" s="7" t="s">
        <v>192</v>
      </c>
      <c r="E660" s="7" t="s">
        <v>83</v>
      </c>
      <c r="F660" s="7" t="s">
        <v>84</v>
      </c>
      <c r="G660" s="7" t="s">
        <v>87</v>
      </c>
      <c r="H660" s="7" t="s">
        <v>88</v>
      </c>
      <c r="I660" s="8">
        <v>8</v>
      </c>
      <c r="J660" s="8">
        <v>66591</v>
      </c>
      <c r="K660" s="8">
        <v>142091</v>
      </c>
    </row>
    <row r="661" spans="1:11">
      <c r="A661" s="7" t="s">
        <v>185</v>
      </c>
      <c r="B661" s="7" t="s">
        <v>186</v>
      </c>
      <c r="C661" s="7" t="s">
        <v>191</v>
      </c>
      <c r="D661" s="7" t="s">
        <v>192</v>
      </c>
      <c r="E661" s="7" t="s">
        <v>89</v>
      </c>
      <c r="F661" s="7" t="s">
        <v>90</v>
      </c>
      <c r="G661" s="7" t="s">
        <v>91</v>
      </c>
      <c r="H661" s="7" t="s">
        <v>90</v>
      </c>
      <c r="I661" s="8">
        <v>31</v>
      </c>
      <c r="J661" s="8">
        <v>15453</v>
      </c>
      <c r="K661" s="8">
        <v>15453</v>
      </c>
    </row>
    <row r="662" spans="1:11">
      <c r="A662" s="7" t="s">
        <v>185</v>
      </c>
      <c r="B662" s="7" t="s">
        <v>186</v>
      </c>
      <c r="C662" s="7" t="s">
        <v>191</v>
      </c>
      <c r="D662" s="7" t="s">
        <v>192</v>
      </c>
      <c r="E662" s="7" t="s">
        <v>92</v>
      </c>
      <c r="F662" s="7" t="s">
        <v>92</v>
      </c>
      <c r="G662" s="7" t="s">
        <v>92</v>
      </c>
      <c r="H662" s="7" t="s">
        <v>92</v>
      </c>
      <c r="I662" s="8">
        <v>-327</v>
      </c>
      <c r="J662" s="8">
        <v>-5945</v>
      </c>
      <c r="K662" s="8">
        <v>-5945</v>
      </c>
    </row>
    <row r="663" spans="1:11">
      <c r="A663" s="7" t="s">
        <v>193</v>
      </c>
      <c r="B663" s="7" t="s">
        <v>194</v>
      </c>
      <c r="C663" s="7" t="s">
        <v>332</v>
      </c>
      <c r="D663" s="7" t="s">
        <v>333</v>
      </c>
      <c r="E663" s="7" t="s">
        <v>75</v>
      </c>
      <c r="F663" s="7" t="s">
        <v>76</v>
      </c>
      <c r="G663" s="7" t="s">
        <v>79</v>
      </c>
      <c r="H663" s="7" t="s">
        <v>80</v>
      </c>
      <c r="I663" s="8">
        <v>1</v>
      </c>
      <c r="J663" s="8">
        <v>44910</v>
      </c>
      <c r="K663" s="8">
        <v>180910</v>
      </c>
    </row>
    <row r="664" spans="1:11">
      <c r="A664" s="7" t="s">
        <v>193</v>
      </c>
      <c r="B664" s="7" t="s">
        <v>194</v>
      </c>
      <c r="C664" s="7" t="s">
        <v>332</v>
      </c>
      <c r="D664" s="7" t="s">
        <v>333</v>
      </c>
      <c r="E664" s="7" t="s">
        <v>83</v>
      </c>
      <c r="F664" s="7" t="s">
        <v>84</v>
      </c>
      <c r="G664" s="7" t="s">
        <v>85</v>
      </c>
      <c r="H664" s="7" t="s">
        <v>86</v>
      </c>
      <c r="I664" s="8">
        <v>2</v>
      </c>
      <c r="J664" s="8">
        <v>10963</v>
      </c>
      <c r="K664" s="8">
        <v>24363</v>
      </c>
    </row>
    <row r="665" spans="1:11">
      <c r="A665" s="7" t="s">
        <v>193</v>
      </c>
      <c r="B665" s="7" t="s">
        <v>194</v>
      </c>
      <c r="C665" s="7" t="s">
        <v>195</v>
      </c>
      <c r="D665" s="7" t="s">
        <v>196</v>
      </c>
      <c r="E665" s="7" t="s">
        <v>65</v>
      </c>
      <c r="F665" s="7" t="s">
        <v>66</v>
      </c>
      <c r="G665" s="7" t="s">
        <v>67</v>
      </c>
      <c r="H665" s="7" t="s">
        <v>68</v>
      </c>
      <c r="I665" s="8">
        <v>5</v>
      </c>
      <c r="J665" s="8">
        <v>1035636</v>
      </c>
      <c r="K665" s="8">
        <v>10363636</v>
      </c>
    </row>
    <row r="666" spans="1:11">
      <c r="A666" s="7" t="s">
        <v>193</v>
      </c>
      <c r="B666" s="7" t="s">
        <v>194</v>
      </c>
      <c r="C666" s="7" t="s">
        <v>195</v>
      </c>
      <c r="D666" s="7" t="s">
        <v>196</v>
      </c>
      <c r="E666" s="7" t="s">
        <v>65</v>
      </c>
      <c r="F666" s="7" t="s">
        <v>66</v>
      </c>
      <c r="G666" s="7" t="s">
        <v>69</v>
      </c>
      <c r="H666" s="7" t="s">
        <v>36</v>
      </c>
      <c r="I666" s="8">
        <v>6</v>
      </c>
      <c r="J666" s="8">
        <v>580737</v>
      </c>
      <c r="K666" s="8">
        <v>7681817</v>
      </c>
    </row>
    <row r="667" spans="1:11">
      <c r="A667" s="7" t="s">
        <v>193</v>
      </c>
      <c r="B667" s="7" t="s">
        <v>194</v>
      </c>
      <c r="C667" s="7" t="s">
        <v>195</v>
      </c>
      <c r="D667" s="7" t="s">
        <v>196</v>
      </c>
      <c r="E667" s="7" t="s">
        <v>65</v>
      </c>
      <c r="F667" s="7" t="s">
        <v>66</v>
      </c>
      <c r="G667" s="7" t="s">
        <v>70</v>
      </c>
      <c r="H667" s="7" t="s">
        <v>28</v>
      </c>
      <c r="I667" s="8">
        <v>21</v>
      </c>
      <c r="J667" s="8">
        <v>805275</v>
      </c>
      <c r="K667" s="8">
        <v>11017275</v>
      </c>
    </row>
    <row r="668" spans="1:11">
      <c r="A668" s="7" t="s">
        <v>193</v>
      </c>
      <c r="B668" s="7" t="s">
        <v>194</v>
      </c>
      <c r="C668" s="7" t="s">
        <v>195</v>
      </c>
      <c r="D668" s="7" t="s">
        <v>196</v>
      </c>
      <c r="E668" s="7" t="s">
        <v>65</v>
      </c>
      <c r="F668" s="7" t="s">
        <v>66</v>
      </c>
      <c r="G668" s="7" t="s">
        <v>97</v>
      </c>
      <c r="H668" s="7" t="s">
        <v>98</v>
      </c>
      <c r="I668" s="8">
        <v>3</v>
      </c>
      <c r="J668" s="8">
        <v>82909</v>
      </c>
      <c r="K668" s="8">
        <v>1360909</v>
      </c>
    </row>
    <row r="669" spans="1:11">
      <c r="A669" s="7" t="s">
        <v>193</v>
      </c>
      <c r="B669" s="7" t="s">
        <v>194</v>
      </c>
      <c r="C669" s="7" t="s">
        <v>195</v>
      </c>
      <c r="D669" s="7" t="s">
        <v>196</v>
      </c>
      <c r="E669" s="7" t="s">
        <v>65</v>
      </c>
      <c r="F669" s="7" t="s">
        <v>66</v>
      </c>
      <c r="G669" s="7" t="s">
        <v>71</v>
      </c>
      <c r="H669" s="7" t="s">
        <v>72</v>
      </c>
      <c r="I669" s="8">
        <v>23</v>
      </c>
      <c r="J669" s="8">
        <v>754005</v>
      </c>
      <c r="K669" s="8">
        <v>10870005</v>
      </c>
    </row>
    <row r="670" spans="1:11">
      <c r="A670" s="7" t="s">
        <v>193</v>
      </c>
      <c r="B670" s="7" t="s">
        <v>194</v>
      </c>
      <c r="C670" s="7" t="s">
        <v>195</v>
      </c>
      <c r="D670" s="7" t="s">
        <v>196</v>
      </c>
      <c r="E670" s="7" t="s">
        <v>65</v>
      </c>
      <c r="F670" s="7" t="s">
        <v>66</v>
      </c>
      <c r="G670" s="7" t="s">
        <v>73</v>
      </c>
      <c r="H670" s="7" t="s">
        <v>74</v>
      </c>
      <c r="I670" s="8">
        <v>8</v>
      </c>
      <c r="J670" s="8">
        <v>720724</v>
      </c>
      <c r="K670" s="8">
        <v>8992724</v>
      </c>
    </row>
    <row r="671" spans="1:11">
      <c r="A671" s="7" t="s">
        <v>193</v>
      </c>
      <c r="B671" s="7" t="s">
        <v>194</v>
      </c>
      <c r="C671" s="7" t="s">
        <v>195</v>
      </c>
      <c r="D671" s="7" t="s">
        <v>196</v>
      </c>
      <c r="E671" s="7" t="s">
        <v>75</v>
      </c>
      <c r="F671" s="7" t="s">
        <v>76</v>
      </c>
      <c r="G671" s="7" t="s">
        <v>77</v>
      </c>
      <c r="H671" s="7" t="s">
        <v>78</v>
      </c>
      <c r="I671" s="8">
        <v>9</v>
      </c>
      <c r="J671" s="8">
        <v>120544.988832</v>
      </c>
      <c r="K671" s="8">
        <v>928545</v>
      </c>
    </row>
    <row r="672" spans="1:11">
      <c r="A672" s="7" t="s">
        <v>193</v>
      </c>
      <c r="B672" s="7" t="s">
        <v>194</v>
      </c>
      <c r="C672" s="7" t="s">
        <v>195</v>
      </c>
      <c r="D672" s="7" t="s">
        <v>196</v>
      </c>
      <c r="E672" s="7" t="s">
        <v>75</v>
      </c>
      <c r="F672" s="7" t="s">
        <v>76</v>
      </c>
      <c r="G672" s="7" t="s">
        <v>79</v>
      </c>
      <c r="H672" s="7" t="s">
        <v>80</v>
      </c>
      <c r="I672" s="8">
        <v>120</v>
      </c>
      <c r="J672" s="8">
        <v>4470846.095706</v>
      </c>
      <c r="K672" s="8">
        <v>17991999</v>
      </c>
    </row>
    <row r="673" spans="1:11">
      <c r="A673" s="7" t="s">
        <v>193</v>
      </c>
      <c r="B673" s="7" t="s">
        <v>194</v>
      </c>
      <c r="C673" s="7" t="s">
        <v>195</v>
      </c>
      <c r="D673" s="7" t="s">
        <v>196</v>
      </c>
      <c r="E673" s="7" t="s">
        <v>75</v>
      </c>
      <c r="F673" s="7" t="s">
        <v>76</v>
      </c>
      <c r="G673" s="7" t="s">
        <v>81</v>
      </c>
      <c r="H673" s="7" t="s">
        <v>82</v>
      </c>
      <c r="I673" s="8">
        <v>66</v>
      </c>
      <c r="J673" s="8">
        <v>1005004.825451</v>
      </c>
      <c r="K673" s="8">
        <v>6420004</v>
      </c>
    </row>
    <row r="674" spans="1:11">
      <c r="A674" s="7" t="s">
        <v>193</v>
      </c>
      <c r="B674" s="7" t="s">
        <v>194</v>
      </c>
      <c r="C674" s="7" t="s">
        <v>195</v>
      </c>
      <c r="D674" s="7" t="s">
        <v>196</v>
      </c>
      <c r="E674" s="7" t="s">
        <v>75</v>
      </c>
      <c r="F674" s="7" t="s">
        <v>76</v>
      </c>
      <c r="G674" s="7" t="s">
        <v>87</v>
      </c>
      <c r="H674" s="7" t="s">
        <v>88</v>
      </c>
      <c r="I674" s="8">
        <v>1</v>
      </c>
      <c r="J674" s="8">
        <v>8454</v>
      </c>
      <c r="K674" s="8">
        <v>35454</v>
      </c>
    </row>
    <row r="675" spans="1:11">
      <c r="A675" s="7" t="s">
        <v>193</v>
      </c>
      <c r="B675" s="7" t="s">
        <v>194</v>
      </c>
      <c r="C675" s="7" t="s">
        <v>195</v>
      </c>
      <c r="D675" s="7" t="s">
        <v>196</v>
      </c>
      <c r="E675" s="7" t="s">
        <v>83</v>
      </c>
      <c r="F675" s="7" t="s">
        <v>84</v>
      </c>
      <c r="G675" s="7" t="s">
        <v>77</v>
      </c>
      <c r="H675" s="7" t="s">
        <v>78</v>
      </c>
      <c r="I675" s="8">
        <v>29</v>
      </c>
      <c r="J675" s="8">
        <v>379681</v>
      </c>
      <c r="K675" s="8">
        <v>1022981</v>
      </c>
    </row>
    <row r="676" spans="1:11">
      <c r="A676" s="7" t="s">
        <v>193</v>
      </c>
      <c r="B676" s="7" t="s">
        <v>194</v>
      </c>
      <c r="C676" s="7" t="s">
        <v>195</v>
      </c>
      <c r="D676" s="7" t="s">
        <v>196</v>
      </c>
      <c r="E676" s="7" t="s">
        <v>83</v>
      </c>
      <c r="F676" s="7" t="s">
        <v>84</v>
      </c>
      <c r="G676" s="7" t="s">
        <v>79</v>
      </c>
      <c r="H676" s="7" t="s">
        <v>80</v>
      </c>
      <c r="I676" s="8">
        <v>92</v>
      </c>
      <c r="J676" s="8">
        <v>1090968.304585</v>
      </c>
      <c r="K676" s="8">
        <v>2175542</v>
      </c>
    </row>
    <row r="677" spans="1:11">
      <c r="A677" s="7" t="s">
        <v>193</v>
      </c>
      <c r="B677" s="7" t="s">
        <v>194</v>
      </c>
      <c r="C677" s="7" t="s">
        <v>195</v>
      </c>
      <c r="D677" s="7" t="s">
        <v>196</v>
      </c>
      <c r="E677" s="7" t="s">
        <v>83</v>
      </c>
      <c r="F677" s="7" t="s">
        <v>84</v>
      </c>
      <c r="G677" s="7" t="s">
        <v>81</v>
      </c>
      <c r="H677" s="7" t="s">
        <v>82</v>
      </c>
      <c r="I677" s="8">
        <v>80</v>
      </c>
      <c r="J677" s="8">
        <v>851354</v>
      </c>
      <c r="K677" s="8">
        <v>1767454</v>
      </c>
    </row>
    <row r="678" spans="1:11">
      <c r="A678" s="7" t="s">
        <v>193</v>
      </c>
      <c r="B678" s="7" t="s">
        <v>194</v>
      </c>
      <c r="C678" s="7" t="s">
        <v>195</v>
      </c>
      <c r="D678" s="7" t="s">
        <v>196</v>
      </c>
      <c r="E678" s="7" t="s">
        <v>83</v>
      </c>
      <c r="F678" s="7" t="s">
        <v>84</v>
      </c>
      <c r="G678" s="7" t="s">
        <v>101</v>
      </c>
      <c r="H678" s="7" t="s">
        <v>102</v>
      </c>
      <c r="I678" s="8">
        <v>2</v>
      </c>
      <c r="J678" s="8">
        <v>49273</v>
      </c>
      <c r="K678" s="8">
        <v>307273</v>
      </c>
    </row>
    <row r="679" spans="1:11">
      <c r="A679" s="7" t="s">
        <v>193</v>
      </c>
      <c r="B679" s="7" t="s">
        <v>194</v>
      </c>
      <c r="C679" s="7" t="s">
        <v>195</v>
      </c>
      <c r="D679" s="7" t="s">
        <v>196</v>
      </c>
      <c r="E679" s="7" t="s">
        <v>83</v>
      </c>
      <c r="F679" s="7" t="s">
        <v>84</v>
      </c>
      <c r="G679" s="7" t="s">
        <v>85</v>
      </c>
      <c r="H679" s="7" t="s">
        <v>86</v>
      </c>
      <c r="I679" s="8">
        <v>81</v>
      </c>
      <c r="J679" s="8">
        <v>405994</v>
      </c>
      <c r="K679" s="8">
        <v>1056719</v>
      </c>
    </row>
    <row r="680" spans="1:11">
      <c r="A680" s="7" t="s">
        <v>193</v>
      </c>
      <c r="B680" s="7" t="s">
        <v>194</v>
      </c>
      <c r="C680" s="7" t="s">
        <v>195</v>
      </c>
      <c r="D680" s="7" t="s">
        <v>196</v>
      </c>
      <c r="E680" s="7" t="s">
        <v>83</v>
      </c>
      <c r="F680" s="7" t="s">
        <v>84</v>
      </c>
      <c r="G680" s="7" t="s">
        <v>107</v>
      </c>
      <c r="H680" s="7" t="s">
        <v>108</v>
      </c>
      <c r="I680" s="8">
        <v>8</v>
      </c>
      <c r="J680" s="8">
        <v>55273</v>
      </c>
      <c r="K680" s="8">
        <v>154273</v>
      </c>
    </row>
    <row r="681" spans="1:11">
      <c r="A681" s="7" t="s">
        <v>193</v>
      </c>
      <c r="B681" s="7" t="s">
        <v>194</v>
      </c>
      <c r="C681" s="7" t="s">
        <v>195</v>
      </c>
      <c r="D681" s="7" t="s">
        <v>196</v>
      </c>
      <c r="E681" s="7" t="s">
        <v>83</v>
      </c>
      <c r="F681" s="7" t="s">
        <v>84</v>
      </c>
      <c r="G681" s="7" t="s">
        <v>87</v>
      </c>
      <c r="H681" s="7" t="s">
        <v>88</v>
      </c>
      <c r="I681" s="8">
        <v>29</v>
      </c>
      <c r="J681" s="8">
        <v>319971</v>
      </c>
      <c r="K681" s="8">
        <v>702271</v>
      </c>
    </row>
    <row r="682" spans="1:11">
      <c r="A682" s="7" t="s">
        <v>193</v>
      </c>
      <c r="B682" s="7" t="s">
        <v>194</v>
      </c>
      <c r="C682" s="7" t="s">
        <v>195</v>
      </c>
      <c r="D682" s="7" t="s">
        <v>196</v>
      </c>
      <c r="E682" s="7" t="s">
        <v>89</v>
      </c>
      <c r="F682" s="7" t="s">
        <v>90</v>
      </c>
      <c r="G682" s="7" t="s">
        <v>91</v>
      </c>
      <c r="H682" s="7" t="s">
        <v>90</v>
      </c>
      <c r="I682" s="8">
        <v>3</v>
      </c>
      <c r="J682" s="8">
        <v>0</v>
      </c>
      <c r="K682" s="8">
        <v>0</v>
      </c>
    </row>
    <row r="683" spans="1:11">
      <c r="A683" s="7" t="s">
        <v>193</v>
      </c>
      <c r="B683" s="7" t="s">
        <v>194</v>
      </c>
      <c r="C683" s="7" t="s">
        <v>195</v>
      </c>
      <c r="D683" s="7" t="s">
        <v>196</v>
      </c>
      <c r="E683" s="7" t="s">
        <v>92</v>
      </c>
      <c r="F683" s="7" t="s">
        <v>92</v>
      </c>
      <c r="G683" s="7" t="s">
        <v>92</v>
      </c>
      <c r="H683" s="7" t="s">
        <v>92</v>
      </c>
      <c r="I683" s="8">
        <v>-20069</v>
      </c>
      <c r="J683" s="8">
        <v>-364889</v>
      </c>
      <c r="K683" s="8">
        <v>-364889</v>
      </c>
    </row>
    <row r="684" spans="1:11">
      <c r="A684" s="7" t="s">
        <v>193</v>
      </c>
      <c r="B684" s="7" t="s">
        <v>194</v>
      </c>
      <c r="C684" s="7" t="s">
        <v>197</v>
      </c>
      <c r="D684" s="7" t="s">
        <v>198</v>
      </c>
      <c r="E684" s="7" t="s">
        <v>65</v>
      </c>
      <c r="F684" s="7" t="s">
        <v>66</v>
      </c>
      <c r="G684" s="7" t="s">
        <v>67</v>
      </c>
      <c r="H684" s="7" t="s">
        <v>68</v>
      </c>
      <c r="I684" s="8">
        <v>6</v>
      </c>
      <c r="J684" s="8">
        <v>1485545</v>
      </c>
      <c r="K684" s="8">
        <v>14854545</v>
      </c>
    </row>
    <row r="685" spans="1:11">
      <c r="A685" s="7" t="s">
        <v>193</v>
      </c>
      <c r="B685" s="7" t="s">
        <v>194</v>
      </c>
      <c r="C685" s="7" t="s">
        <v>197</v>
      </c>
      <c r="D685" s="7" t="s">
        <v>198</v>
      </c>
      <c r="E685" s="7" t="s">
        <v>65</v>
      </c>
      <c r="F685" s="7" t="s">
        <v>66</v>
      </c>
      <c r="G685" s="7" t="s">
        <v>69</v>
      </c>
      <c r="H685" s="7" t="s">
        <v>36</v>
      </c>
      <c r="I685" s="8">
        <v>6</v>
      </c>
      <c r="J685" s="8">
        <v>568782</v>
      </c>
      <c r="K685" s="8">
        <v>7527272</v>
      </c>
    </row>
    <row r="686" spans="1:11">
      <c r="A686" s="7" t="s">
        <v>193</v>
      </c>
      <c r="B686" s="7" t="s">
        <v>194</v>
      </c>
      <c r="C686" s="7" t="s">
        <v>197</v>
      </c>
      <c r="D686" s="7" t="s">
        <v>198</v>
      </c>
      <c r="E686" s="7" t="s">
        <v>65</v>
      </c>
      <c r="F686" s="7" t="s">
        <v>66</v>
      </c>
      <c r="G686" s="7" t="s">
        <v>70</v>
      </c>
      <c r="H686" s="7" t="s">
        <v>28</v>
      </c>
      <c r="I686" s="8">
        <v>29</v>
      </c>
      <c r="J686" s="8">
        <v>1274089</v>
      </c>
      <c r="K686" s="8">
        <v>15919089</v>
      </c>
    </row>
    <row r="687" spans="1:11">
      <c r="A687" s="7" t="s">
        <v>193</v>
      </c>
      <c r="B687" s="7" t="s">
        <v>194</v>
      </c>
      <c r="C687" s="7" t="s">
        <v>197</v>
      </c>
      <c r="D687" s="7" t="s">
        <v>198</v>
      </c>
      <c r="E687" s="7" t="s">
        <v>65</v>
      </c>
      <c r="F687" s="7" t="s">
        <v>66</v>
      </c>
      <c r="G687" s="7" t="s">
        <v>97</v>
      </c>
      <c r="H687" s="7" t="s">
        <v>98</v>
      </c>
      <c r="I687" s="8">
        <v>5</v>
      </c>
      <c r="J687" s="8">
        <v>138182</v>
      </c>
      <c r="K687" s="8">
        <v>2268182</v>
      </c>
    </row>
    <row r="688" spans="1:11">
      <c r="A688" s="7" t="s">
        <v>193</v>
      </c>
      <c r="B688" s="7" t="s">
        <v>194</v>
      </c>
      <c r="C688" s="7" t="s">
        <v>197</v>
      </c>
      <c r="D688" s="7" t="s">
        <v>198</v>
      </c>
      <c r="E688" s="7" t="s">
        <v>65</v>
      </c>
      <c r="F688" s="7" t="s">
        <v>66</v>
      </c>
      <c r="G688" s="7" t="s">
        <v>71</v>
      </c>
      <c r="H688" s="7" t="s">
        <v>72</v>
      </c>
      <c r="I688" s="8">
        <v>27</v>
      </c>
      <c r="J688" s="8">
        <v>969643</v>
      </c>
      <c r="K688" s="8">
        <v>13993643</v>
      </c>
    </row>
    <row r="689" spans="1:11">
      <c r="A689" s="7" t="s">
        <v>193</v>
      </c>
      <c r="B689" s="7" t="s">
        <v>194</v>
      </c>
      <c r="C689" s="7" t="s">
        <v>197</v>
      </c>
      <c r="D689" s="7" t="s">
        <v>198</v>
      </c>
      <c r="E689" s="7" t="s">
        <v>65</v>
      </c>
      <c r="F689" s="7" t="s">
        <v>66</v>
      </c>
      <c r="G689" s="7" t="s">
        <v>73</v>
      </c>
      <c r="H689" s="7" t="s">
        <v>74</v>
      </c>
      <c r="I689" s="8">
        <v>14</v>
      </c>
      <c r="J689" s="8">
        <v>1318176</v>
      </c>
      <c r="K689" s="8">
        <v>16478176</v>
      </c>
    </row>
    <row r="690" spans="1:11">
      <c r="A690" s="7" t="s">
        <v>193</v>
      </c>
      <c r="B690" s="7" t="s">
        <v>194</v>
      </c>
      <c r="C690" s="7" t="s">
        <v>197</v>
      </c>
      <c r="D690" s="7" t="s">
        <v>198</v>
      </c>
      <c r="E690" s="7" t="s">
        <v>75</v>
      </c>
      <c r="F690" s="7" t="s">
        <v>76</v>
      </c>
      <c r="G690" s="7" t="s">
        <v>77</v>
      </c>
      <c r="H690" s="7" t="s">
        <v>78</v>
      </c>
      <c r="I690" s="8">
        <v>10</v>
      </c>
      <c r="J690" s="8">
        <v>168181.464332</v>
      </c>
      <c r="K690" s="8">
        <v>1304182</v>
      </c>
    </row>
    <row r="691" spans="1:11">
      <c r="A691" s="7" t="s">
        <v>193</v>
      </c>
      <c r="B691" s="7" t="s">
        <v>194</v>
      </c>
      <c r="C691" s="7" t="s">
        <v>197</v>
      </c>
      <c r="D691" s="7" t="s">
        <v>198</v>
      </c>
      <c r="E691" s="7" t="s">
        <v>75</v>
      </c>
      <c r="F691" s="7" t="s">
        <v>76</v>
      </c>
      <c r="G691" s="7" t="s">
        <v>79</v>
      </c>
      <c r="H691" s="7" t="s">
        <v>80</v>
      </c>
      <c r="I691" s="8">
        <v>133</v>
      </c>
      <c r="J691" s="8">
        <v>5361261.9231059998</v>
      </c>
      <c r="K691" s="8">
        <v>21363638</v>
      </c>
    </row>
    <row r="692" spans="1:11">
      <c r="A692" s="7" t="s">
        <v>193</v>
      </c>
      <c r="B692" s="7" t="s">
        <v>194</v>
      </c>
      <c r="C692" s="7" t="s">
        <v>197</v>
      </c>
      <c r="D692" s="7" t="s">
        <v>198</v>
      </c>
      <c r="E692" s="7" t="s">
        <v>75</v>
      </c>
      <c r="F692" s="7" t="s">
        <v>76</v>
      </c>
      <c r="G692" s="7" t="s">
        <v>81</v>
      </c>
      <c r="H692" s="7" t="s">
        <v>82</v>
      </c>
      <c r="I692" s="8">
        <v>62</v>
      </c>
      <c r="J692" s="8">
        <v>1224094.92081</v>
      </c>
      <c r="K692" s="8">
        <v>6139094</v>
      </c>
    </row>
    <row r="693" spans="1:11">
      <c r="A693" s="7" t="s">
        <v>193</v>
      </c>
      <c r="B693" s="7" t="s">
        <v>194</v>
      </c>
      <c r="C693" s="7" t="s">
        <v>197</v>
      </c>
      <c r="D693" s="7" t="s">
        <v>198</v>
      </c>
      <c r="E693" s="7" t="s">
        <v>75</v>
      </c>
      <c r="F693" s="7" t="s">
        <v>76</v>
      </c>
      <c r="G693" s="7" t="s">
        <v>87</v>
      </c>
      <c r="H693" s="7" t="s">
        <v>88</v>
      </c>
      <c r="I693" s="8">
        <v>10</v>
      </c>
      <c r="J693" s="8">
        <v>165910</v>
      </c>
      <c r="K693" s="8">
        <v>790910</v>
      </c>
    </row>
    <row r="694" spans="1:11">
      <c r="A694" s="7" t="s">
        <v>193</v>
      </c>
      <c r="B694" s="7" t="s">
        <v>194</v>
      </c>
      <c r="C694" s="7" t="s">
        <v>197</v>
      </c>
      <c r="D694" s="7" t="s">
        <v>198</v>
      </c>
      <c r="E694" s="7" t="s">
        <v>83</v>
      </c>
      <c r="F694" s="7" t="s">
        <v>84</v>
      </c>
      <c r="G694" s="7" t="s">
        <v>77</v>
      </c>
      <c r="H694" s="7" t="s">
        <v>78</v>
      </c>
      <c r="I694" s="8">
        <v>37</v>
      </c>
      <c r="J694" s="8">
        <v>473883</v>
      </c>
      <c r="K694" s="8">
        <v>1254583</v>
      </c>
    </row>
    <row r="695" spans="1:11">
      <c r="A695" s="7" t="s">
        <v>193</v>
      </c>
      <c r="B695" s="7" t="s">
        <v>194</v>
      </c>
      <c r="C695" s="7" t="s">
        <v>197</v>
      </c>
      <c r="D695" s="7" t="s">
        <v>198</v>
      </c>
      <c r="E695" s="7" t="s">
        <v>83</v>
      </c>
      <c r="F695" s="7" t="s">
        <v>84</v>
      </c>
      <c r="G695" s="7" t="s">
        <v>79</v>
      </c>
      <c r="H695" s="7" t="s">
        <v>80</v>
      </c>
      <c r="I695" s="8">
        <v>78</v>
      </c>
      <c r="J695" s="8">
        <v>960566.76881399995</v>
      </c>
      <c r="K695" s="8">
        <v>1953634</v>
      </c>
    </row>
    <row r="696" spans="1:11">
      <c r="A696" s="7" t="s">
        <v>193</v>
      </c>
      <c r="B696" s="7" t="s">
        <v>194</v>
      </c>
      <c r="C696" s="7" t="s">
        <v>197</v>
      </c>
      <c r="D696" s="7" t="s">
        <v>198</v>
      </c>
      <c r="E696" s="7" t="s">
        <v>83</v>
      </c>
      <c r="F696" s="7" t="s">
        <v>84</v>
      </c>
      <c r="G696" s="7" t="s">
        <v>81</v>
      </c>
      <c r="H696" s="7" t="s">
        <v>82</v>
      </c>
      <c r="I696" s="8">
        <v>111</v>
      </c>
      <c r="J696" s="8">
        <v>1260757</v>
      </c>
      <c r="K696" s="8">
        <v>2640457</v>
      </c>
    </row>
    <row r="697" spans="1:11">
      <c r="A697" s="7" t="s">
        <v>193</v>
      </c>
      <c r="B697" s="7" t="s">
        <v>194</v>
      </c>
      <c r="C697" s="7" t="s">
        <v>197</v>
      </c>
      <c r="D697" s="7" t="s">
        <v>198</v>
      </c>
      <c r="E697" s="7" t="s">
        <v>83</v>
      </c>
      <c r="F697" s="7" t="s">
        <v>84</v>
      </c>
      <c r="G697" s="7" t="s">
        <v>101</v>
      </c>
      <c r="H697" s="7" t="s">
        <v>102</v>
      </c>
      <c r="I697" s="8">
        <v>1</v>
      </c>
      <c r="J697" s="8">
        <v>13918</v>
      </c>
      <c r="K697" s="8">
        <v>71818</v>
      </c>
    </row>
    <row r="698" spans="1:11">
      <c r="A698" s="7" t="s">
        <v>193</v>
      </c>
      <c r="B698" s="7" t="s">
        <v>194</v>
      </c>
      <c r="C698" s="7" t="s">
        <v>197</v>
      </c>
      <c r="D698" s="7" t="s">
        <v>198</v>
      </c>
      <c r="E698" s="7" t="s">
        <v>83</v>
      </c>
      <c r="F698" s="7" t="s">
        <v>84</v>
      </c>
      <c r="G698" s="7" t="s">
        <v>85</v>
      </c>
      <c r="H698" s="7" t="s">
        <v>86</v>
      </c>
      <c r="I698" s="8">
        <v>122</v>
      </c>
      <c r="J698" s="8">
        <v>654954</v>
      </c>
      <c r="K698" s="8">
        <v>1683445</v>
      </c>
    </row>
    <row r="699" spans="1:11">
      <c r="A699" s="7" t="s">
        <v>193</v>
      </c>
      <c r="B699" s="7" t="s">
        <v>194</v>
      </c>
      <c r="C699" s="7" t="s">
        <v>197</v>
      </c>
      <c r="D699" s="7" t="s">
        <v>198</v>
      </c>
      <c r="E699" s="7" t="s">
        <v>83</v>
      </c>
      <c r="F699" s="7" t="s">
        <v>84</v>
      </c>
      <c r="G699" s="7" t="s">
        <v>107</v>
      </c>
      <c r="H699" s="7" t="s">
        <v>108</v>
      </c>
      <c r="I699" s="8">
        <v>6</v>
      </c>
      <c r="J699" s="8">
        <v>80809</v>
      </c>
      <c r="K699" s="8">
        <v>243909</v>
      </c>
    </row>
    <row r="700" spans="1:11">
      <c r="A700" s="7" t="s">
        <v>193</v>
      </c>
      <c r="B700" s="7" t="s">
        <v>194</v>
      </c>
      <c r="C700" s="7" t="s">
        <v>197</v>
      </c>
      <c r="D700" s="7" t="s">
        <v>198</v>
      </c>
      <c r="E700" s="7" t="s">
        <v>83</v>
      </c>
      <c r="F700" s="7" t="s">
        <v>84</v>
      </c>
      <c r="G700" s="7" t="s">
        <v>87</v>
      </c>
      <c r="H700" s="7" t="s">
        <v>88</v>
      </c>
      <c r="I700" s="8">
        <v>40</v>
      </c>
      <c r="J700" s="8">
        <v>344753</v>
      </c>
      <c r="K700" s="8">
        <v>807453</v>
      </c>
    </row>
    <row r="701" spans="1:11">
      <c r="A701" s="7" t="s">
        <v>193</v>
      </c>
      <c r="B701" s="7" t="s">
        <v>194</v>
      </c>
      <c r="C701" s="7" t="s">
        <v>197</v>
      </c>
      <c r="D701" s="7" t="s">
        <v>198</v>
      </c>
      <c r="E701" s="7" t="s">
        <v>89</v>
      </c>
      <c r="F701" s="7" t="s">
        <v>90</v>
      </c>
      <c r="G701" s="7" t="s">
        <v>91</v>
      </c>
      <c r="H701" s="7" t="s">
        <v>90</v>
      </c>
      <c r="I701" s="8">
        <v>4</v>
      </c>
      <c r="J701" s="8">
        <v>2727</v>
      </c>
      <c r="K701" s="8">
        <v>2727</v>
      </c>
    </row>
    <row r="702" spans="1:11">
      <c r="A702" s="7" t="s">
        <v>193</v>
      </c>
      <c r="B702" s="7" t="s">
        <v>194</v>
      </c>
      <c r="C702" s="7" t="s">
        <v>197</v>
      </c>
      <c r="D702" s="7" t="s">
        <v>198</v>
      </c>
      <c r="E702" s="7" t="s">
        <v>92</v>
      </c>
      <c r="F702" s="7" t="s">
        <v>92</v>
      </c>
      <c r="G702" s="7" t="s">
        <v>92</v>
      </c>
      <c r="H702" s="7" t="s">
        <v>92</v>
      </c>
      <c r="I702" s="8">
        <v>-23797</v>
      </c>
      <c r="J702" s="8">
        <v>-432674</v>
      </c>
      <c r="K702" s="8">
        <v>-432674</v>
      </c>
    </row>
    <row r="703" spans="1:11">
      <c r="A703" s="7" t="s">
        <v>193</v>
      </c>
      <c r="B703" s="7" t="s">
        <v>194</v>
      </c>
      <c r="C703" s="7" t="s">
        <v>199</v>
      </c>
      <c r="D703" s="7" t="s">
        <v>200</v>
      </c>
      <c r="E703" s="7" t="s">
        <v>65</v>
      </c>
      <c r="F703" s="7" t="s">
        <v>66</v>
      </c>
      <c r="G703" s="7" t="s">
        <v>95</v>
      </c>
      <c r="H703" s="7" t="s">
        <v>96</v>
      </c>
      <c r="I703" s="8">
        <v>1</v>
      </c>
      <c r="J703" s="8">
        <v>211091</v>
      </c>
      <c r="K703" s="8">
        <v>2109091</v>
      </c>
    </row>
    <row r="704" spans="1:11">
      <c r="A704" s="7" t="s">
        <v>193</v>
      </c>
      <c r="B704" s="7" t="s">
        <v>194</v>
      </c>
      <c r="C704" s="7" t="s">
        <v>199</v>
      </c>
      <c r="D704" s="7" t="s">
        <v>200</v>
      </c>
      <c r="E704" s="7" t="s">
        <v>65</v>
      </c>
      <c r="F704" s="7" t="s">
        <v>66</v>
      </c>
      <c r="G704" s="7" t="s">
        <v>67</v>
      </c>
      <c r="H704" s="7" t="s">
        <v>68</v>
      </c>
      <c r="I704" s="8">
        <v>4</v>
      </c>
      <c r="J704" s="8">
        <v>1123363</v>
      </c>
      <c r="K704" s="8">
        <v>11236363</v>
      </c>
    </row>
    <row r="705" spans="1:11">
      <c r="A705" s="7" t="s">
        <v>193</v>
      </c>
      <c r="B705" s="7" t="s">
        <v>194</v>
      </c>
      <c r="C705" s="7" t="s">
        <v>199</v>
      </c>
      <c r="D705" s="7" t="s">
        <v>200</v>
      </c>
      <c r="E705" s="7" t="s">
        <v>65</v>
      </c>
      <c r="F705" s="7" t="s">
        <v>66</v>
      </c>
      <c r="G705" s="7" t="s">
        <v>69</v>
      </c>
      <c r="H705" s="7" t="s">
        <v>36</v>
      </c>
      <c r="I705" s="8">
        <v>10</v>
      </c>
      <c r="J705" s="8">
        <v>992693</v>
      </c>
      <c r="K705" s="8">
        <v>13136363</v>
      </c>
    </row>
    <row r="706" spans="1:11">
      <c r="A706" s="7" t="s">
        <v>193</v>
      </c>
      <c r="B706" s="7" t="s">
        <v>194</v>
      </c>
      <c r="C706" s="7" t="s">
        <v>199</v>
      </c>
      <c r="D706" s="7" t="s">
        <v>200</v>
      </c>
      <c r="E706" s="7" t="s">
        <v>65</v>
      </c>
      <c r="F706" s="7" t="s">
        <v>66</v>
      </c>
      <c r="G706" s="7" t="s">
        <v>70</v>
      </c>
      <c r="H706" s="7" t="s">
        <v>28</v>
      </c>
      <c r="I706" s="8">
        <v>31</v>
      </c>
      <c r="J706" s="8">
        <v>1375928.470588</v>
      </c>
      <c r="K706" s="8">
        <v>17190002</v>
      </c>
    </row>
    <row r="707" spans="1:11">
      <c r="A707" s="7" t="s">
        <v>193</v>
      </c>
      <c r="B707" s="7" t="s">
        <v>194</v>
      </c>
      <c r="C707" s="7" t="s">
        <v>199</v>
      </c>
      <c r="D707" s="7" t="s">
        <v>200</v>
      </c>
      <c r="E707" s="7" t="s">
        <v>65</v>
      </c>
      <c r="F707" s="7" t="s">
        <v>66</v>
      </c>
      <c r="G707" s="7" t="s">
        <v>97</v>
      </c>
      <c r="H707" s="7" t="s">
        <v>98</v>
      </c>
      <c r="I707" s="8">
        <v>5</v>
      </c>
      <c r="J707" s="8">
        <v>138181</v>
      </c>
      <c r="K707" s="8">
        <v>2268181</v>
      </c>
    </row>
    <row r="708" spans="1:11">
      <c r="A708" s="7" t="s">
        <v>193</v>
      </c>
      <c r="B708" s="7" t="s">
        <v>194</v>
      </c>
      <c r="C708" s="7" t="s">
        <v>199</v>
      </c>
      <c r="D708" s="7" t="s">
        <v>200</v>
      </c>
      <c r="E708" s="7" t="s">
        <v>65</v>
      </c>
      <c r="F708" s="7" t="s">
        <v>66</v>
      </c>
      <c r="G708" s="7" t="s">
        <v>71</v>
      </c>
      <c r="H708" s="7" t="s">
        <v>72</v>
      </c>
      <c r="I708" s="8">
        <v>30</v>
      </c>
      <c r="J708" s="8">
        <v>972461</v>
      </c>
      <c r="K708" s="8">
        <v>14045461</v>
      </c>
    </row>
    <row r="709" spans="1:11">
      <c r="A709" s="7" t="s">
        <v>193</v>
      </c>
      <c r="B709" s="7" t="s">
        <v>194</v>
      </c>
      <c r="C709" s="7" t="s">
        <v>199</v>
      </c>
      <c r="D709" s="7" t="s">
        <v>200</v>
      </c>
      <c r="E709" s="7" t="s">
        <v>65</v>
      </c>
      <c r="F709" s="7" t="s">
        <v>66</v>
      </c>
      <c r="G709" s="7" t="s">
        <v>73</v>
      </c>
      <c r="H709" s="7" t="s">
        <v>74</v>
      </c>
      <c r="I709" s="8">
        <v>7</v>
      </c>
      <c r="J709" s="8">
        <v>645360</v>
      </c>
      <c r="K709" s="8">
        <v>8066360</v>
      </c>
    </row>
    <row r="710" spans="1:11">
      <c r="A710" s="7" t="s">
        <v>193</v>
      </c>
      <c r="B710" s="7" t="s">
        <v>194</v>
      </c>
      <c r="C710" s="7" t="s">
        <v>199</v>
      </c>
      <c r="D710" s="7" t="s">
        <v>200</v>
      </c>
      <c r="E710" s="7" t="s">
        <v>75</v>
      </c>
      <c r="F710" s="7" t="s">
        <v>76</v>
      </c>
      <c r="G710" s="7" t="s">
        <v>77</v>
      </c>
      <c r="H710" s="7" t="s">
        <v>78</v>
      </c>
      <c r="I710" s="8">
        <v>7</v>
      </c>
      <c r="J710" s="8">
        <v>91635.991810000007</v>
      </c>
      <c r="K710" s="8">
        <v>695636</v>
      </c>
    </row>
    <row r="711" spans="1:11">
      <c r="A711" s="7" t="s">
        <v>193</v>
      </c>
      <c r="B711" s="7" t="s">
        <v>194</v>
      </c>
      <c r="C711" s="7" t="s">
        <v>199</v>
      </c>
      <c r="D711" s="7" t="s">
        <v>200</v>
      </c>
      <c r="E711" s="7" t="s">
        <v>75</v>
      </c>
      <c r="F711" s="7" t="s">
        <v>76</v>
      </c>
      <c r="G711" s="7" t="s">
        <v>79</v>
      </c>
      <c r="H711" s="7" t="s">
        <v>80</v>
      </c>
      <c r="I711" s="8">
        <v>114</v>
      </c>
      <c r="J711" s="8">
        <v>4132716.0080110002</v>
      </c>
      <c r="K711" s="8">
        <v>16722089</v>
      </c>
    </row>
    <row r="712" spans="1:11">
      <c r="A712" s="7" t="s">
        <v>193</v>
      </c>
      <c r="B712" s="7" t="s">
        <v>194</v>
      </c>
      <c r="C712" s="7" t="s">
        <v>199</v>
      </c>
      <c r="D712" s="7" t="s">
        <v>200</v>
      </c>
      <c r="E712" s="7" t="s">
        <v>75</v>
      </c>
      <c r="F712" s="7" t="s">
        <v>76</v>
      </c>
      <c r="G712" s="7" t="s">
        <v>81</v>
      </c>
      <c r="H712" s="7" t="s">
        <v>82</v>
      </c>
      <c r="I712" s="8">
        <v>46</v>
      </c>
      <c r="J712" s="8">
        <v>799003.82350299996</v>
      </c>
      <c r="K712" s="8">
        <v>5160003</v>
      </c>
    </row>
    <row r="713" spans="1:11">
      <c r="A713" s="7" t="s">
        <v>193</v>
      </c>
      <c r="B713" s="7" t="s">
        <v>194</v>
      </c>
      <c r="C713" s="7" t="s">
        <v>199</v>
      </c>
      <c r="D713" s="7" t="s">
        <v>200</v>
      </c>
      <c r="E713" s="7" t="s">
        <v>75</v>
      </c>
      <c r="F713" s="7" t="s">
        <v>76</v>
      </c>
      <c r="G713" s="7" t="s">
        <v>99</v>
      </c>
      <c r="H713" s="7" t="s">
        <v>100</v>
      </c>
      <c r="I713" s="8">
        <v>2</v>
      </c>
      <c r="J713" s="8">
        <v>23090</v>
      </c>
      <c r="K713" s="8">
        <v>89090</v>
      </c>
    </row>
    <row r="714" spans="1:11">
      <c r="A714" s="7" t="s">
        <v>193</v>
      </c>
      <c r="B714" s="7" t="s">
        <v>194</v>
      </c>
      <c r="C714" s="7" t="s">
        <v>199</v>
      </c>
      <c r="D714" s="7" t="s">
        <v>200</v>
      </c>
      <c r="E714" s="7" t="s">
        <v>75</v>
      </c>
      <c r="F714" s="7" t="s">
        <v>76</v>
      </c>
      <c r="G714" s="7" t="s">
        <v>87</v>
      </c>
      <c r="H714" s="7" t="s">
        <v>88</v>
      </c>
      <c r="I714" s="8">
        <v>6</v>
      </c>
      <c r="J714" s="8">
        <v>90274</v>
      </c>
      <c r="K714" s="8">
        <v>427274</v>
      </c>
    </row>
    <row r="715" spans="1:11">
      <c r="A715" s="7" t="s">
        <v>193</v>
      </c>
      <c r="B715" s="7" t="s">
        <v>194</v>
      </c>
      <c r="C715" s="7" t="s">
        <v>199</v>
      </c>
      <c r="D715" s="7" t="s">
        <v>200</v>
      </c>
      <c r="E715" s="7" t="s">
        <v>83</v>
      </c>
      <c r="F715" s="7" t="s">
        <v>84</v>
      </c>
      <c r="G715" s="7" t="s">
        <v>77</v>
      </c>
      <c r="H715" s="7" t="s">
        <v>78</v>
      </c>
      <c r="I715" s="8">
        <v>21</v>
      </c>
      <c r="J715" s="8">
        <v>154044</v>
      </c>
      <c r="K715" s="8">
        <v>455144</v>
      </c>
    </row>
    <row r="716" spans="1:11">
      <c r="A716" s="7" t="s">
        <v>193</v>
      </c>
      <c r="B716" s="7" t="s">
        <v>194</v>
      </c>
      <c r="C716" s="7" t="s">
        <v>199</v>
      </c>
      <c r="D716" s="7" t="s">
        <v>200</v>
      </c>
      <c r="E716" s="7" t="s">
        <v>83</v>
      </c>
      <c r="F716" s="7" t="s">
        <v>84</v>
      </c>
      <c r="G716" s="7" t="s">
        <v>79</v>
      </c>
      <c r="H716" s="7" t="s">
        <v>80</v>
      </c>
      <c r="I716" s="8">
        <v>141</v>
      </c>
      <c r="J716" s="8">
        <v>1447292.3658119999</v>
      </c>
      <c r="K716" s="8">
        <v>3130025</v>
      </c>
    </row>
    <row r="717" spans="1:11">
      <c r="A717" s="7" t="s">
        <v>193</v>
      </c>
      <c r="B717" s="7" t="s">
        <v>194</v>
      </c>
      <c r="C717" s="7" t="s">
        <v>199</v>
      </c>
      <c r="D717" s="7" t="s">
        <v>200</v>
      </c>
      <c r="E717" s="7" t="s">
        <v>83</v>
      </c>
      <c r="F717" s="7" t="s">
        <v>84</v>
      </c>
      <c r="G717" s="7" t="s">
        <v>81</v>
      </c>
      <c r="H717" s="7" t="s">
        <v>82</v>
      </c>
      <c r="I717" s="8">
        <v>99</v>
      </c>
      <c r="J717" s="8">
        <v>1085063</v>
      </c>
      <c r="K717" s="8">
        <v>2285363</v>
      </c>
    </row>
    <row r="718" spans="1:11">
      <c r="A718" s="7" t="s">
        <v>193</v>
      </c>
      <c r="B718" s="7" t="s">
        <v>194</v>
      </c>
      <c r="C718" s="7" t="s">
        <v>199</v>
      </c>
      <c r="D718" s="7" t="s">
        <v>200</v>
      </c>
      <c r="E718" s="7" t="s">
        <v>83</v>
      </c>
      <c r="F718" s="7" t="s">
        <v>84</v>
      </c>
      <c r="G718" s="7" t="s">
        <v>101</v>
      </c>
      <c r="H718" s="7" t="s">
        <v>102</v>
      </c>
      <c r="I718" s="8">
        <v>1</v>
      </c>
      <c r="J718" s="8">
        <v>35355</v>
      </c>
      <c r="K718" s="8">
        <v>235455</v>
      </c>
    </row>
    <row r="719" spans="1:11">
      <c r="A719" s="7" t="s">
        <v>193</v>
      </c>
      <c r="B719" s="7" t="s">
        <v>194</v>
      </c>
      <c r="C719" s="7" t="s">
        <v>199</v>
      </c>
      <c r="D719" s="7" t="s">
        <v>200</v>
      </c>
      <c r="E719" s="7" t="s">
        <v>83</v>
      </c>
      <c r="F719" s="7" t="s">
        <v>84</v>
      </c>
      <c r="G719" s="7" t="s">
        <v>85</v>
      </c>
      <c r="H719" s="7" t="s">
        <v>86</v>
      </c>
      <c r="I719" s="8">
        <v>89</v>
      </c>
      <c r="J719" s="8">
        <v>570042</v>
      </c>
      <c r="K719" s="8">
        <v>1701724</v>
      </c>
    </row>
    <row r="720" spans="1:11">
      <c r="A720" s="7" t="s">
        <v>193</v>
      </c>
      <c r="B720" s="7" t="s">
        <v>194</v>
      </c>
      <c r="C720" s="7" t="s">
        <v>199</v>
      </c>
      <c r="D720" s="7" t="s">
        <v>200</v>
      </c>
      <c r="E720" s="7" t="s">
        <v>83</v>
      </c>
      <c r="F720" s="7" t="s">
        <v>84</v>
      </c>
      <c r="G720" s="7" t="s">
        <v>107</v>
      </c>
      <c r="H720" s="7" t="s">
        <v>108</v>
      </c>
      <c r="I720" s="8">
        <v>7</v>
      </c>
      <c r="J720" s="8">
        <v>61046</v>
      </c>
      <c r="K720" s="8">
        <v>163546</v>
      </c>
    </row>
    <row r="721" spans="1:11">
      <c r="A721" s="7" t="s">
        <v>193</v>
      </c>
      <c r="B721" s="7" t="s">
        <v>194</v>
      </c>
      <c r="C721" s="7" t="s">
        <v>199</v>
      </c>
      <c r="D721" s="7" t="s">
        <v>200</v>
      </c>
      <c r="E721" s="7" t="s">
        <v>83</v>
      </c>
      <c r="F721" s="7" t="s">
        <v>84</v>
      </c>
      <c r="G721" s="7" t="s">
        <v>87</v>
      </c>
      <c r="H721" s="7" t="s">
        <v>88</v>
      </c>
      <c r="I721" s="8">
        <v>45</v>
      </c>
      <c r="J721" s="8">
        <v>460924</v>
      </c>
      <c r="K721" s="8">
        <v>982724</v>
      </c>
    </row>
    <row r="722" spans="1:11">
      <c r="A722" s="7" t="s">
        <v>193</v>
      </c>
      <c r="B722" s="7" t="s">
        <v>194</v>
      </c>
      <c r="C722" s="7" t="s">
        <v>199</v>
      </c>
      <c r="D722" s="7" t="s">
        <v>200</v>
      </c>
      <c r="E722" s="7" t="s">
        <v>89</v>
      </c>
      <c r="F722" s="7" t="s">
        <v>90</v>
      </c>
      <c r="G722" s="7" t="s">
        <v>91</v>
      </c>
      <c r="H722" s="7" t="s">
        <v>90</v>
      </c>
      <c r="I722" s="8">
        <v>8</v>
      </c>
      <c r="J722" s="8">
        <v>2727</v>
      </c>
      <c r="K722" s="8">
        <v>2727</v>
      </c>
    </row>
    <row r="723" spans="1:11">
      <c r="A723" s="7" t="s">
        <v>193</v>
      </c>
      <c r="B723" s="7" t="s">
        <v>194</v>
      </c>
      <c r="C723" s="7" t="s">
        <v>199</v>
      </c>
      <c r="D723" s="7" t="s">
        <v>200</v>
      </c>
      <c r="E723" s="7" t="s">
        <v>92</v>
      </c>
      <c r="F723" s="7" t="s">
        <v>92</v>
      </c>
      <c r="G723" s="7" t="s">
        <v>92</v>
      </c>
      <c r="H723" s="7" t="s">
        <v>92</v>
      </c>
      <c r="I723" s="8">
        <v>-28447</v>
      </c>
      <c r="J723" s="8">
        <v>-517216</v>
      </c>
      <c r="K723" s="8">
        <v>-517216</v>
      </c>
    </row>
    <row r="724" spans="1:11">
      <c r="A724" s="7" t="s">
        <v>193</v>
      </c>
      <c r="B724" s="7" t="s">
        <v>194</v>
      </c>
      <c r="C724" s="7" t="s">
        <v>201</v>
      </c>
      <c r="D724" s="7" t="s">
        <v>202</v>
      </c>
      <c r="E724" s="7" t="s">
        <v>65</v>
      </c>
      <c r="F724" s="7" t="s">
        <v>66</v>
      </c>
      <c r="G724" s="7" t="s">
        <v>67</v>
      </c>
      <c r="H724" s="7" t="s">
        <v>68</v>
      </c>
      <c r="I724" s="8">
        <v>4</v>
      </c>
      <c r="J724" s="8">
        <v>1077818</v>
      </c>
      <c r="K724" s="8">
        <v>10781818</v>
      </c>
    </row>
    <row r="725" spans="1:11">
      <c r="A725" s="7" t="s">
        <v>193</v>
      </c>
      <c r="B725" s="7" t="s">
        <v>194</v>
      </c>
      <c r="C725" s="7" t="s">
        <v>201</v>
      </c>
      <c r="D725" s="7" t="s">
        <v>202</v>
      </c>
      <c r="E725" s="7" t="s">
        <v>65</v>
      </c>
      <c r="F725" s="7" t="s">
        <v>66</v>
      </c>
      <c r="G725" s="7" t="s">
        <v>69</v>
      </c>
      <c r="H725" s="7" t="s">
        <v>36</v>
      </c>
      <c r="I725" s="8">
        <v>4</v>
      </c>
      <c r="J725" s="8">
        <v>436138</v>
      </c>
      <c r="K725" s="8">
        <v>5772728</v>
      </c>
    </row>
    <row r="726" spans="1:11">
      <c r="A726" s="7" t="s">
        <v>193</v>
      </c>
      <c r="B726" s="7" t="s">
        <v>194</v>
      </c>
      <c r="C726" s="7" t="s">
        <v>201</v>
      </c>
      <c r="D726" s="7" t="s">
        <v>202</v>
      </c>
      <c r="E726" s="7" t="s">
        <v>65</v>
      </c>
      <c r="F726" s="7" t="s">
        <v>66</v>
      </c>
      <c r="G726" s="7" t="s">
        <v>70</v>
      </c>
      <c r="H726" s="7" t="s">
        <v>28</v>
      </c>
      <c r="I726" s="8">
        <v>23</v>
      </c>
      <c r="J726" s="8">
        <v>1037562.470588</v>
      </c>
      <c r="K726" s="8">
        <v>12933636</v>
      </c>
    </row>
    <row r="727" spans="1:11">
      <c r="A727" s="7" t="s">
        <v>193</v>
      </c>
      <c r="B727" s="7" t="s">
        <v>194</v>
      </c>
      <c r="C727" s="7" t="s">
        <v>201</v>
      </c>
      <c r="D727" s="7" t="s">
        <v>202</v>
      </c>
      <c r="E727" s="7" t="s">
        <v>65</v>
      </c>
      <c r="F727" s="7" t="s">
        <v>66</v>
      </c>
      <c r="G727" s="7" t="s">
        <v>97</v>
      </c>
      <c r="H727" s="7" t="s">
        <v>98</v>
      </c>
      <c r="I727" s="8">
        <v>3</v>
      </c>
      <c r="J727" s="8">
        <v>82908</v>
      </c>
      <c r="K727" s="8">
        <v>1360908</v>
      </c>
    </row>
    <row r="728" spans="1:11">
      <c r="A728" s="7" t="s">
        <v>193</v>
      </c>
      <c r="B728" s="7" t="s">
        <v>194</v>
      </c>
      <c r="C728" s="7" t="s">
        <v>201</v>
      </c>
      <c r="D728" s="7" t="s">
        <v>202</v>
      </c>
      <c r="E728" s="7" t="s">
        <v>65</v>
      </c>
      <c r="F728" s="7" t="s">
        <v>66</v>
      </c>
      <c r="G728" s="7" t="s">
        <v>71</v>
      </c>
      <c r="H728" s="7" t="s">
        <v>72</v>
      </c>
      <c r="I728" s="8">
        <v>28</v>
      </c>
      <c r="J728" s="8">
        <v>987459</v>
      </c>
      <c r="K728" s="8">
        <v>14265459</v>
      </c>
    </row>
    <row r="729" spans="1:11">
      <c r="A729" s="7" t="s">
        <v>193</v>
      </c>
      <c r="B729" s="7" t="s">
        <v>194</v>
      </c>
      <c r="C729" s="7" t="s">
        <v>201</v>
      </c>
      <c r="D729" s="7" t="s">
        <v>202</v>
      </c>
      <c r="E729" s="7" t="s">
        <v>65</v>
      </c>
      <c r="F729" s="7" t="s">
        <v>66</v>
      </c>
      <c r="G729" s="7" t="s">
        <v>73</v>
      </c>
      <c r="H729" s="7" t="s">
        <v>74</v>
      </c>
      <c r="I729" s="8">
        <v>5</v>
      </c>
      <c r="J729" s="8">
        <v>452000</v>
      </c>
      <c r="K729" s="8">
        <v>5650000</v>
      </c>
    </row>
    <row r="730" spans="1:11">
      <c r="A730" s="7" t="s">
        <v>193</v>
      </c>
      <c r="B730" s="7" t="s">
        <v>194</v>
      </c>
      <c r="C730" s="7" t="s">
        <v>201</v>
      </c>
      <c r="D730" s="7" t="s">
        <v>202</v>
      </c>
      <c r="E730" s="7" t="s">
        <v>75</v>
      </c>
      <c r="F730" s="7" t="s">
        <v>76</v>
      </c>
      <c r="G730" s="7" t="s">
        <v>77</v>
      </c>
      <c r="H730" s="7" t="s">
        <v>78</v>
      </c>
      <c r="I730" s="8">
        <v>6</v>
      </c>
      <c r="J730" s="8">
        <v>49090.99454</v>
      </c>
      <c r="K730" s="8">
        <v>369091</v>
      </c>
    </row>
    <row r="731" spans="1:11">
      <c r="A731" s="7" t="s">
        <v>193</v>
      </c>
      <c r="B731" s="7" t="s">
        <v>194</v>
      </c>
      <c r="C731" s="7" t="s">
        <v>201</v>
      </c>
      <c r="D731" s="7" t="s">
        <v>202</v>
      </c>
      <c r="E731" s="7" t="s">
        <v>75</v>
      </c>
      <c r="F731" s="7" t="s">
        <v>76</v>
      </c>
      <c r="G731" s="7" t="s">
        <v>79</v>
      </c>
      <c r="H731" s="7" t="s">
        <v>80</v>
      </c>
      <c r="I731" s="8">
        <v>144</v>
      </c>
      <c r="J731" s="8">
        <v>4595202.515834</v>
      </c>
      <c r="K731" s="8">
        <v>18378184</v>
      </c>
    </row>
    <row r="732" spans="1:11">
      <c r="A732" s="7" t="s">
        <v>193</v>
      </c>
      <c r="B732" s="7" t="s">
        <v>194</v>
      </c>
      <c r="C732" s="7" t="s">
        <v>201</v>
      </c>
      <c r="D732" s="7" t="s">
        <v>202</v>
      </c>
      <c r="E732" s="7" t="s">
        <v>75</v>
      </c>
      <c r="F732" s="7" t="s">
        <v>76</v>
      </c>
      <c r="G732" s="7" t="s">
        <v>81</v>
      </c>
      <c r="H732" s="7" t="s">
        <v>82</v>
      </c>
      <c r="I732" s="8">
        <v>38</v>
      </c>
      <c r="J732" s="8">
        <v>543545.06969300006</v>
      </c>
      <c r="K732" s="8">
        <v>3504545</v>
      </c>
    </row>
    <row r="733" spans="1:11">
      <c r="A733" s="7" t="s">
        <v>193</v>
      </c>
      <c r="B733" s="7" t="s">
        <v>194</v>
      </c>
      <c r="C733" s="7" t="s">
        <v>201</v>
      </c>
      <c r="D733" s="7" t="s">
        <v>202</v>
      </c>
      <c r="E733" s="7" t="s">
        <v>75</v>
      </c>
      <c r="F733" s="7" t="s">
        <v>76</v>
      </c>
      <c r="G733" s="7" t="s">
        <v>87</v>
      </c>
      <c r="H733" s="7" t="s">
        <v>88</v>
      </c>
      <c r="I733" s="8">
        <v>2</v>
      </c>
      <c r="J733" s="8">
        <v>28546</v>
      </c>
      <c r="K733" s="8">
        <v>134546</v>
      </c>
    </row>
    <row r="734" spans="1:11">
      <c r="A734" s="7" t="s">
        <v>193</v>
      </c>
      <c r="B734" s="7" t="s">
        <v>194</v>
      </c>
      <c r="C734" s="7" t="s">
        <v>201</v>
      </c>
      <c r="D734" s="7" t="s">
        <v>202</v>
      </c>
      <c r="E734" s="7" t="s">
        <v>83</v>
      </c>
      <c r="F734" s="7" t="s">
        <v>84</v>
      </c>
      <c r="G734" s="7" t="s">
        <v>77</v>
      </c>
      <c r="H734" s="7" t="s">
        <v>78</v>
      </c>
      <c r="I734" s="8">
        <v>32</v>
      </c>
      <c r="J734" s="8">
        <v>361873</v>
      </c>
      <c r="K734" s="8">
        <v>946291</v>
      </c>
    </row>
    <row r="735" spans="1:11">
      <c r="A735" s="7" t="s">
        <v>193</v>
      </c>
      <c r="B735" s="7" t="s">
        <v>194</v>
      </c>
      <c r="C735" s="7" t="s">
        <v>201</v>
      </c>
      <c r="D735" s="7" t="s">
        <v>202</v>
      </c>
      <c r="E735" s="7" t="s">
        <v>83</v>
      </c>
      <c r="F735" s="7" t="s">
        <v>84</v>
      </c>
      <c r="G735" s="7" t="s">
        <v>79</v>
      </c>
      <c r="H735" s="7" t="s">
        <v>80</v>
      </c>
      <c r="I735" s="8">
        <v>101</v>
      </c>
      <c r="J735" s="8">
        <v>1057579.3163399999</v>
      </c>
      <c r="K735" s="8">
        <v>2249264</v>
      </c>
    </row>
    <row r="736" spans="1:11">
      <c r="A736" s="7" t="s">
        <v>193</v>
      </c>
      <c r="B736" s="7" t="s">
        <v>194</v>
      </c>
      <c r="C736" s="7" t="s">
        <v>201</v>
      </c>
      <c r="D736" s="7" t="s">
        <v>202</v>
      </c>
      <c r="E736" s="7" t="s">
        <v>83</v>
      </c>
      <c r="F736" s="7" t="s">
        <v>84</v>
      </c>
      <c r="G736" s="7" t="s">
        <v>81</v>
      </c>
      <c r="H736" s="7" t="s">
        <v>82</v>
      </c>
      <c r="I736" s="8">
        <v>104</v>
      </c>
      <c r="J736" s="8">
        <v>1200776</v>
      </c>
      <c r="K736" s="8">
        <v>2502276</v>
      </c>
    </row>
    <row r="737" spans="1:11">
      <c r="A737" s="7" t="s">
        <v>193</v>
      </c>
      <c r="B737" s="7" t="s">
        <v>194</v>
      </c>
      <c r="C737" s="7" t="s">
        <v>201</v>
      </c>
      <c r="D737" s="7" t="s">
        <v>202</v>
      </c>
      <c r="E737" s="7" t="s">
        <v>83</v>
      </c>
      <c r="F737" s="7" t="s">
        <v>84</v>
      </c>
      <c r="G737" s="7" t="s">
        <v>85</v>
      </c>
      <c r="H737" s="7" t="s">
        <v>86</v>
      </c>
      <c r="I737" s="8">
        <v>114</v>
      </c>
      <c r="J737" s="8">
        <v>568182</v>
      </c>
      <c r="K737" s="8">
        <v>1459444</v>
      </c>
    </row>
    <row r="738" spans="1:11">
      <c r="A738" s="7" t="s">
        <v>193</v>
      </c>
      <c r="B738" s="7" t="s">
        <v>194</v>
      </c>
      <c r="C738" s="7" t="s">
        <v>201</v>
      </c>
      <c r="D738" s="7" t="s">
        <v>202</v>
      </c>
      <c r="E738" s="7" t="s">
        <v>83</v>
      </c>
      <c r="F738" s="7" t="s">
        <v>84</v>
      </c>
      <c r="G738" s="7" t="s">
        <v>107</v>
      </c>
      <c r="H738" s="7" t="s">
        <v>108</v>
      </c>
      <c r="I738" s="8">
        <v>6</v>
      </c>
      <c r="J738" s="8">
        <v>56999</v>
      </c>
      <c r="K738" s="8">
        <v>146999</v>
      </c>
    </row>
    <row r="739" spans="1:11">
      <c r="A739" s="7" t="s">
        <v>193</v>
      </c>
      <c r="B739" s="7" t="s">
        <v>194</v>
      </c>
      <c r="C739" s="7" t="s">
        <v>201</v>
      </c>
      <c r="D739" s="7" t="s">
        <v>202</v>
      </c>
      <c r="E739" s="7" t="s">
        <v>83</v>
      </c>
      <c r="F739" s="7" t="s">
        <v>84</v>
      </c>
      <c r="G739" s="7" t="s">
        <v>87</v>
      </c>
      <c r="H739" s="7" t="s">
        <v>88</v>
      </c>
      <c r="I739" s="8">
        <v>30</v>
      </c>
      <c r="J739" s="8">
        <v>231362</v>
      </c>
      <c r="K739" s="8">
        <v>544362</v>
      </c>
    </row>
    <row r="740" spans="1:11">
      <c r="A740" s="7" t="s">
        <v>193</v>
      </c>
      <c r="B740" s="7" t="s">
        <v>194</v>
      </c>
      <c r="C740" s="7" t="s">
        <v>201</v>
      </c>
      <c r="D740" s="7" t="s">
        <v>202</v>
      </c>
      <c r="E740" s="7" t="s">
        <v>89</v>
      </c>
      <c r="F740" s="7" t="s">
        <v>90</v>
      </c>
      <c r="G740" s="7" t="s">
        <v>91</v>
      </c>
      <c r="H740" s="7" t="s">
        <v>90</v>
      </c>
      <c r="I740" s="8">
        <v>3</v>
      </c>
      <c r="J740" s="8">
        <v>1264</v>
      </c>
      <c r="K740" s="8">
        <v>6364</v>
      </c>
    </row>
    <row r="741" spans="1:11">
      <c r="A741" s="7" t="s">
        <v>193</v>
      </c>
      <c r="B741" s="7" t="s">
        <v>194</v>
      </c>
      <c r="C741" s="7" t="s">
        <v>201</v>
      </c>
      <c r="D741" s="7" t="s">
        <v>202</v>
      </c>
      <c r="E741" s="7" t="s">
        <v>92</v>
      </c>
      <c r="F741" s="7" t="s">
        <v>92</v>
      </c>
      <c r="G741" s="7" t="s">
        <v>92</v>
      </c>
      <c r="H741" s="7" t="s">
        <v>92</v>
      </c>
      <c r="I741" s="8">
        <v>-17293</v>
      </c>
      <c r="J741" s="8">
        <v>-314418</v>
      </c>
      <c r="K741" s="8">
        <v>-314418</v>
      </c>
    </row>
    <row r="742" spans="1:11">
      <c r="A742" s="7" t="s">
        <v>203</v>
      </c>
      <c r="B742" s="7" t="s">
        <v>204</v>
      </c>
      <c r="C742" s="7" t="s">
        <v>205</v>
      </c>
      <c r="D742" s="7" t="s">
        <v>206</v>
      </c>
      <c r="E742" s="7" t="s">
        <v>65</v>
      </c>
      <c r="F742" s="7" t="s">
        <v>66</v>
      </c>
      <c r="G742" s="7" t="s">
        <v>67</v>
      </c>
      <c r="H742" s="7" t="s">
        <v>68</v>
      </c>
      <c r="I742" s="8">
        <v>4</v>
      </c>
      <c r="J742" s="8">
        <v>1123363</v>
      </c>
      <c r="K742" s="8">
        <v>11236363</v>
      </c>
    </row>
    <row r="743" spans="1:11">
      <c r="A743" s="7" t="s">
        <v>203</v>
      </c>
      <c r="B743" s="7" t="s">
        <v>204</v>
      </c>
      <c r="C743" s="7" t="s">
        <v>205</v>
      </c>
      <c r="D743" s="7" t="s">
        <v>206</v>
      </c>
      <c r="E743" s="7" t="s">
        <v>65</v>
      </c>
      <c r="F743" s="7" t="s">
        <v>66</v>
      </c>
      <c r="G743" s="7" t="s">
        <v>69</v>
      </c>
      <c r="H743" s="7" t="s">
        <v>36</v>
      </c>
      <c r="I743" s="8">
        <v>0</v>
      </c>
      <c r="J743" s="8">
        <v>0</v>
      </c>
      <c r="K743" s="8">
        <v>0</v>
      </c>
    </row>
    <row r="744" spans="1:11">
      <c r="A744" s="7" t="s">
        <v>203</v>
      </c>
      <c r="B744" s="7" t="s">
        <v>204</v>
      </c>
      <c r="C744" s="7" t="s">
        <v>205</v>
      </c>
      <c r="D744" s="7" t="s">
        <v>206</v>
      </c>
      <c r="E744" s="7" t="s">
        <v>65</v>
      </c>
      <c r="F744" s="7" t="s">
        <v>66</v>
      </c>
      <c r="G744" s="7" t="s">
        <v>70</v>
      </c>
      <c r="H744" s="7" t="s">
        <v>28</v>
      </c>
      <c r="I744" s="8">
        <v>10</v>
      </c>
      <c r="J744" s="8">
        <v>460364</v>
      </c>
      <c r="K744" s="8">
        <v>5736364</v>
      </c>
    </row>
    <row r="745" spans="1:11">
      <c r="A745" s="7" t="s">
        <v>203</v>
      </c>
      <c r="B745" s="7" t="s">
        <v>204</v>
      </c>
      <c r="C745" s="7" t="s">
        <v>205</v>
      </c>
      <c r="D745" s="7" t="s">
        <v>206</v>
      </c>
      <c r="E745" s="7" t="s">
        <v>65</v>
      </c>
      <c r="F745" s="7" t="s">
        <v>66</v>
      </c>
      <c r="G745" s="7" t="s">
        <v>71</v>
      </c>
      <c r="H745" s="7" t="s">
        <v>72</v>
      </c>
      <c r="I745" s="8">
        <v>5</v>
      </c>
      <c r="J745" s="8">
        <v>198001</v>
      </c>
      <c r="K745" s="8">
        <v>2850001</v>
      </c>
    </row>
    <row r="746" spans="1:11">
      <c r="A746" s="7" t="s">
        <v>203</v>
      </c>
      <c r="B746" s="7" t="s">
        <v>204</v>
      </c>
      <c r="C746" s="7" t="s">
        <v>205</v>
      </c>
      <c r="D746" s="7" t="s">
        <v>206</v>
      </c>
      <c r="E746" s="7" t="s">
        <v>65</v>
      </c>
      <c r="F746" s="7" t="s">
        <v>66</v>
      </c>
      <c r="G746" s="7" t="s">
        <v>73</v>
      </c>
      <c r="H746" s="7" t="s">
        <v>74</v>
      </c>
      <c r="I746" s="8">
        <v>7</v>
      </c>
      <c r="J746" s="8">
        <v>584908</v>
      </c>
      <c r="K746" s="8">
        <v>7320908</v>
      </c>
    </row>
    <row r="747" spans="1:11">
      <c r="A747" s="7" t="s">
        <v>203</v>
      </c>
      <c r="B747" s="7" t="s">
        <v>204</v>
      </c>
      <c r="C747" s="7" t="s">
        <v>205</v>
      </c>
      <c r="D747" s="7" t="s">
        <v>206</v>
      </c>
      <c r="E747" s="7" t="s">
        <v>75</v>
      </c>
      <c r="F747" s="7" t="s">
        <v>76</v>
      </c>
      <c r="G747" s="7" t="s">
        <v>77</v>
      </c>
      <c r="H747" s="7" t="s">
        <v>78</v>
      </c>
      <c r="I747" s="8">
        <v>5</v>
      </c>
      <c r="J747" s="8">
        <v>148362.998635</v>
      </c>
      <c r="K747" s="8">
        <v>606363</v>
      </c>
    </row>
    <row r="748" spans="1:11">
      <c r="A748" s="7" t="s">
        <v>203</v>
      </c>
      <c r="B748" s="7" t="s">
        <v>204</v>
      </c>
      <c r="C748" s="7" t="s">
        <v>205</v>
      </c>
      <c r="D748" s="7" t="s">
        <v>206</v>
      </c>
      <c r="E748" s="7" t="s">
        <v>75</v>
      </c>
      <c r="F748" s="7" t="s">
        <v>76</v>
      </c>
      <c r="G748" s="7" t="s">
        <v>79</v>
      </c>
      <c r="H748" s="7" t="s">
        <v>80</v>
      </c>
      <c r="I748" s="8">
        <v>38</v>
      </c>
      <c r="J748" s="8">
        <v>1623822.1670510001</v>
      </c>
      <c r="K748" s="8">
        <v>6461816</v>
      </c>
    </row>
    <row r="749" spans="1:11">
      <c r="A749" s="7" t="s">
        <v>203</v>
      </c>
      <c r="B749" s="7" t="s">
        <v>204</v>
      </c>
      <c r="C749" s="7" t="s">
        <v>205</v>
      </c>
      <c r="D749" s="7" t="s">
        <v>206</v>
      </c>
      <c r="E749" s="7" t="s">
        <v>75</v>
      </c>
      <c r="F749" s="7" t="s">
        <v>76</v>
      </c>
      <c r="G749" s="7" t="s">
        <v>81</v>
      </c>
      <c r="H749" s="7" t="s">
        <v>82</v>
      </c>
      <c r="I749" s="8">
        <v>24</v>
      </c>
      <c r="J749" s="8">
        <v>492272.03492000001</v>
      </c>
      <c r="K749" s="8">
        <v>2347272</v>
      </c>
    </row>
    <row r="750" spans="1:11">
      <c r="A750" s="7" t="s">
        <v>203</v>
      </c>
      <c r="B750" s="7" t="s">
        <v>204</v>
      </c>
      <c r="C750" s="7" t="s">
        <v>205</v>
      </c>
      <c r="D750" s="7" t="s">
        <v>206</v>
      </c>
      <c r="E750" s="7" t="s">
        <v>75</v>
      </c>
      <c r="F750" s="7" t="s">
        <v>76</v>
      </c>
      <c r="G750" s="7" t="s">
        <v>87</v>
      </c>
      <c r="H750" s="7" t="s">
        <v>88</v>
      </c>
      <c r="I750" s="8">
        <v>1</v>
      </c>
      <c r="J750" s="8">
        <v>20091</v>
      </c>
      <c r="K750" s="8">
        <v>99091</v>
      </c>
    </row>
    <row r="751" spans="1:11">
      <c r="A751" s="7" t="s">
        <v>203</v>
      </c>
      <c r="B751" s="7" t="s">
        <v>204</v>
      </c>
      <c r="C751" s="7" t="s">
        <v>205</v>
      </c>
      <c r="D751" s="7" t="s">
        <v>206</v>
      </c>
      <c r="E751" s="7" t="s">
        <v>83</v>
      </c>
      <c r="F751" s="7" t="s">
        <v>84</v>
      </c>
      <c r="G751" s="7" t="s">
        <v>77</v>
      </c>
      <c r="H751" s="7" t="s">
        <v>78</v>
      </c>
      <c r="I751" s="8">
        <v>9</v>
      </c>
      <c r="J751" s="8">
        <v>130271</v>
      </c>
      <c r="K751" s="8">
        <v>305671</v>
      </c>
    </row>
    <row r="752" spans="1:11">
      <c r="A752" s="7" t="s">
        <v>203</v>
      </c>
      <c r="B752" s="7" t="s">
        <v>204</v>
      </c>
      <c r="C752" s="7" t="s">
        <v>205</v>
      </c>
      <c r="D752" s="7" t="s">
        <v>206</v>
      </c>
      <c r="E752" s="7" t="s">
        <v>83</v>
      </c>
      <c r="F752" s="7" t="s">
        <v>84</v>
      </c>
      <c r="G752" s="7" t="s">
        <v>79</v>
      </c>
      <c r="H752" s="7" t="s">
        <v>80</v>
      </c>
      <c r="I752" s="8">
        <v>23</v>
      </c>
      <c r="J752" s="8">
        <v>340663.89228999999</v>
      </c>
      <c r="K752" s="8">
        <v>631544</v>
      </c>
    </row>
    <row r="753" spans="1:11">
      <c r="A753" s="7" t="s">
        <v>203</v>
      </c>
      <c r="B753" s="7" t="s">
        <v>204</v>
      </c>
      <c r="C753" s="7" t="s">
        <v>205</v>
      </c>
      <c r="D753" s="7" t="s">
        <v>206</v>
      </c>
      <c r="E753" s="7" t="s">
        <v>83</v>
      </c>
      <c r="F753" s="7" t="s">
        <v>84</v>
      </c>
      <c r="G753" s="7" t="s">
        <v>81</v>
      </c>
      <c r="H753" s="7" t="s">
        <v>82</v>
      </c>
      <c r="I753" s="8">
        <v>32</v>
      </c>
      <c r="J753" s="8">
        <v>423617</v>
      </c>
      <c r="K753" s="8">
        <v>873817</v>
      </c>
    </row>
    <row r="754" spans="1:11">
      <c r="A754" s="7" t="s">
        <v>203</v>
      </c>
      <c r="B754" s="7" t="s">
        <v>204</v>
      </c>
      <c r="C754" s="7" t="s">
        <v>205</v>
      </c>
      <c r="D754" s="7" t="s">
        <v>206</v>
      </c>
      <c r="E754" s="7" t="s">
        <v>83</v>
      </c>
      <c r="F754" s="7" t="s">
        <v>84</v>
      </c>
      <c r="G754" s="7" t="s">
        <v>85</v>
      </c>
      <c r="H754" s="7" t="s">
        <v>86</v>
      </c>
      <c r="I754" s="8">
        <v>30</v>
      </c>
      <c r="J754" s="8">
        <v>157643</v>
      </c>
      <c r="K754" s="8">
        <v>450543</v>
      </c>
    </row>
    <row r="755" spans="1:11">
      <c r="A755" s="7" t="s">
        <v>203</v>
      </c>
      <c r="B755" s="7" t="s">
        <v>204</v>
      </c>
      <c r="C755" s="7" t="s">
        <v>205</v>
      </c>
      <c r="D755" s="7" t="s">
        <v>206</v>
      </c>
      <c r="E755" s="7" t="s">
        <v>83</v>
      </c>
      <c r="F755" s="7" t="s">
        <v>84</v>
      </c>
      <c r="G755" s="7" t="s">
        <v>107</v>
      </c>
      <c r="H755" s="7" t="s">
        <v>108</v>
      </c>
      <c r="I755" s="8">
        <v>0</v>
      </c>
      <c r="J755" s="8">
        <v>0</v>
      </c>
      <c r="K755" s="8">
        <v>0</v>
      </c>
    </row>
    <row r="756" spans="1:11">
      <c r="A756" s="7" t="s">
        <v>203</v>
      </c>
      <c r="B756" s="7" t="s">
        <v>204</v>
      </c>
      <c r="C756" s="7" t="s">
        <v>205</v>
      </c>
      <c r="D756" s="7" t="s">
        <v>206</v>
      </c>
      <c r="E756" s="7" t="s">
        <v>83</v>
      </c>
      <c r="F756" s="7" t="s">
        <v>84</v>
      </c>
      <c r="G756" s="7" t="s">
        <v>87</v>
      </c>
      <c r="H756" s="7" t="s">
        <v>88</v>
      </c>
      <c r="I756" s="8">
        <v>7</v>
      </c>
      <c r="J756" s="8">
        <v>63391</v>
      </c>
      <c r="K756" s="8">
        <v>133091</v>
      </c>
    </row>
    <row r="757" spans="1:11">
      <c r="A757" s="7" t="s">
        <v>203</v>
      </c>
      <c r="B757" s="7" t="s">
        <v>204</v>
      </c>
      <c r="C757" s="7" t="s">
        <v>205</v>
      </c>
      <c r="D757" s="7" t="s">
        <v>206</v>
      </c>
      <c r="E757" s="7" t="s">
        <v>92</v>
      </c>
      <c r="F757" s="7" t="s">
        <v>92</v>
      </c>
      <c r="G757" s="7" t="s">
        <v>92</v>
      </c>
      <c r="H757" s="7" t="s">
        <v>92</v>
      </c>
      <c r="I757" s="8">
        <v>-6441</v>
      </c>
      <c r="J757" s="8">
        <v>-117109</v>
      </c>
      <c r="K757" s="8">
        <v>-117109</v>
      </c>
    </row>
    <row r="758" spans="1:11">
      <c r="A758" s="7" t="s">
        <v>203</v>
      </c>
      <c r="B758" s="7" t="s">
        <v>204</v>
      </c>
      <c r="C758" s="7" t="s">
        <v>207</v>
      </c>
      <c r="D758" s="7" t="s">
        <v>208</v>
      </c>
      <c r="E758" s="7" t="s">
        <v>65</v>
      </c>
      <c r="F758" s="7" t="s">
        <v>66</v>
      </c>
      <c r="G758" s="7" t="s">
        <v>67</v>
      </c>
      <c r="H758" s="7" t="s">
        <v>68</v>
      </c>
      <c r="I758" s="8">
        <v>3</v>
      </c>
      <c r="J758" s="8">
        <v>702182</v>
      </c>
      <c r="K758" s="8">
        <v>7018182</v>
      </c>
    </row>
    <row r="759" spans="1:11">
      <c r="A759" s="7" t="s">
        <v>203</v>
      </c>
      <c r="B759" s="7" t="s">
        <v>204</v>
      </c>
      <c r="C759" s="7" t="s">
        <v>207</v>
      </c>
      <c r="D759" s="7" t="s">
        <v>208</v>
      </c>
      <c r="E759" s="7" t="s">
        <v>65</v>
      </c>
      <c r="F759" s="7" t="s">
        <v>66</v>
      </c>
      <c r="G759" s="7" t="s">
        <v>69</v>
      </c>
      <c r="H759" s="7" t="s">
        <v>36</v>
      </c>
      <c r="I759" s="8">
        <v>7</v>
      </c>
      <c r="J759" s="8">
        <v>703709</v>
      </c>
      <c r="K759" s="8">
        <v>9309089</v>
      </c>
    </row>
    <row r="760" spans="1:11">
      <c r="A760" s="7" t="s">
        <v>203</v>
      </c>
      <c r="B760" s="7" t="s">
        <v>204</v>
      </c>
      <c r="C760" s="7" t="s">
        <v>207</v>
      </c>
      <c r="D760" s="7" t="s">
        <v>208</v>
      </c>
      <c r="E760" s="7" t="s">
        <v>65</v>
      </c>
      <c r="F760" s="7" t="s">
        <v>66</v>
      </c>
      <c r="G760" s="7" t="s">
        <v>70</v>
      </c>
      <c r="H760" s="7" t="s">
        <v>28</v>
      </c>
      <c r="I760" s="8">
        <v>12</v>
      </c>
      <c r="J760" s="8">
        <v>549745.47058800003</v>
      </c>
      <c r="K760" s="8">
        <v>7161819</v>
      </c>
    </row>
    <row r="761" spans="1:11">
      <c r="A761" s="7" t="s">
        <v>203</v>
      </c>
      <c r="B761" s="7" t="s">
        <v>204</v>
      </c>
      <c r="C761" s="7" t="s">
        <v>207</v>
      </c>
      <c r="D761" s="7" t="s">
        <v>208</v>
      </c>
      <c r="E761" s="7" t="s">
        <v>65</v>
      </c>
      <c r="F761" s="7" t="s">
        <v>66</v>
      </c>
      <c r="G761" s="7" t="s">
        <v>97</v>
      </c>
      <c r="H761" s="7" t="s">
        <v>98</v>
      </c>
      <c r="I761" s="8">
        <v>3</v>
      </c>
      <c r="J761" s="8">
        <v>82908</v>
      </c>
      <c r="K761" s="8">
        <v>1360908</v>
      </c>
    </row>
    <row r="762" spans="1:11">
      <c r="A762" s="7" t="s">
        <v>203</v>
      </c>
      <c r="B762" s="7" t="s">
        <v>204</v>
      </c>
      <c r="C762" s="7" t="s">
        <v>207</v>
      </c>
      <c r="D762" s="7" t="s">
        <v>208</v>
      </c>
      <c r="E762" s="7" t="s">
        <v>65</v>
      </c>
      <c r="F762" s="7" t="s">
        <v>66</v>
      </c>
      <c r="G762" s="7" t="s">
        <v>71</v>
      </c>
      <c r="H762" s="7" t="s">
        <v>72</v>
      </c>
      <c r="I762" s="8">
        <v>9</v>
      </c>
      <c r="J762" s="8">
        <v>306001</v>
      </c>
      <c r="K762" s="8">
        <v>4410001</v>
      </c>
    </row>
    <row r="763" spans="1:11">
      <c r="A763" s="7" t="s">
        <v>203</v>
      </c>
      <c r="B763" s="7" t="s">
        <v>204</v>
      </c>
      <c r="C763" s="7" t="s">
        <v>207</v>
      </c>
      <c r="D763" s="7" t="s">
        <v>208</v>
      </c>
      <c r="E763" s="7" t="s">
        <v>65</v>
      </c>
      <c r="F763" s="7" t="s">
        <v>66</v>
      </c>
      <c r="G763" s="7" t="s">
        <v>73</v>
      </c>
      <c r="H763" s="7" t="s">
        <v>74</v>
      </c>
      <c r="I763" s="8">
        <v>3</v>
      </c>
      <c r="J763" s="8">
        <v>287181</v>
      </c>
      <c r="K763" s="8">
        <v>3588181</v>
      </c>
    </row>
    <row r="764" spans="1:11">
      <c r="A764" s="7" t="s">
        <v>203</v>
      </c>
      <c r="B764" s="7" t="s">
        <v>204</v>
      </c>
      <c r="C764" s="7" t="s">
        <v>207</v>
      </c>
      <c r="D764" s="7" t="s">
        <v>208</v>
      </c>
      <c r="E764" s="7" t="s">
        <v>75</v>
      </c>
      <c r="F764" s="7" t="s">
        <v>76</v>
      </c>
      <c r="G764" s="7" t="s">
        <v>77</v>
      </c>
      <c r="H764" s="7" t="s">
        <v>78</v>
      </c>
      <c r="I764" s="8">
        <v>1</v>
      </c>
      <c r="J764" s="8">
        <v>10908.998635</v>
      </c>
      <c r="K764" s="8">
        <v>80909</v>
      </c>
    </row>
    <row r="765" spans="1:11">
      <c r="A765" s="7" t="s">
        <v>203</v>
      </c>
      <c r="B765" s="7" t="s">
        <v>204</v>
      </c>
      <c r="C765" s="7" t="s">
        <v>207</v>
      </c>
      <c r="D765" s="7" t="s">
        <v>208</v>
      </c>
      <c r="E765" s="7" t="s">
        <v>75</v>
      </c>
      <c r="F765" s="7" t="s">
        <v>76</v>
      </c>
      <c r="G765" s="7" t="s">
        <v>79</v>
      </c>
      <c r="H765" s="7" t="s">
        <v>80</v>
      </c>
      <c r="I765" s="8">
        <v>49</v>
      </c>
      <c r="J765" s="8">
        <v>2346367.0856559998</v>
      </c>
      <c r="K765" s="8">
        <v>9356364</v>
      </c>
    </row>
    <row r="766" spans="1:11">
      <c r="A766" s="7" t="s">
        <v>203</v>
      </c>
      <c r="B766" s="7" t="s">
        <v>204</v>
      </c>
      <c r="C766" s="7" t="s">
        <v>207</v>
      </c>
      <c r="D766" s="7" t="s">
        <v>208</v>
      </c>
      <c r="E766" s="7" t="s">
        <v>75</v>
      </c>
      <c r="F766" s="7" t="s">
        <v>76</v>
      </c>
      <c r="G766" s="7" t="s">
        <v>81</v>
      </c>
      <c r="H766" s="7" t="s">
        <v>82</v>
      </c>
      <c r="I766" s="8">
        <v>31</v>
      </c>
      <c r="J766" s="8">
        <v>385636.07123100001</v>
      </c>
      <c r="K766" s="8">
        <v>2573636</v>
      </c>
    </row>
    <row r="767" spans="1:11">
      <c r="A767" s="7" t="s">
        <v>203</v>
      </c>
      <c r="B767" s="7" t="s">
        <v>204</v>
      </c>
      <c r="C767" s="7" t="s">
        <v>207</v>
      </c>
      <c r="D767" s="7" t="s">
        <v>208</v>
      </c>
      <c r="E767" s="7" t="s">
        <v>75</v>
      </c>
      <c r="F767" s="7" t="s">
        <v>76</v>
      </c>
      <c r="G767" s="7" t="s">
        <v>99</v>
      </c>
      <c r="H767" s="7" t="s">
        <v>100</v>
      </c>
      <c r="I767" s="8">
        <v>2</v>
      </c>
      <c r="J767" s="8">
        <v>23090</v>
      </c>
      <c r="K767" s="8">
        <v>89090</v>
      </c>
    </row>
    <row r="768" spans="1:11">
      <c r="A768" s="7" t="s">
        <v>203</v>
      </c>
      <c r="B768" s="7" t="s">
        <v>204</v>
      </c>
      <c r="C768" s="7" t="s">
        <v>207</v>
      </c>
      <c r="D768" s="7" t="s">
        <v>208</v>
      </c>
      <c r="E768" s="7" t="s">
        <v>83</v>
      </c>
      <c r="F768" s="7" t="s">
        <v>84</v>
      </c>
      <c r="G768" s="7" t="s">
        <v>77</v>
      </c>
      <c r="H768" s="7" t="s">
        <v>78</v>
      </c>
      <c r="I768" s="8">
        <v>8</v>
      </c>
      <c r="J768" s="8">
        <v>61734</v>
      </c>
      <c r="K768" s="8">
        <v>184034</v>
      </c>
    </row>
    <row r="769" spans="1:11">
      <c r="A769" s="7" t="s">
        <v>203</v>
      </c>
      <c r="B769" s="7" t="s">
        <v>204</v>
      </c>
      <c r="C769" s="7" t="s">
        <v>207</v>
      </c>
      <c r="D769" s="7" t="s">
        <v>208</v>
      </c>
      <c r="E769" s="7" t="s">
        <v>83</v>
      </c>
      <c r="F769" s="7" t="s">
        <v>84</v>
      </c>
      <c r="G769" s="7" t="s">
        <v>79</v>
      </c>
      <c r="H769" s="7" t="s">
        <v>80</v>
      </c>
      <c r="I769" s="8">
        <v>30</v>
      </c>
      <c r="J769" s="8">
        <v>322423.37985999999</v>
      </c>
      <c r="K769" s="8">
        <v>609545</v>
      </c>
    </row>
    <row r="770" spans="1:11">
      <c r="A770" s="7" t="s">
        <v>203</v>
      </c>
      <c r="B770" s="7" t="s">
        <v>204</v>
      </c>
      <c r="C770" s="7" t="s">
        <v>207</v>
      </c>
      <c r="D770" s="7" t="s">
        <v>208</v>
      </c>
      <c r="E770" s="7" t="s">
        <v>83</v>
      </c>
      <c r="F770" s="7" t="s">
        <v>84</v>
      </c>
      <c r="G770" s="7" t="s">
        <v>81</v>
      </c>
      <c r="H770" s="7" t="s">
        <v>82</v>
      </c>
      <c r="I770" s="8">
        <v>29</v>
      </c>
      <c r="J770" s="8">
        <v>363310</v>
      </c>
      <c r="K770" s="8">
        <v>731910</v>
      </c>
    </row>
    <row r="771" spans="1:11">
      <c r="A771" s="7" t="s">
        <v>203</v>
      </c>
      <c r="B771" s="7" t="s">
        <v>204</v>
      </c>
      <c r="C771" s="7" t="s">
        <v>207</v>
      </c>
      <c r="D771" s="7" t="s">
        <v>208</v>
      </c>
      <c r="E771" s="7" t="s">
        <v>83</v>
      </c>
      <c r="F771" s="7" t="s">
        <v>84</v>
      </c>
      <c r="G771" s="7" t="s">
        <v>101</v>
      </c>
      <c r="H771" s="7" t="s">
        <v>102</v>
      </c>
      <c r="I771" s="8">
        <v>0</v>
      </c>
      <c r="J771" s="8">
        <v>0</v>
      </c>
      <c r="K771" s="8">
        <v>0</v>
      </c>
    </row>
    <row r="772" spans="1:11">
      <c r="A772" s="7" t="s">
        <v>203</v>
      </c>
      <c r="B772" s="7" t="s">
        <v>204</v>
      </c>
      <c r="C772" s="7" t="s">
        <v>207</v>
      </c>
      <c r="D772" s="7" t="s">
        <v>208</v>
      </c>
      <c r="E772" s="7" t="s">
        <v>83</v>
      </c>
      <c r="F772" s="7" t="s">
        <v>84</v>
      </c>
      <c r="G772" s="7" t="s">
        <v>85</v>
      </c>
      <c r="H772" s="7" t="s">
        <v>86</v>
      </c>
      <c r="I772" s="8">
        <v>16</v>
      </c>
      <c r="J772" s="8">
        <v>84979</v>
      </c>
      <c r="K772" s="8">
        <v>236179</v>
      </c>
    </row>
    <row r="773" spans="1:11">
      <c r="A773" s="7" t="s">
        <v>203</v>
      </c>
      <c r="B773" s="7" t="s">
        <v>204</v>
      </c>
      <c r="C773" s="7" t="s">
        <v>207</v>
      </c>
      <c r="D773" s="7" t="s">
        <v>208</v>
      </c>
      <c r="E773" s="7" t="s">
        <v>83</v>
      </c>
      <c r="F773" s="7" t="s">
        <v>84</v>
      </c>
      <c r="G773" s="7" t="s">
        <v>107</v>
      </c>
      <c r="H773" s="7" t="s">
        <v>108</v>
      </c>
      <c r="I773" s="8">
        <v>2</v>
      </c>
      <c r="J773" s="8">
        <v>14528</v>
      </c>
      <c r="K773" s="8">
        <v>40728</v>
      </c>
    </row>
    <row r="774" spans="1:11">
      <c r="A774" s="7" t="s">
        <v>203</v>
      </c>
      <c r="B774" s="7" t="s">
        <v>204</v>
      </c>
      <c r="C774" s="7" t="s">
        <v>207</v>
      </c>
      <c r="D774" s="7" t="s">
        <v>208</v>
      </c>
      <c r="E774" s="7" t="s">
        <v>83</v>
      </c>
      <c r="F774" s="7" t="s">
        <v>84</v>
      </c>
      <c r="G774" s="7" t="s">
        <v>87</v>
      </c>
      <c r="H774" s="7" t="s">
        <v>88</v>
      </c>
      <c r="I774" s="8">
        <v>7</v>
      </c>
      <c r="J774" s="8">
        <v>59522</v>
      </c>
      <c r="K774" s="8">
        <v>120272</v>
      </c>
    </row>
    <row r="775" spans="1:11">
      <c r="A775" s="7" t="s">
        <v>203</v>
      </c>
      <c r="B775" s="7" t="s">
        <v>204</v>
      </c>
      <c r="C775" s="7" t="s">
        <v>207</v>
      </c>
      <c r="D775" s="7" t="s">
        <v>208</v>
      </c>
      <c r="E775" s="7" t="s">
        <v>92</v>
      </c>
      <c r="F775" s="7" t="s">
        <v>92</v>
      </c>
      <c r="G775" s="7" t="s">
        <v>92</v>
      </c>
      <c r="H775" s="7" t="s">
        <v>92</v>
      </c>
      <c r="I775" s="8">
        <v>-4630</v>
      </c>
      <c r="J775" s="8">
        <v>-84181</v>
      </c>
      <c r="K775" s="8">
        <v>-84181</v>
      </c>
    </row>
    <row r="776" spans="1:11">
      <c r="A776" s="7" t="s">
        <v>203</v>
      </c>
      <c r="B776" s="7" t="s">
        <v>204</v>
      </c>
      <c r="C776" s="7" t="s">
        <v>209</v>
      </c>
      <c r="D776" s="7" t="s">
        <v>210</v>
      </c>
      <c r="E776" s="7" t="s">
        <v>65</v>
      </c>
      <c r="F776" s="7" t="s">
        <v>66</v>
      </c>
      <c r="G776" s="7" t="s">
        <v>67</v>
      </c>
      <c r="H776" s="7" t="s">
        <v>68</v>
      </c>
      <c r="I776" s="8">
        <v>2</v>
      </c>
      <c r="J776" s="8">
        <v>543363</v>
      </c>
      <c r="K776" s="8">
        <v>5436363</v>
      </c>
    </row>
    <row r="777" spans="1:11">
      <c r="A777" s="7" t="s">
        <v>203</v>
      </c>
      <c r="B777" s="7" t="s">
        <v>204</v>
      </c>
      <c r="C777" s="7" t="s">
        <v>209</v>
      </c>
      <c r="D777" s="7" t="s">
        <v>210</v>
      </c>
      <c r="E777" s="7" t="s">
        <v>65</v>
      </c>
      <c r="F777" s="7" t="s">
        <v>66</v>
      </c>
      <c r="G777" s="7" t="s">
        <v>69</v>
      </c>
      <c r="H777" s="7" t="s">
        <v>36</v>
      </c>
      <c r="I777" s="8">
        <v>3</v>
      </c>
      <c r="J777" s="8">
        <v>292787</v>
      </c>
      <c r="K777" s="8">
        <v>3872727</v>
      </c>
    </row>
    <row r="778" spans="1:11">
      <c r="A778" s="7" t="s">
        <v>203</v>
      </c>
      <c r="B778" s="7" t="s">
        <v>204</v>
      </c>
      <c r="C778" s="7" t="s">
        <v>209</v>
      </c>
      <c r="D778" s="7" t="s">
        <v>210</v>
      </c>
      <c r="E778" s="7" t="s">
        <v>65</v>
      </c>
      <c r="F778" s="7" t="s">
        <v>66</v>
      </c>
      <c r="G778" s="7" t="s">
        <v>70</v>
      </c>
      <c r="H778" s="7" t="s">
        <v>28</v>
      </c>
      <c r="I778" s="8">
        <v>17</v>
      </c>
      <c r="J778" s="8">
        <v>730001</v>
      </c>
      <c r="K778" s="8">
        <v>9130001</v>
      </c>
    </row>
    <row r="779" spans="1:11">
      <c r="A779" s="7" t="s">
        <v>203</v>
      </c>
      <c r="B779" s="7" t="s">
        <v>204</v>
      </c>
      <c r="C779" s="7" t="s">
        <v>209</v>
      </c>
      <c r="D779" s="7" t="s">
        <v>210</v>
      </c>
      <c r="E779" s="7" t="s">
        <v>65</v>
      </c>
      <c r="F779" s="7" t="s">
        <v>66</v>
      </c>
      <c r="G779" s="7" t="s">
        <v>97</v>
      </c>
      <c r="H779" s="7" t="s">
        <v>98</v>
      </c>
      <c r="I779" s="8">
        <v>4</v>
      </c>
      <c r="J779" s="8">
        <v>110544</v>
      </c>
      <c r="K779" s="8">
        <v>1814544</v>
      </c>
    </row>
    <row r="780" spans="1:11">
      <c r="A780" s="7" t="s">
        <v>203</v>
      </c>
      <c r="B780" s="7" t="s">
        <v>204</v>
      </c>
      <c r="C780" s="7" t="s">
        <v>209</v>
      </c>
      <c r="D780" s="7" t="s">
        <v>210</v>
      </c>
      <c r="E780" s="7" t="s">
        <v>65</v>
      </c>
      <c r="F780" s="7" t="s">
        <v>66</v>
      </c>
      <c r="G780" s="7" t="s">
        <v>71</v>
      </c>
      <c r="H780" s="7" t="s">
        <v>72</v>
      </c>
      <c r="I780" s="8">
        <v>5</v>
      </c>
      <c r="J780" s="8">
        <v>174729</v>
      </c>
      <c r="K780" s="8">
        <v>2522729</v>
      </c>
    </row>
    <row r="781" spans="1:11">
      <c r="A781" s="7" t="s">
        <v>203</v>
      </c>
      <c r="B781" s="7" t="s">
        <v>204</v>
      </c>
      <c r="C781" s="7" t="s">
        <v>209</v>
      </c>
      <c r="D781" s="7" t="s">
        <v>210</v>
      </c>
      <c r="E781" s="7" t="s">
        <v>75</v>
      </c>
      <c r="F781" s="7" t="s">
        <v>76</v>
      </c>
      <c r="G781" s="7" t="s">
        <v>77</v>
      </c>
      <c r="H781" s="7" t="s">
        <v>78</v>
      </c>
      <c r="I781" s="8">
        <v>10</v>
      </c>
      <c r="J781" s="8">
        <v>106907.960962</v>
      </c>
      <c r="K781" s="8">
        <v>790908</v>
      </c>
    </row>
    <row r="782" spans="1:11">
      <c r="A782" s="7" t="s">
        <v>203</v>
      </c>
      <c r="B782" s="7" t="s">
        <v>204</v>
      </c>
      <c r="C782" s="7" t="s">
        <v>209</v>
      </c>
      <c r="D782" s="7" t="s">
        <v>210</v>
      </c>
      <c r="E782" s="7" t="s">
        <v>75</v>
      </c>
      <c r="F782" s="7" t="s">
        <v>76</v>
      </c>
      <c r="G782" s="7" t="s">
        <v>79</v>
      </c>
      <c r="H782" s="7" t="s">
        <v>80</v>
      </c>
      <c r="I782" s="8">
        <v>53</v>
      </c>
      <c r="J782" s="8">
        <v>2233005.1667160001</v>
      </c>
      <c r="K782" s="8">
        <v>8950999</v>
      </c>
    </row>
    <row r="783" spans="1:11">
      <c r="A783" s="7" t="s">
        <v>203</v>
      </c>
      <c r="B783" s="7" t="s">
        <v>204</v>
      </c>
      <c r="C783" s="7" t="s">
        <v>209</v>
      </c>
      <c r="D783" s="7" t="s">
        <v>210</v>
      </c>
      <c r="E783" s="7" t="s">
        <v>75</v>
      </c>
      <c r="F783" s="7" t="s">
        <v>76</v>
      </c>
      <c r="G783" s="7" t="s">
        <v>81</v>
      </c>
      <c r="H783" s="7" t="s">
        <v>82</v>
      </c>
      <c r="I783" s="8">
        <v>27</v>
      </c>
      <c r="J783" s="8">
        <v>382274.036762</v>
      </c>
      <c r="K783" s="8">
        <v>2937274</v>
      </c>
    </row>
    <row r="784" spans="1:11">
      <c r="A784" s="7" t="s">
        <v>203</v>
      </c>
      <c r="B784" s="7" t="s">
        <v>204</v>
      </c>
      <c r="C784" s="7" t="s">
        <v>209</v>
      </c>
      <c r="D784" s="7" t="s">
        <v>210</v>
      </c>
      <c r="E784" s="7" t="s">
        <v>75</v>
      </c>
      <c r="F784" s="7" t="s">
        <v>76</v>
      </c>
      <c r="G784" s="7" t="s">
        <v>87</v>
      </c>
      <c r="H784" s="7" t="s">
        <v>88</v>
      </c>
      <c r="I784" s="8">
        <v>2</v>
      </c>
      <c r="J784" s="8">
        <v>28546</v>
      </c>
      <c r="K784" s="8">
        <v>134546</v>
      </c>
    </row>
    <row r="785" spans="1:11">
      <c r="A785" s="7" t="s">
        <v>203</v>
      </c>
      <c r="B785" s="7" t="s">
        <v>204</v>
      </c>
      <c r="C785" s="7" t="s">
        <v>209</v>
      </c>
      <c r="D785" s="7" t="s">
        <v>210</v>
      </c>
      <c r="E785" s="7" t="s">
        <v>83</v>
      </c>
      <c r="F785" s="7" t="s">
        <v>84</v>
      </c>
      <c r="G785" s="7" t="s">
        <v>77</v>
      </c>
      <c r="H785" s="7" t="s">
        <v>78</v>
      </c>
      <c r="I785" s="8">
        <v>15</v>
      </c>
      <c r="J785" s="8">
        <v>207192</v>
      </c>
      <c r="K785" s="8">
        <v>489565</v>
      </c>
    </row>
    <row r="786" spans="1:11">
      <c r="A786" s="7" t="s">
        <v>203</v>
      </c>
      <c r="B786" s="7" t="s">
        <v>204</v>
      </c>
      <c r="C786" s="7" t="s">
        <v>209</v>
      </c>
      <c r="D786" s="7" t="s">
        <v>210</v>
      </c>
      <c r="E786" s="7" t="s">
        <v>83</v>
      </c>
      <c r="F786" s="7" t="s">
        <v>84</v>
      </c>
      <c r="G786" s="7" t="s">
        <v>79</v>
      </c>
      <c r="H786" s="7" t="s">
        <v>80</v>
      </c>
      <c r="I786" s="8">
        <v>29</v>
      </c>
      <c r="J786" s="8">
        <v>400957.39808299998</v>
      </c>
      <c r="K786" s="8">
        <v>691997</v>
      </c>
    </row>
    <row r="787" spans="1:11">
      <c r="A787" s="7" t="s">
        <v>203</v>
      </c>
      <c r="B787" s="7" t="s">
        <v>204</v>
      </c>
      <c r="C787" s="7" t="s">
        <v>209</v>
      </c>
      <c r="D787" s="7" t="s">
        <v>210</v>
      </c>
      <c r="E787" s="7" t="s">
        <v>83</v>
      </c>
      <c r="F787" s="7" t="s">
        <v>84</v>
      </c>
      <c r="G787" s="7" t="s">
        <v>81</v>
      </c>
      <c r="H787" s="7" t="s">
        <v>82</v>
      </c>
      <c r="I787" s="8">
        <v>34</v>
      </c>
      <c r="J787" s="8">
        <v>458781</v>
      </c>
      <c r="K787" s="8">
        <v>920181</v>
      </c>
    </row>
    <row r="788" spans="1:11">
      <c r="A788" s="7" t="s">
        <v>203</v>
      </c>
      <c r="B788" s="7" t="s">
        <v>204</v>
      </c>
      <c r="C788" s="7" t="s">
        <v>209</v>
      </c>
      <c r="D788" s="7" t="s">
        <v>210</v>
      </c>
      <c r="E788" s="7" t="s">
        <v>83</v>
      </c>
      <c r="F788" s="7" t="s">
        <v>84</v>
      </c>
      <c r="G788" s="7" t="s">
        <v>101</v>
      </c>
      <c r="H788" s="7" t="s">
        <v>102</v>
      </c>
      <c r="I788" s="8">
        <v>-1</v>
      </c>
      <c r="J788" s="8">
        <v>-25364</v>
      </c>
      <c r="K788" s="8">
        <v>-126364</v>
      </c>
    </row>
    <row r="789" spans="1:11">
      <c r="A789" s="7" t="s">
        <v>203</v>
      </c>
      <c r="B789" s="7" t="s">
        <v>204</v>
      </c>
      <c r="C789" s="7" t="s">
        <v>209</v>
      </c>
      <c r="D789" s="7" t="s">
        <v>210</v>
      </c>
      <c r="E789" s="7" t="s">
        <v>83</v>
      </c>
      <c r="F789" s="7" t="s">
        <v>84</v>
      </c>
      <c r="G789" s="7" t="s">
        <v>85</v>
      </c>
      <c r="H789" s="7" t="s">
        <v>86</v>
      </c>
      <c r="I789" s="8">
        <v>38</v>
      </c>
      <c r="J789" s="8">
        <v>288745</v>
      </c>
      <c r="K789" s="8">
        <v>953545</v>
      </c>
    </row>
    <row r="790" spans="1:11">
      <c r="A790" s="7" t="s">
        <v>203</v>
      </c>
      <c r="B790" s="7" t="s">
        <v>204</v>
      </c>
      <c r="C790" s="7" t="s">
        <v>209</v>
      </c>
      <c r="D790" s="7" t="s">
        <v>210</v>
      </c>
      <c r="E790" s="7" t="s">
        <v>83</v>
      </c>
      <c r="F790" s="7" t="s">
        <v>84</v>
      </c>
      <c r="G790" s="7" t="s">
        <v>107</v>
      </c>
      <c r="H790" s="7" t="s">
        <v>108</v>
      </c>
      <c r="I790" s="8">
        <v>2</v>
      </c>
      <c r="J790" s="8">
        <v>32491</v>
      </c>
      <c r="K790" s="8">
        <v>108091</v>
      </c>
    </row>
    <row r="791" spans="1:11">
      <c r="A791" s="7" t="s">
        <v>203</v>
      </c>
      <c r="B791" s="7" t="s">
        <v>204</v>
      </c>
      <c r="C791" s="7" t="s">
        <v>209</v>
      </c>
      <c r="D791" s="7" t="s">
        <v>210</v>
      </c>
      <c r="E791" s="7" t="s">
        <v>83</v>
      </c>
      <c r="F791" s="7" t="s">
        <v>84</v>
      </c>
      <c r="G791" s="7" t="s">
        <v>87</v>
      </c>
      <c r="H791" s="7" t="s">
        <v>88</v>
      </c>
      <c r="I791" s="8">
        <v>4</v>
      </c>
      <c r="J791" s="8">
        <v>46854</v>
      </c>
      <c r="K791" s="8">
        <v>79454</v>
      </c>
    </row>
    <row r="792" spans="1:11">
      <c r="A792" s="7" t="s">
        <v>203</v>
      </c>
      <c r="B792" s="7" t="s">
        <v>204</v>
      </c>
      <c r="C792" s="7" t="s">
        <v>209</v>
      </c>
      <c r="D792" s="7" t="s">
        <v>210</v>
      </c>
      <c r="E792" s="7" t="s">
        <v>92</v>
      </c>
      <c r="F792" s="7" t="s">
        <v>92</v>
      </c>
      <c r="G792" s="7" t="s">
        <v>92</v>
      </c>
      <c r="H792" s="7" t="s">
        <v>92</v>
      </c>
      <c r="I792" s="8">
        <v>-11800</v>
      </c>
      <c r="J792" s="8">
        <v>-214545</v>
      </c>
      <c r="K792" s="8">
        <v>-214545</v>
      </c>
    </row>
    <row r="793" spans="1:11">
      <c r="A793" s="7" t="s">
        <v>211</v>
      </c>
      <c r="B793" s="7" t="s">
        <v>212</v>
      </c>
      <c r="C793" s="7" t="s">
        <v>213</v>
      </c>
      <c r="D793" s="7" t="s">
        <v>214</v>
      </c>
      <c r="E793" s="7" t="s">
        <v>65</v>
      </c>
      <c r="F793" s="7" t="s">
        <v>66</v>
      </c>
      <c r="G793" s="7" t="s">
        <v>67</v>
      </c>
      <c r="H793" s="7" t="s">
        <v>68</v>
      </c>
      <c r="I793" s="8">
        <v>1</v>
      </c>
      <c r="J793" s="8">
        <v>207818</v>
      </c>
      <c r="K793" s="8">
        <v>2081818</v>
      </c>
    </row>
    <row r="794" spans="1:11">
      <c r="A794" s="7" t="s">
        <v>211</v>
      </c>
      <c r="B794" s="7" t="s">
        <v>212</v>
      </c>
      <c r="C794" s="7" t="s">
        <v>213</v>
      </c>
      <c r="D794" s="7" t="s">
        <v>214</v>
      </c>
      <c r="E794" s="7" t="s">
        <v>65</v>
      </c>
      <c r="F794" s="7" t="s">
        <v>66</v>
      </c>
      <c r="G794" s="7" t="s">
        <v>69</v>
      </c>
      <c r="H794" s="7" t="s">
        <v>36</v>
      </c>
      <c r="I794" s="8">
        <v>5</v>
      </c>
      <c r="J794" s="8">
        <v>-43410</v>
      </c>
      <c r="K794" s="8">
        <v>5599090</v>
      </c>
    </row>
    <row r="795" spans="1:11">
      <c r="A795" s="7" t="s">
        <v>211</v>
      </c>
      <c r="B795" s="7" t="s">
        <v>212</v>
      </c>
      <c r="C795" s="7" t="s">
        <v>213</v>
      </c>
      <c r="D795" s="7" t="s">
        <v>214</v>
      </c>
      <c r="E795" s="7" t="s">
        <v>65</v>
      </c>
      <c r="F795" s="7" t="s">
        <v>66</v>
      </c>
      <c r="G795" s="7" t="s">
        <v>70</v>
      </c>
      <c r="H795" s="7" t="s">
        <v>28</v>
      </c>
      <c r="I795" s="8">
        <v>6</v>
      </c>
      <c r="J795" s="8">
        <v>226001</v>
      </c>
      <c r="K795" s="8">
        <v>3140001</v>
      </c>
    </row>
    <row r="796" spans="1:11">
      <c r="A796" s="7" t="s">
        <v>211</v>
      </c>
      <c r="B796" s="7" t="s">
        <v>212</v>
      </c>
      <c r="C796" s="7" t="s">
        <v>213</v>
      </c>
      <c r="D796" s="7" t="s">
        <v>214</v>
      </c>
      <c r="E796" s="7" t="s">
        <v>65</v>
      </c>
      <c r="F796" s="7" t="s">
        <v>66</v>
      </c>
      <c r="G796" s="7" t="s">
        <v>97</v>
      </c>
      <c r="H796" s="7" t="s">
        <v>98</v>
      </c>
      <c r="I796" s="8">
        <v>4</v>
      </c>
      <c r="J796" s="8">
        <v>110546</v>
      </c>
      <c r="K796" s="8">
        <v>1814546</v>
      </c>
    </row>
    <row r="797" spans="1:11">
      <c r="A797" s="7" t="s">
        <v>211</v>
      </c>
      <c r="B797" s="7" t="s">
        <v>212</v>
      </c>
      <c r="C797" s="7" t="s">
        <v>213</v>
      </c>
      <c r="D797" s="7" t="s">
        <v>214</v>
      </c>
      <c r="E797" s="7" t="s">
        <v>65</v>
      </c>
      <c r="F797" s="7" t="s">
        <v>66</v>
      </c>
      <c r="G797" s="7" t="s">
        <v>71</v>
      </c>
      <c r="H797" s="7" t="s">
        <v>72</v>
      </c>
      <c r="I797" s="8">
        <v>4</v>
      </c>
      <c r="J797" s="8">
        <v>103274</v>
      </c>
      <c r="K797" s="8">
        <v>1487274</v>
      </c>
    </row>
    <row r="798" spans="1:11">
      <c r="A798" s="7" t="s">
        <v>211</v>
      </c>
      <c r="B798" s="7" t="s">
        <v>212</v>
      </c>
      <c r="C798" s="7" t="s">
        <v>213</v>
      </c>
      <c r="D798" s="7" t="s">
        <v>214</v>
      </c>
      <c r="E798" s="7" t="s">
        <v>65</v>
      </c>
      <c r="F798" s="7" t="s">
        <v>66</v>
      </c>
      <c r="G798" s="7" t="s">
        <v>73</v>
      </c>
      <c r="H798" s="7" t="s">
        <v>74</v>
      </c>
      <c r="I798" s="8">
        <v>18</v>
      </c>
      <c r="J798" s="8">
        <v>1528996</v>
      </c>
      <c r="K798" s="8">
        <v>19119996</v>
      </c>
    </row>
    <row r="799" spans="1:11">
      <c r="A799" s="7" t="s">
        <v>211</v>
      </c>
      <c r="B799" s="7" t="s">
        <v>212</v>
      </c>
      <c r="C799" s="7" t="s">
        <v>213</v>
      </c>
      <c r="D799" s="7" t="s">
        <v>214</v>
      </c>
      <c r="E799" s="7" t="s">
        <v>75</v>
      </c>
      <c r="F799" s="7" t="s">
        <v>76</v>
      </c>
      <c r="G799" s="7" t="s">
        <v>77</v>
      </c>
      <c r="H799" s="7" t="s">
        <v>78</v>
      </c>
      <c r="I799" s="8">
        <v>3</v>
      </c>
      <c r="J799" s="8">
        <v>47999.970764999998</v>
      </c>
      <c r="K799" s="8">
        <v>372000</v>
      </c>
    </row>
    <row r="800" spans="1:11">
      <c r="A800" s="7" t="s">
        <v>211</v>
      </c>
      <c r="B800" s="7" t="s">
        <v>212</v>
      </c>
      <c r="C800" s="7" t="s">
        <v>213</v>
      </c>
      <c r="D800" s="7" t="s">
        <v>214</v>
      </c>
      <c r="E800" s="7" t="s">
        <v>75</v>
      </c>
      <c r="F800" s="7" t="s">
        <v>76</v>
      </c>
      <c r="G800" s="7" t="s">
        <v>79</v>
      </c>
      <c r="H800" s="7" t="s">
        <v>80</v>
      </c>
      <c r="I800" s="8">
        <v>44</v>
      </c>
      <c r="J800" s="8">
        <v>1830095.169068</v>
      </c>
      <c r="K800" s="8">
        <v>7299089</v>
      </c>
    </row>
    <row r="801" spans="1:11">
      <c r="A801" s="7" t="s">
        <v>211</v>
      </c>
      <c r="B801" s="7" t="s">
        <v>212</v>
      </c>
      <c r="C801" s="7" t="s">
        <v>213</v>
      </c>
      <c r="D801" s="7" t="s">
        <v>214</v>
      </c>
      <c r="E801" s="7" t="s">
        <v>75</v>
      </c>
      <c r="F801" s="7" t="s">
        <v>76</v>
      </c>
      <c r="G801" s="7" t="s">
        <v>81</v>
      </c>
      <c r="H801" s="7" t="s">
        <v>82</v>
      </c>
      <c r="I801" s="8">
        <v>30</v>
      </c>
      <c r="J801" s="8">
        <v>659366.00117199996</v>
      </c>
      <c r="K801" s="8">
        <v>3476366</v>
      </c>
    </row>
    <row r="802" spans="1:11">
      <c r="A802" s="7" t="s">
        <v>211</v>
      </c>
      <c r="B802" s="7" t="s">
        <v>212</v>
      </c>
      <c r="C802" s="7" t="s">
        <v>213</v>
      </c>
      <c r="D802" s="7" t="s">
        <v>214</v>
      </c>
      <c r="E802" s="7" t="s">
        <v>75</v>
      </c>
      <c r="F802" s="7" t="s">
        <v>76</v>
      </c>
      <c r="G802" s="7" t="s">
        <v>99</v>
      </c>
      <c r="H802" s="7" t="s">
        <v>100</v>
      </c>
      <c r="I802" s="8">
        <v>2</v>
      </c>
      <c r="J802" s="8">
        <v>23090</v>
      </c>
      <c r="K802" s="8">
        <v>89090</v>
      </c>
    </row>
    <row r="803" spans="1:11">
      <c r="A803" s="7" t="s">
        <v>211</v>
      </c>
      <c r="B803" s="7" t="s">
        <v>212</v>
      </c>
      <c r="C803" s="7" t="s">
        <v>213</v>
      </c>
      <c r="D803" s="7" t="s">
        <v>214</v>
      </c>
      <c r="E803" s="7" t="s">
        <v>75</v>
      </c>
      <c r="F803" s="7" t="s">
        <v>76</v>
      </c>
      <c r="G803" s="7" t="s">
        <v>87</v>
      </c>
      <c r="H803" s="7" t="s">
        <v>88</v>
      </c>
      <c r="I803" s="8">
        <v>1</v>
      </c>
      <c r="J803" s="8">
        <v>8455</v>
      </c>
      <c r="K803" s="8">
        <v>35455</v>
      </c>
    </row>
    <row r="804" spans="1:11">
      <c r="A804" s="7" t="s">
        <v>211</v>
      </c>
      <c r="B804" s="7" t="s">
        <v>212</v>
      </c>
      <c r="C804" s="7" t="s">
        <v>213</v>
      </c>
      <c r="D804" s="7" t="s">
        <v>214</v>
      </c>
      <c r="E804" s="7" t="s">
        <v>83</v>
      </c>
      <c r="F804" s="7" t="s">
        <v>84</v>
      </c>
      <c r="G804" s="7" t="s">
        <v>77</v>
      </c>
      <c r="H804" s="7" t="s">
        <v>78</v>
      </c>
      <c r="I804" s="8">
        <v>8</v>
      </c>
      <c r="J804" s="8">
        <v>85919.412488999995</v>
      </c>
      <c r="K804" s="8">
        <v>254817</v>
      </c>
    </row>
    <row r="805" spans="1:11">
      <c r="A805" s="7" t="s">
        <v>211</v>
      </c>
      <c r="B805" s="7" t="s">
        <v>212</v>
      </c>
      <c r="C805" s="7" t="s">
        <v>213</v>
      </c>
      <c r="D805" s="7" t="s">
        <v>214</v>
      </c>
      <c r="E805" s="7" t="s">
        <v>83</v>
      </c>
      <c r="F805" s="7" t="s">
        <v>84</v>
      </c>
      <c r="G805" s="7" t="s">
        <v>79</v>
      </c>
      <c r="H805" s="7" t="s">
        <v>80</v>
      </c>
      <c r="I805" s="8">
        <v>30</v>
      </c>
      <c r="J805" s="8">
        <v>349601.84178299998</v>
      </c>
      <c r="K805" s="8">
        <v>718726</v>
      </c>
    </row>
    <row r="806" spans="1:11">
      <c r="A806" s="7" t="s">
        <v>211</v>
      </c>
      <c r="B806" s="7" t="s">
        <v>212</v>
      </c>
      <c r="C806" s="7" t="s">
        <v>213</v>
      </c>
      <c r="D806" s="7" t="s">
        <v>214</v>
      </c>
      <c r="E806" s="7" t="s">
        <v>83</v>
      </c>
      <c r="F806" s="7" t="s">
        <v>84</v>
      </c>
      <c r="G806" s="7" t="s">
        <v>81</v>
      </c>
      <c r="H806" s="7" t="s">
        <v>82</v>
      </c>
      <c r="I806" s="8">
        <v>29</v>
      </c>
      <c r="J806" s="8">
        <v>370395</v>
      </c>
      <c r="K806" s="8">
        <v>776095</v>
      </c>
    </row>
    <row r="807" spans="1:11">
      <c r="A807" s="7" t="s">
        <v>211</v>
      </c>
      <c r="B807" s="7" t="s">
        <v>212</v>
      </c>
      <c r="C807" s="7" t="s">
        <v>213</v>
      </c>
      <c r="D807" s="7" t="s">
        <v>214</v>
      </c>
      <c r="E807" s="7" t="s">
        <v>83</v>
      </c>
      <c r="F807" s="7" t="s">
        <v>84</v>
      </c>
      <c r="G807" s="7" t="s">
        <v>85</v>
      </c>
      <c r="H807" s="7" t="s">
        <v>86</v>
      </c>
      <c r="I807" s="8">
        <v>27</v>
      </c>
      <c r="J807" s="8">
        <v>154450</v>
      </c>
      <c r="K807" s="8">
        <v>462450</v>
      </c>
    </row>
    <row r="808" spans="1:11">
      <c r="A808" s="7" t="s">
        <v>211</v>
      </c>
      <c r="B808" s="7" t="s">
        <v>212</v>
      </c>
      <c r="C808" s="7" t="s">
        <v>213</v>
      </c>
      <c r="D808" s="7" t="s">
        <v>214</v>
      </c>
      <c r="E808" s="7" t="s">
        <v>83</v>
      </c>
      <c r="F808" s="7" t="s">
        <v>84</v>
      </c>
      <c r="G808" s="7" t="s">
        <v>107</v>
      </c>
      <c r="H808" s="7" t="s">
        <v>108</v>
      </c>
      <c r="I808" s="8">
        <v>1</v>
      </c>
      <c r="J808" s="8">
        <v>9036</v>
      </c>
      <c r="K808" s="8">
        <v>22636</v>
      </c>
    </row>
    <row r="809" spans="1:11">
      <c r="A809" s="7" t="s">
        <v>211</v>
      </c>
      <c r="B809" s="7" t="s">
        <v>212</v>
      </c>
      <c r="C809" s="7" t="s">
        <v>213</v>
      </c>
      <c r="D809" s="7" t="s">
        <v>214</v>
      </c>
      <c r="E809" s="7" t="s">
        <v>83</v>
      </c>
      <c r="F809" s="7" t="s">
        <v>84</v>
      </c>
      <c r="G809" s="7" t="s">
        <v>87</v>
      </c>
      <c r="H809" s="7" t="s">
        <v>88</v>
      </c>
      <c r="I809" s="8">
        <v>6</v>
      </c>
      <c r="J809" s="8">
        <v>63637</v>
      </c>
      <c r="K809" s="8">
        <v>129637</v>
      </c>
    </row>
    <row r="810" spans="1:11">
      <c r="A810" s="7" t="s">
        <v>211</v>
      </c>
      <c r="B810" s="7" t="s">
        <v>212</v>
      </c>
      <c r="C810" s="7" t="s">
        <v>213</v>
      </c>
      <c r="D810" s="7" t="s">
        <v>214</v>
      </c>
      <c r="E810" s="7" t="s">
        <v>89</v>
      </c>
      <c r="F810" s="7" t="s">
        <v>90</v>
      </c>
      <c r="G810" s="7" t="s">
        <v>91</v>
      </c>
      <c r="H810" s="7" t="s">
        <v>90</v>
      </c>
      <c r="I810" s="8">
        <v>19</v>
      </c>
      <c r="J810" s="8">
        <v>0</v>
      </c>
      <c r="K810" s="8">
        <v>0</v>
      </c>
    </row>
    <row r="811" spans="1:11">
      <c r="A811" s="7" t="s">
        <v>211</v>
      </c>
      <c r="B811" s="7" t="s">
        <v>212</v>
      </c>
      <c r="C811" s="7" t="s">
        <v>213</v>
      </c>
      <c r="D811" s="7" t="s">
        <v>214</v>
      </c>
      <c r="E811" s="7" t="s">
        <v>92</v>
      </c>
      <c r="F811" s="7" t="s">
        <v>92</v>
      </c>
      <c r="G811" s="7" t="s">
        <v>92</v>
      </c>
      <c r="H811" s="7" t="s">
        <v>92</v>
      </c>
      <c r="I811" s="8">
        <v>-2185</v>
      </c>
      <c r="J811" s="8">
        <v>-39727</v>
      </c>
      <c r="K811" s="8">
        <v>-39727</v>
      </c>
    </row>
    <row r="812" spans="1:11">
      <c r="A812" s="7" t="s">
        <v>211</v>
      </c>
      <c r="B812" s="7" t="s">
        <v>212</v>
      </c>
      <c r="C812" s="7" t="s">
        <v>215</v>
      </c>
      <c r="D812" s="7" t="s">
        <v>216</v>
      </c>
      <c r="E812" s="7" t="s">
        <v>65</v>
      </c>
      <c r="F812" s="7" t="s">
        <v>66</v>
      </c>
      <c r="G812" s="7" t="s">
        <v>69</v>
      </c>
      <c r="H812" s="7" t="s">
        <v>36</v>
      </c>
      <c r="I812" s="8">
        <v>2</v>
      </c>
      <c r="J812" s="8">
        <v>219971</v>
      </c>
      <c r="K812" s="8">
        <v>2909091</v>
      </c>
    </row>
    <row r="813" spans="1:11">
      <c r="A813" s="7" t="s">
        <v>211</v>
      </c>
      <c r="B813" s="7" t="s">
        <v>212</v>
      </c>
      <c r="C813" s="7" t="s">
        <v>215</v>
      </c>
      <c r="D813" s="7" t="s">
        <v>216</v>
      </c>
      <c r="E813" s="7" t="s">
        <v>65</v>
      </c>
      <c r="F813" s="7" t="s">
        <v>66</v>
      </c>
      <c r="G813" s="7" t="s">
        <v>70</v>
      </c>
      <c r="H813" s="7" t="s">
        <v>28</v>
      </c>
      <c r="I813" s="8">
        <v>14</v>
      </c>
      <c r="J813" s="8">
        <v>598272</v>
      </c>
      <c r="K813" s="8">
        <v>7487272</v>
      </c>
    </row>
    <row r="814" spans="1:11">
      <c r="A814" s="7" t="s">
        <v>211</v>
      </c>
      <c r="B814" s="7" t="s">
        <v>212</v>
      </c>
      <c r="C814" s="7" t="s">
        <v>215</v>
      </c>
      <c r="D814" s="7" t="s">
        <v>216</v>
      </c>
      <c r="E814" s="7" t="s">
        <v>65</v>
      </c>
      <c r="F814" s="7" t="s">
        <v>66</v>
      </c>
      <c r="G814" s="7" t="s">
        <v>97</v>
      </c>
      <c r="H814" s="7" t="s">
        <v>98</v>
      </c>
      <c r="I814" s="8">
        <v>1</v>
      </c>
      <c r="J814" s="8">
        <v>27636</v>
      </c>
      <c r="K814" s="8">
        <v>453636</v>
      </c>
    </row>
    <row r="815" spans="1:11">
      <c r="A815" s="7" t="s">
        <v>211</v>
      </c>
      <c r="B815" s="7" t="s">
        <v>212</v>
      </c>
      <c r="C815" s="7" t="s">
        <v>215</v>
      </c>
      <c r="D815" s="7" t="s">
        <v>216</v>
      </c>
      <c r="E815" s="7" t="s">
        <v>65</v>
      </c>
      <c r="F815" s="7" t="s">
        <v>66</v>
      </c>
      <c r="G815" s="7" t="s">
        <v>71</v>
      </c>
      <c r="H815" s="7" t="s">
        <v>72</v>
      </c>
      <c r="I815" s="8">
        <v>12</v>
      </c>
      <c r="J815" s="8">
        <v>362456</v>
      </c>
      <c r="K815" s="8">
        <v>5225456</v>
      </c>
    </row>
    <row r="816" spans="1:11">
      <c r="A816" s="7" t="s">
        <v>211</v>
      </c>
      <c r="B816" s="7" t="s">
        <v>212</v>
      </c>
      <c r="C816" s="7" t="s">
        <v>215</v>
      </c>
      <c r="D816" s="7" t="s">
        <v>216</v>
      </c>
      <c r="E816" s="7" t="s">
        <v>65</v>
      </c>
      <c r="F816" s="7" t="s">
        <v>66</v>
      </c>
      <c r="G816" s="7" t="s">
        <v>73</v>
      </c>
      <c r="H816" s="7" t="s">
        <v>74</v>
      </c>
      <c r="I816" s="8">
        <v>3</v>
      </c>
      <c r="J816" s="8">
        <v>267817</v>
      </c>
      <c r="K816" s="8">
        <v>3351817</v>
      </c>
    </row>
    <row r="817" spans="1:11">
      <c r="A817" s="7" t="s">
        <v>211</v>
      </c>
      <c r="B817" s="7" t="s">
        <v>212</v>
      </c>
      <c r="C817" s="7" t="s">
        <v>215</v>
      </c>
      <c r="D817" s="7" t="s">
        <v>216</v>
      </c>
      <c r="E817" s="7" t="s">
        <v>75</v>
      </c>
      <c r="F817" s="7" t="s">
        <v>76</v>
      </c>
      <c r="G817" s="7" t="s">
        <v>77</v>
      </c>
      <c r="H817" s="7" t="s">
        <v>78</v>
      </c>
      <c r="I817" s="8">
        <v>4</v>
      </c>
      <c r="J817" s="8">
        <v>35453.991562000003</v>
      </c>
      <c r="K817" s="8">
        <v>265454</v>
      </c>
    </row>
    <row r="818" spans="1:11">
      <c r="A818" s="7" t="s">
        <v>211</v>
      </c>
      <c r="B818" s="7" t="s">
        <v>212</v>
      </c>
      <c r="C818" s="7" t="s">
        <v>215</v>
      </c>
      <c r="D818" s="7" t="s">
        <v>216</v>
      </c>
      <c r="E818" s="7" t="s">
        <v>75</v>
      </c>
      <c r="F818" s="7" t="s">
        <v>76</v>
      </c>
      <c r="G818" s="7" t="s">
        <v>79</v>
      </c>
      <c r="H818" s="7" t="s">
        <v>80</v>
      </c>
      <c r="I818" s="8">
        <v>50</v>
      </c>
      <c r="J818" s="8">
        <v>2183276.1684079999</v>
      </c>
      <c r="K818" s="8">
        <v>8798270</v>
      </c>
    </row>
    <row r="819" spans="1:11">
      <c r="A819" s="7" t="s">
        <v>211</v>
      </c>
      <c r="B819" s="7" t="s">
        <v>212</v>
      </c>
      <c r="C819" s="7" t="s">
        <v>215</v>
      </c>
      <c r="D819" s="7" t="s">
        <v>216</v>
      </c>
      <c r="E819" s="7" t="s">
        <v>75</v>
      </c>
      <c r="F819" s="7" t="s">
        <v>76</v>
      </c>
      <c r="G819" s="7" t="s">
        <v>81</v>
      </c>
      <c r="H819" s="7" t="s">
        <v>82</v>
      </c>
      <c r="I819" s="8">
        <v>34</v>
      </c>
      <c r="J819" s="8">
        <v>425002.00446700002</v>
      </c>
      <c r="K819" s="8">
        <v>2840002</v>
      </c>
    </row>
    <row r="820" spans="1:11">
      <c r="A820" s="7" t="s">
        <v>211</v>
      </c>
      <c r="B820" s="7" t="s">
        <v>212</v>
      </c>
      <c r="C820" s="7" t="s">
        <v>215</v>
      </c>
      <c r="D820" s="7" t="s">
        <v>216</v>
      </c>
      <c r="E820" s="7" t="s">
        <v>75</v>
      </c>
      <c r="F820" s="7" t="s">
        <v>76</v>
      </c>
      <c r="G820" s="7" t="s">
        <v>87</v>
      </c>
      <c r="H820" s="7" t="s">
        <v>88</v>
      </c>
      <c r="I820" s="8">
        <v>2</v>
      </c>
      <c r="J820" s="8">
        <v>28546</v>
      </c>
      <c r="K820" s="8">
        <v>134546</v>
      </c>
    </row>
    <row r="821" spans="1:11">
      <c r="A821" s="7" t="s">
        <v>211</v>
      </c>
      <c r="B821" s="7" t="s">
        <v>212</v>
      </c>
      <c r="C821" s="7" t="s">
        <v>215</v>
      </c>
      <c r="D821" s="7" t="s">
        <v>216</v>
      </c>
      <c r="E821" s="7" t="s">
        <v>83</v>
      </c>
      <c r="F821" s="7" t="s">
        <v>84</v>
      </c>
      <c r="G821" s="7" t="s">
        <v>77</v>
      </c>
      <c r="H821" s="7" t="s">
        <v>78</v>
      </c>
      <c r="I821" s="8">
        <v>5</v>
      </c>
      <c r="J821" s="8">
        <v>109527</v>
      </c>
      <c r="K821" s="8">
        <v>179927</v>
      </c>
    </row>
    <row r="822" spans="1:11">
      <c r="A822" s="7" t="s">
        <v>211</v>
      </c>
      <c r="B822" s="7" t="s">
        <v>212</v>
      </c>
      <c r="C822" s="7" t="s">
        <v>215</v>
      </c>
      <c r="D822" s="7" t="s">
        <v>216</v>
      </c>
      <c r="E822" s="7" t="s">
        <v>83</v>
      </c>
      <c r="F822" s="7" t="s">
        <v>84</v>
      </c>
      <c r="G822" s="7" t="s">
        <v>79</v>
      </c>
      <c r="H822" s="7" t="s">
        <v>80</v>
      </c>
      <c r="I822" s="8">
        <v>29</v>
      </c>
      <c r="J822" s="8">
        <v>307295.14659600001</v>
      </c>
      <c r="K822" s="8">
        <v>694636</v>
      </c>
    </row>
    <row r="823" spans="1:11">
      <c r="A823" s="7" t="s">
        <v>211</v>
      </c>
      <c r="B823" s="7" t="s">
        <v>212</v>
      </c>
      <c r="C823" s="7" t="s">
        <v>215</v>
      </c>
      <c r="D823" s="7" t="s">
        <v>216</v>
      </c>
      <c r="E823" s="7" t="s">
        <v>83</v>
      </c>
      <c r="F823" s="7" t="s">
        <v>84</v>
      </c>
      <c r="G823" s="7" t="s">
        <v>81</v>
      </c>
      <c r="H823" s="7" t="s">
        <v>82</v>
      </c>
      <c r="I823" s="8">
        <v>25</v>
      </c>
      <c r="J823" s="8">
        <v>306737</v>
      </c>
      <c r="K823" s="8">
        <v>651637</v>
      </c>
    </row>
    <row r="824" spans="1:11">
      <c r="A824" s="7" t="s">
        <v>211</v>
      </c>
      <c r="B824" s="7" t="s">
        <v>212</v>
      </c>
      <c r="C824" s="7" t="s">
        <v>215</v>
      </c>
      <c r="D824" s="7" t="s">
        <v>216</v>
      </c>
      <c r="E824" s="7" t="s">
        <v>83</v>
      </c>
      <c r="F824" s="7" t="s">
        <v>84</v>
      </c>
      <c r="G824" s="7" t="s">
        <v>101</v>
      </c>
      <c r="H824" s="7" t="s">
        <v>102</v>
      </c>
      <c r="I824" s="8">
        <v>1</v>
      </c>
      <c r="J824" s="8">
        <v>13918</v>
      </c>
      <c r="K824" s="8">
        <v>71818</v>
      </c>
    </row>
    <row r="825" spans="1:11">
      <c r="A825" s="7" t="s">
        <v>211</v>
      </c>
      <c r="B825" s="7" t="s">
        <v>212</v>
      </c>
      <c r="C825" s="7" t="s">
        <v>215</v>
      </c>
      <c r="D825" s="7" t="s">
        <v>216</v>
      </c>
      <c r="E825" s="7" t="s">
        <v>83</v>
      </c>
      <c r="F825" s="7" t="s">
        <v>84</v>
      </c>
      <c r="G825" s="7" t="s">
        <v>85</v>
      </c>
      <c r="H825" s="7" t="s">
        <v>86</v>
      </c>
      <c r="I825" s="8">
        <v>39</v>
      </c>
      <c r="J825" s="8">
        <v>192977</v>
      </c>
      <c r="K825" s="8">
        <v>496177</v>
      </c>
    </row>
    <row r="826" spans="1:11">
      <c r="A826" s="7" t="s">
        <v>211</v>
      </c>
      <c r="B826" s="7" t="s">
        <v>212</v>
      </c>
      <c r="C826" s="7" t="s">
        <v>215</v>
      </c>
      <c r="D826" s="7" t="s">
        <v>216</v>
      </c>
      <c r="E826" s="7" t="s">
        <v>83</v>
      </c>
      <c r="F826" s="7" t="s">
        <v>84</v>
      </c>
      <c r="G826" s="7" t="s">
        <v>107</v>
      </c>
      <c r="H826" s="7" t="s">
        <v>108</v>
      </c>
      <c r="I826" s="8">
        <v>1</v>
      </c>
      <c r="J826" s="8">
        <v>4127</v>
      </c>
      <c r="K826" s="8">
        <v>11727</v>
      </c>
    </row>
    <row r="827" spans="1:11">
      <c r="A827" s="7" t="s">
        <v>211</v>
      </c>
      <c r="B827" s="7" t="s">
        <v>212</v>
      </c>
      <c r="C827" s="7" t="s">
        <v>215</v>
      </c>
      <c r="D827" s="7" t="s">
        <v>216</v>
      </c>
      <c r="E827" s="7" t="s">
        <v>83</v>
      </c>
      <c r="F827" s="7" t="s">
        <v>84</v>
      </c>
      <c r="G827" s="7" t="s">
        <v>87</v>
      </c>
      <c r="H827" s="7" t="s">
        <v>88</v>
      </c>
      <c r="I827" s="8">
        <v>10</v>
      </c>
      <c r="J827" s="8">
        <v>91481</v>
      </c>
      <c r="K827" s="8">
        <v>178181</v>
      </c>
    </row>
    <row r="828" spans="1:11">
      <c r="A828" s="7" t="s">
        <v>211</v>
      </c>
      <c r="B828" s="7" t="s">
        <v>212</v>
      </c>
      <c r="C828" s="7" t="s">
        <v>215</v>
      </c>
      <c r="D828" s="7" t="s">
        <v>216</v>
      </c>
      <c r="E828" s="7" t="s">
        <v>89</v>
      </c>
      <c r="F828" s="7" t="s">
        <v>90</v>
      </c>
      <c r="G828" s="7" t="s">
        <v>91</v>
      </c>
      <c r="H828" s="7" t="s">
        <v>90</v>
      </c>
      <c r="I828" s="8">
        <v>15</v>
      </c>
      <c r="J828" s="8">
        <v>0</v>
      </c>
      <c r="K828" s="8">
        <v>0</v>
      </c>
    </row>
    <row r="829" spans="1:11">
      <c r="A829" s="7" t="s">
        <v>211</v>
      </c>
      <c r="B829" s="7" t="s">
        <v>212</v>
      </c>
      <c r="C829" s="7" t="s">
        <v>215</v>
      </c>
      <c r="D829" s="7" t="s">
        <v>216</v>
      </c>
      <c r="E829" s="7" t="s">
        <v>92</v>
      </c>
      <c r="F829" s="7" t="s">
        <v>92</v>
      </c>
      <c r="G829" s="7" t="s">
        <v>92</v>
      </c>
      <c r="H829" s="7" t="s">
        <v>92</v>
      </c>
      <c r="I829" s="8">
        <v>-5827</v>
      </c>
      <c r="J829" s="8">
        <v>-105945</v>
      </c>
      <c r="K829" s="8">
        <v>-105945</v>
      </c>
    </row>
    <row r="830" spans="1:11">
      <c r="A830" s="7" t="s">
        <v>211</v>
      </c>
      <c r="B830" s="7" t="s">
        <v>212</v>
      </c>
      <c r="C830" s="7" t="s">
        <v>217</v>
      </c>
      <c r="D830" s="7" t="s">
        <v>218</v>
      </c>
      <c r="E830" s="7" t="s">
        <v>65</v>
      </c>
      <c r="F830" s="7" t="s">
        <v>66</v>
      </c>
      <c r="G830" s="7" t="s">
        <v>67</v>
      </c>
      <c r="H830" s="7" t="s">
        <v>68</v>
      </c>
      <c r="I830" s="8">
        <v>2</v>
      </c>
      <c r="J830" s="8">
        <v>580000</v>
      </c>
      <c r="K830" s="8">
        <v>5800000</v>
      </c>
    </row>
    <row r="831" spans="1:11">
      <c r="A831" s="7" t="s">
        <v>211</v>
      </c>
      <c r="B831" s="7" t="s">
        <v>212</v>
      </c>
      <c r="C831" s="7" t="s">
        <v>217</v>
      </c>
      <c r="D831" s="7" t="s">
        <v>218</v>
      </c>
      <c r="E831" s="7" t="s">
        <v>65</v>
      </c>
      <c r="F831" s="7" t="s">
        <v>66</v>
      </c>
      <c r="G831" s="7" t="s">
        <v>69</v>
      </c>
      <c r="H831" s="7" t="s">
        <v>36</v>
      </c>
      <c r="I831" s="8">
        <v>8</v>
      </c>
      <c r="J831" s="8">
        <v>717728</v>
      </c>
      <c r="K831" s="8">
        <v>9499998</v>
      </c>
    </row>
    <row r="832" spans="1:11">
      <c r="A832" s="7" t="s">
        <v>211</v>
      </c>
      <c r="B832" s="7" t="s">
        <v>212</v>
      </c>
      <c r="C832" s="7" t="s">
        <v>217</v>
      </c>
      <c r="D832" s="7" t="s">
        <v>218</v>
      </c>
      <c r="E832" s="7" t="s">
        <v>65</v>
      </c>
      <c r="F832" s="7" t="s">
        <v>66</v>
      </c>
      <c r="G832" s="7" t="s">
        <v>70</v>
      </c>
      <c r="H832" s="7" t="s">
        <v>28</v>
      </c>
      <c r="I832" s="8">
        <v>11</v>
      </c>
      <c r="J832" s="8">
        <v>465108.47058800003</v>
      </c>
      <c r="K832" s="8">
        <v>6108182</v>
      </c>
    </row>
    <row r="833" spans="1:11">
      <c r="A833" s="7" t="s">
        <v>211</v>
      </c>
      <c r="B833" s="7" t="s">
        <v>212</v>
      </c>
      <c r="C833" s="7" t="s">
        <v>217</v>
      </c>
      <c r="D833" s="7" t="s">
        <v>218</v>
      </c>
      <c r="E833" s="7" t="s">
        <v>65</v>
      </c>
      <c r="F833" s="7" t="s">
        <v>66</v>
      </c>
      <c r="G833" s="7" t="s">
        <v>97</v>
      </c>
      <c r="H833" s="7" t="s">
        <v>98</v>
      </c>
      <c r="I833" s="8">
        <v>2</v>
      </c>
      <c r="J833" s="8">
        <v>55272</v>
      </c>
      <c r="K833" s="8">
        <v>907272</v>
      </c>
    </row>
    <row r="834" spans="1:11">
      <c r="A834" s="7" t="s">
        <v>211</v>
      </c>
      <c r="B834" s="7" t="s">
        <v>212</v>
      </c>
      <c r="C834" s="7" t="s">
        <v>217</v>
      </c>
      <c r="D834" s="7" t="s">
        <v>218</v>
      </c>
      <c r="E834" s="7" t="s">
        <v>65</v>
      </c>
      <c r="F834" s="7" t="s">
        <v>66</v>
      </c>
      <c r="G834" s="7" t="s">
        <v>71</v>
      </c>
      <c r="H834" s="7" t="s">
        <v>72</v>
      </c>
      <c r="I834" s="8">
        <v>10</v>
      </c>
      <c r="J834" s="8">
        <v>349456</v>
      </c>
      <c r="K834" s="8">
        <v>5045456</v>
      </c>
    </row>
    <row r="835" spans="1:11">
      <c r="A835" s="7" t="s">
        <v>211</v>
      </c>
      <c r="B835" s="7" t="s">
        <v>212</v>
      </c>
      <c r="C835" s="7" t="s">
        <v>217</v>
      </c>
      <c r="D835" s="7" t="s">
        <v>218</v>
      </c>
      <c r="E835" s="7" t="s">
        <v>65</v>
      </c>
      <c r="F835" s="7" t="s">
        <v>66</v>
      </c>
      <c r="G835" s="7" t="s">
        <v>73</v>
      </c>
      <c r="H835" s="7" t="s">
        <v>74</v>
      </c>
      <c r="I835" s="8">
        <v>2</v>
      </c>
      <c r="J835" s="8">
        <v>148910</v>
      </c>
      <c r="K835" s="8">
        <v>1870910</v>
      </c>
    </row>
    <row r="836" spans="1:11">
      <c r="A836" s="7" t="s">
        <v>211</v>
      </c>
      <c r="B836" s="7" t="s">
        <v>212</v>
      </c>
      <c r="C836" s="7" t="s">
        <v>217</v>
      </c>
      <c r="D836" s="7" t="s">
        <v>218</v>
      </c>
      <c r="E836" s="7" t="s">
        <v>75</v>
      </c>
      <c r="F836" s="7" t="s">
        <v>76</v>
      </c>
      <c r="G836" s="7" t="s">
        <v>77</v>
      </c>
      <c r="H836" s="7" t="s">
        <v>78</v>
      </c>
      <c r="I836" s="8">
        <v>8</v>
      </c>
      <c r="J836" s="8">
        <v>98362.988832000003</v>
      </c>
      <c r="K836" s="8">
        <v>738363</v>
      </c>
    </row>
    <row r="837" spans="1:11">
      <c r="A837" s="7" t="s">
        <v>211</v>
      </c>
      <c r="B837" s="7" t="s">
        <v>212</v>
      </c>
      <c r="C837" s="7" t="s">
        <v>217</v>
      </c>
      <c r="D837" s="7" t="s">
        <v>218</v>
      </c>
      <c r="E837" s="7" t="s">
        <v>75</v>
      </c>
      <c r="F837" s="7" t="s">
        <v>76</v>
      </c>
      <c r="G837" s="7" t="s">
        <v>79</v>
      </c>
      <c r="H837" s="7" t="s">
        <v>80</v>
      </c>
      <c r="I837" s="8">
        <v>82</v>
      </c>
      <c r="J837" s="8">
        <v>3159749.5886900001</v>
      </c>
      <c r="K837" s="8">
        <v>12663728</v>
      </c>
    </row>
    <row r="838" spans="1:11">
      <c r="A838" s="7" t="s">
        <v>211</v>
      </c>
      <c r="B838" s="7" t="s">
        <v>212</v>
      </c>
      <c r="C838" s="7" t="s">
        <v>217</v>
      </c>
      <c r="D838" s="7" t="s">
        <v>218</v>
      </c>
      <c r="E838" s="7" t="s">
        <v>75</v>
      </c>
      <c r="F838" s="7" t="s">
        <v>76</v>
      </c>
      <c r="G838" s="7" t="s">
        <v>81</v>
      </c>
      <c r="H838" s="7" t="s">
        <v>82</v>
      </c>
      <c r="I838" s="8">
        <v>25</v>
      </c>
      <c r="J838" s="8">
        <v>349635.000825</v>
      </c>
      <c r="K838" s="8">
        <v>2133635</v>
      </c>
    </row>
    <row r="839" spans="1:11">
      <c r="A839" s="7" t="s">
        <v>211</v>
      </c>
      <c r="B839" s="7" t="s">
        <v>212</v>
      </c>
      <c r="C839" s="7" t="s">
        <v>217</v>
      </c>
      <c r="D839" s="7" t="s">
        <v>218</v>
      </c>
      <c r="E839" s="7" t="s">
        <v>75</v>
      </c>
      <c r="F839" s="7" t="s">
        <v>76</v>
      </c>
      <c r="G839" s="7" t="s">
        <v>99</v>
      </c>
      <c r="H839" s="7" t="s">
        <v>100</v>
      </c>
      <c r="I839" s="8">
        <v>1</v>
      </c>
      <c r="J839" s="8">
        <v>11545</v>
      </c>
      <c r="K839" s="8">
        <v>44545</v>
      </c>
    </row>
    <row r="840" spans="1:11">
      <c r="A840" s="7" t="s">
        <v>211</v>
      </c>
      <c r="B840" s="7" t="s">
        <v>212</v>
      </c>
      <c r="C840" s="7" t="s">
        <v>217</v>
      </c>
      <c r="D840" s="7" t="s">
        <v>218</v>
      </c>
      <c r="E840" s="7" t="s">
        <v>75</v>
      </c>
      <c r="F840" s="7" t="s">
        <v>76</v>
      </c>
      <c r="G840" s="7" t="s">
        <v>87</v>
      </c>
      <c r="H840" s="7" t="s">
        <v>88</v>
      </c>
      <c r="I840" s="8">
        <v>4</v>
      </c>
      <c r="J840" s="8">
        <v>57091</v>
      </c>
      <c r="K840" s="8">
        <v>269091</v>
      </c>
    </row>
    <row r="841" spans="1:11">
      <c r="A841" s="7" t="s">
        <v>211</v>
      </c>
      <c r="B841" s="7" t="s">
        <v>212</v>
      </c>
      <c r="C841" s="7" t="s">
        <v>217</v>
      </c>
      <c r="D841" s="7" t="s">
        <v>218</v>
      </c>
      <c r="E841" s="7" t="s">
        <v>83</v>
      </c>
      <c r="F841" s="7" t="s">
        <v>84</v>
      </c>
      <c r="G841" s="7" t="s">
        <v>77</v>
      </c>
      <c r="H841" s="7" t="s">
        <v>78</v>
      </c>
      <c r="I841" s="8">
        <v>11</v>
      </c>
      <c r="J841" s="8">
        <v>110618</v>
      </c>
      <c r="K841" s="8">
        <v>316364</v>
      </c>
    </row>
    <row r="842" spans="1:11">
      <c r="A842" s="7" t="s">
        <v>211</v>
      </c>
      <c r="B842" s="7" t="s">
        <v>212</v>
      </c>
      <c r="C842" s="7" t="s">
        <v>217</v>
      </c>
      <c r="D842" s="7" t="s">
        <v>218</v>
      </c>
      <c r="E842" s="7" t="s">
        <v>83</v>
      </c>
      <c r="F842" s="7" t="s">
        <v>84</v>
      </c>
      <c r="G842" s="7" t="s">
        <v>79</v>
      </c>
      <c r="H842" s="7" t="s">
        <v>80</v>
      </c>
      <c r="I842" s="8">
        <v>61</v>
      </c>
      <c r="J842" s="8">
        <v>638491.07712300005</v>
      </c>
      <c r="K842" s="8">
        <v>1342177</v>
      </c>
    </row>
    <row r="843" spans="1:11">
      <c r="A843" s="7" t="s">
        <v>211</v>
      </c>
      <c r="B843" s="7" t="s">
        <v>212</v>
      </c>
      <c r="C843" s="7" t="s">
        <v>217</v>
      </c>
      <c r="D843" s="7" t="s">
        <v>218</v>
      </c>
      <c r="E843" s="7" t="s">
        <v>83</v>
      </c>
      <c r="F843" s="7" t="s">
        <v>84</v>
      </c>
      <c r="G843" s="7" t="s">
        <v>81</v>
      </c>
      <c r="H843" s="7" t="s">
        <v>82</v>
      </c>
      <c r="I843" s="8">
        <v>34</v>
      </c>
      <c r="J843" s="8">
        <v>427219</v>
      </c>
      <c r="K843" s="8">
        <v>886819</v>
      </c>
    </row>
    <row r="844" spans="1:11">
      <c r="A844" s="7" t="s">
        <v>211</v>
      </c>
      <c r="B844" s="7" t="s">
        <v>212</v>
      </c>
      <c r="C844" s="7" t="s">
        <v>217</v>
      </c>
      <c r="D844" s="7" t="s">
        <v>218</v>
      </c>
      <c r="E844" s="7" t="s">
        <v>83</v>
      </c>
      <c r="F844" s="7" t="s">
        <v>84</v>
      </c>
      <c r="G844" s="7" t="s">
        <v>85</v>
      </c>
      <c r="H844" s="7" t="s">
        <v>86</v>
      </c>
      <c r="I844" s="8">
        <v>51</v>
      </c>
      <c r="J844" s="8">
        <v>297775</v>
      </c>
      <c r="K844" s="8">
        <v>879175</v>
      </c>
    </row>
    <row r="845" spans="1:11">
      <c r="A845" s="7" t="s">
        <v>211</v>
      </c>
      <c r="B845" s="7" t="s">
        <v>212</v>
      </c>
      <c r="C845" s="7" t="s">
        <v>217</v>
      </c>
      <c r="D845" s="7" t="s">
        <v>218</v>
      </c>
      <c r="E845" s="7" t="s">
        <v>83</v>
      </c>
      <c r="F845" s="7" t="s">
        <v>84</v>
      </c>
      <c r="G845" s="7" t="s">
        <v>107</v>
      </c>
      <c r="H845" s="7" t="s">
        <v>108</v>
      </c>
      <c r="I845" s="8">
        <v>2</v>
      </c>
      <c r="J845" s="8">
        <v>7310</v>
      </c>
      <c r="K845" s="8">
        <v>28910</v>
      </c>
    </row>
    <row r="846" spans="1:11">
      <c r="A846" s="7" t="s">
        <v>211</v>
      </c>
      <c r="B846" s="7" t="s">
        <v>212</v>
      </c>
      <c r="C846" s="7" t="s">
        <v>217</v>
      </c>
      <c r="D846" s="7" t="s">
        <v>218</v>
      </c>
      <c r="E846" s="7" t="s">
        <v>83</v>
      </c>
      <c r="F846" s="7" t="s">
        <v>84</v>
      </c>
      <c r="G846" s="7" t="s">
        <v>87</v>
      </c>
      <c r="H846" s="7" t="s">
        <v>88</v>
      </c>
      <c r="I846" s="8">
        <v>12</v>
      </c>
      <c r="J846" s="8">
        <v>133918</v>
      </c>
      <c r="K846" s="8">
        <v>248818</v>
      </c>
    </row>
    <row r="847" spans="1:11">
      <c r="A847" s="7" t="s">
        <v>211</v>
      </c>
      <c r="B847" s="7" t="s">
        <v>212</v>
      </c>
      <c r="C847" s="7" t="s">
        <v>217</v>
      </c>
      <c r="D847" s="7" t="s">
        <v>218</v>
      </c>
      <c r="E847" s="7" t="s">
        <v>89</v>
      </c>
      <c r="F847" s="7" t="s">
        <v>90</v>
      </c>
      <c r="G847" s="7" t="s">
        <v>91</v>
      </c>
      <c r="H847" s="7" t="s">
        <v>90</v>
      </c>
      <c r="I847" s="8">
        <v>28</v>
      </c>
      <c r="J847" s="8">
        <v>0</v>
      </c>
      <c r="K847" s="8">
        <v>0</v>
      </c>
    </row>
    <row r="848" spans="1:11">
      <c r="A848" s="7" t="s">
        <v>211</v>
      </c>
      <c r="B848" s="7" t="s">
        <v>212</v>
      </c>
      <c r="C848" s="7" t="s">
        <v>217</v>
      </c>
      <c r="D848" s="7" t="s">
        <v>218</v>
      </c>
      <c r="E848" s="7" t="s">
        <v>92</v>
      </c>
      <c r="F848" s="7" t="s">
        <v>92</v>
      </c>
      <c r="G848" s="7" t="s">
        <v>92</v>
      </c>
      <c r="H848" s="7" t="s">
        <v>92</v>
      </c>
      <c r="I848" s="8">
        <v>-906</v>
      </c>
      <c r="J848" s="8">
        <v>-16473</v>
      </c>
      <c r="K848" s="8">
        <v>-16473</v>
      </c>
    </row>
    <row r="849" spans="1:11">
      <c r="A849" s="7" t="s">
        <v>211</v>
      </c>
      <c r="B849" s="7" t="s">
        <v>212</v>
      </c>
      <c r="C849" s="7" t="s">
        <v>219</v>
      </c>
      <c r="D849" s="7" t="s">
        <v>220</v>
      </c>
      <c r="E849" s="7" t="s">
        <v>65</v>
      </c>
      <c r="F849" s="7" t="s">
        <v>66</v>
      </c>
      <c r="G849" s="7" t="s">
        <v>69</v>
      </c>
      <c r="H849" s="7" t="s">
        <v>36</v>
      </c>
      <c r="I849" s="8">
        <v>2</v>
      </c>
      <c r="J849" s="8">
        <v>219971</v>
      </c>
      <c r="K849" s="8">
        <v>2909091</v>
      </c>
    </row>
    <row r="850" spans="1:11">
      <c r="A850" s="7" t="s">
        <v>211</v>
      </c>
      <c r="B850" s="7" t="s">
        <v>212</v>
      </c>
      <c r="C850" s="7" t="s">
        <v>219</v>
      </c>
      <c r="D850" s="7" t="s">
        <v>220</v>
      </c>
      <c r="E850" s="7" t="s">
        <v>65</v>
      </c>
      <c r="F850" s="7" t="s">
        <v>66</v>
      </c>
      <c r="G850" s="7" t="s">
        <v>70</v>
      </c>
      <c r="H850" s="7" t="s">
        <v>28</v>
      </c>
      <c r="I850" s="8">
        <v>15</v>
      </c>
      <c r="J850" s="8">
        <v>617654.47058800003</v>
      </c>
      <c r="K850" s="8">
        <v>8022728</v>
      </c>
    </row>
    <row r="851" spans="1:11">
      <c r="A851" s="7" t="s">
        <v>211</v>
      </c>
      <c r="B851" s="7" t="s">
        <v>212</v>
      </c>
      <c r="C851" s="7" t="s">
        <v>219</v>
      </c>
      <c r="D851" s="7" t="s">
        <v>220</v>
      </c>
      <c r="E851" s="7" t="s">
        <v>65</v>
      </c>
      <c r="F851" s="7" t="s">
        <v>66</v>
      </c>
      <c r="G851" s="7" t="s">
        <v>97</v>
      </c>
      <c r="H851" s="7" t="s">
        <v>98</v>
      </c>
      <c r="I851" s="8">
        <v>3</v>
      </c>
      <c r="J851" s="8">
        <v>82909</v>
      </c>
      <c r="K851" s="8">
        <v>1360909</v>
      </c>
    </row>
    <row r="852" spans="1:11">
      <c r="A852" s="7" t="s">
        <v>211</v>
      </c>
      <c r="B852" s="7" t="s">
        <v>212</v>
      </c>
      <c r="C852" s="7" t="s">
        <v>219</v>
      </c>
      <c r="D852" s="7" t="s">
        <v>220</v>
      </c>
      <c r="E852" s="7" t="s">
        <v>65</v>
      </c>
      <c r="F852" s="7" t="s">
        <v>66</v>
      </c>
      <c r="G852" s="7" t="s">
        <v>71</v>
      </c>
      <c r="H852" s="7" t="s">
        <v>72</v>
      </c>
      <c r="I852" s="8">
        <v>11</v>
      </c>
      <c r="J852" s="8">
        <v>373003</v>
      </c>
      <c r="K852" s="8">
        <v>5390003</v>
      </c>
    </row>
    <row r="853" spans="1:11">
      <c r="A853" s="7" t="s">
        <v>211</v>
      </c>
      <c r="B853" s="7" t="s">
        <v>212</v>
      </c>
      <c r="C853" s="7" t="s">
        <v>219</v>
      </c>
      <c r="D853" s="7" t="s">
        <v>220</v>
      </c>
      <c r="E853" s="7" t="s">
        <v>65</v>
      </c>
      <c r="F853" s="7" t="s">
        <v>66</v>
      </c>
      <c r="G853" s="7" t="s">
        <v>73</v>
      </c>
      <c r="H853" s="7" t="s">
        <v>74</v>
      </c>
      <c r="I853" s="8">
        <v>6</v>
      </c>
      <c r="J853" s="8">
        <v>546816</v>
      </c>
      <c r="K853" s="8">
        <v>6821816</v>
      </c>
    </row>
    <row r="854" spans="1:11">
      <c r="A854" s="7" t="s">
        <v>211</v>
      </c>
      <c r="B854" s="7" t="s">
        <v>212</v>
      </c>
      <c r="C854" s="7" t="s">
        <v>219</v>
      </c>
      <c r="D854" s="7" t="s">
        <v>220</v>
      </c>
      <c r="E854" s="7" t="s">
        <v>75</v>
      </c>
      <c r="F854" s="7" t="s">
        <v>76</v>
      </c>
      <c r="G854" s="7" t="s">
        <v>77</v>
      </c>
      <c r="H854" s="7" t="s">
        <v>78</v>
      </c>
      <c r="I854" s="8">
        <v>6</v>
      </c>
      <c r="J854" s="8">
        <v>63271.99454</v>
      </c>
      <c r="K854" s="8">
        <v>467272</v>
      </c>
    </row>
    <row r="855" spans="1:11">
      <c r="A855" s="7" t="s">
        <v>211</v>
      </c>
      <c r="B855" s="7" t="s">
        <v>212</v>
      </c>
      <c r="C855" s="7" t="s">
        <v>219</v>
      </c>
      <c r="D855" s="7" t="s">
        <v>220</v>
      </c>
      <c r="E855" s="7" t="s">
        <v>75</v>
      </c>
      <c r="F855" s="7" t="s">
        <v>76</v>
      </c>
      <c r="G855" s="7" t="s">
        <v>79</v>
      </c>
      <c r="H855" s="7" t="s">
        <v>80</v>
      </c>
      <c r="I855" s="8">
        <v>43</v>
      </c>
      <c r="J855" s="8">
        <v>1730826.251133</v>
      </c>
      <c r="K855" s="8">
        <v>6911817</v>
      </c>
    </row>
    <row r="856" spans="1:11">
      <c r="A856" s="7" t="s">
        <v>211</v>
      </c>
      <c r="B856" s="7" t="s">
        <v>212</v>
      </c>
      <c r="C856" s="7" t="s">
        <v>219</v>
      </c>
      <c r="D856" s="7" t="s">
        <v>220</v>
      </c>
      <c r="E856" s="7" t="s">
        <v>75</v>
      </c>
      <c r="F856" s="7" t="s">
        <v>76</v>
      </c>
      <c r="G856" s="7" t="s">
        <v>81</v>
      </c>
      <c r="H856" s="7" t="s">
        <v>82</v>
      </c>
      <c r="I856" s="8">
        <v>36</v>
      </c>
      <c r="J856" s="8">
        <v>577640.10658400005</v>
      </c>
      <c r="K856" s="8">
        <v>4073640</v>
      </c>
    </row>
    <row r="857" spans="1:11">
      <c r="A857" s="7" t="s">
        <v>211</v>
      </c>
      <c r="B857" s="7" t="s">
        <v>212</v>
      </c>
      <c r="C857" s="7" t="s">
        <v>219</v>
      </c>
      <c r="D857" s="7" t="s">
        <v>220</v>
      </c>
      <c r="E857" s="7" t="s">
        <v>75</v>
      </c>
      <c r="F857" s="7" t="s">
        <v>76</v>
      </c>
      <c r="G857" s="7" t="s">
        <v>99</v>
      </c>
      <c r="H857" s="7" t="s">
        <v>100</v>
      </c>
      <c r="I857" s="8">
        <v>1</v>
      </c>
      <c r="J857" s="8">
        <v>11545</v>
      </c>
      <c r="K857" s="8">
        <v>44545</v>
      </c>
    </row>
    <row r="858" spans="1:11">
      <c r="A858" s="7" t="s">
        <v>211</v>
      </c>
      <c r="B858" s="7" t="s">
        <v>212</v>
      </c>
      <c r="C858" s="7" t="s">
        <v>219</v>
      </c>
      <c r="D858" s="7" t="s">
        <v>220</v>
      </c>
      <c r="E858" s="7" t="s">
        <v>83</v>
      </c>
      <c r="F858" s="7" t="s">
        <v>84</v>
      </c>
      <c r="G858" s="7" t="s">
        <v>77</v>
      </c>
      <c r="H858" s="7" t="s">
        <v>78</v>
      </c>
      <c r="I858" s="8">
        <v>11</v>
      </c>
      <c r="J858" s="8">
        <v>108419</v>
      </c>
      <c r="K858" s="8">
        <v>329819</v>
      </c>
    </row>
    <row r="859" spans="1:11">
      <c r="A859" s="7" t="s">
        <v>211</v>
      </c>
      <c r="B859" s="7" t="s">
        <v>212</v>
      </c>
      <c r="C859" s="7" t="s">
        <v>219</v>
      </c>
      <c r="D859" s="7" t="s">
        <v>220</v>
      </c>
      <c r="E859" s="7" t="s">
        <v>83</v>
      </c>
      <c r="F859" s="7" t="s">
        <v>84</v>
      </c>
      <c r="G859" s="7" t="s">
        <v>79</v>
      </c>
      <c r="H859" s="7" t="s">
        <v>80</v>
      </c>
      <c r="I859" s="8">
        <v>28</v>
      </c>
      <c r="J859" s="8">
        <v>392223.60690999997</v>
      </c>
      <c r="K859" s="8">
        <v>755180</v>
      </c>
    </row>
    <row r="860" spans="1:11">
      <c r="A860" s="7" t="s">
        <v>211</v>
      </c>
      <c r="B860" s="7" t="s">
        <v>212</v>
      </c>
      <c r="C860" s="7" t="s">
        <v>219</v>
      </c>
      <c r="D860" s="7" t="s">
        <v>220</v>
      </c>
      <c r="E860" s="7" t="s">
        <v>83</v>
      </c>
      <c r="F860" s="7" t="s">
        <v>84</v>
      </c>
      <c r="G860" s="7" t="s">
        <v>81</v>
      </c>
      <c r="H860" s="7" t="s">
        <v>82</v>
      </c>
      <c r="I860" s="8">
        <v>21</v>
      </c>
      <c r="J860" s="8">
        <v>223946</v>
      </c>
      <c r="K860" s="8">
        <v>452546</v>
      </c>
    </row>
    <row r="861" spans="1:11">
      <c r="A861" s="7" t="s">
        <v>211</v>
      </c>
      <c r="B861" s="7" t="s">
        <v>212</v>
      </c>
      <c r="C861" s="7" t="s">
        <v>219</v>
      </c>
      <c r="D861" s="7" t="s">
        <v>220</v>
      </c>
      <c r="E861" s="7" t="s">
        <v>83</v>
      </c>
      <c r="F861" s="7" t="s">
        <v>84</v>
      </c>
      <c r="G861" s="7" t="s">
        <v>85</v>
      </c>
      <c r="H861" s="7" t="s">
        <v>86</v>
      </c>
      <c r="I861" s="8">
        <v>36</v>
      </c>
      <c r="J861" s="8">
        <v>189152</v>
      </c>
      <c r="K861" s="8">
        <v>569270</v>
      </c>
    </row>
    <row r="862" spans="1:11">
      <c r="A862" s="7" t="s">
        <v>211</v>
      </c>
      <c r="B862" s="7" t="s">
        <v>212</v>
      </c>
      <c r="C862" s="7" t="s">
        <v>219</v>
      </c>
      <c r="D862" s="7" t="s">
        <v>220</v>
      </c>
      <c r="E862" s="7" t="s">
        <v>83</v>
      </c>
      <c r="F862" s="7" t="s">
        <v>84</v>
      </c>
      <c r="G862" s="7" t="s">
        <v>107</v>
      </c>
      <c r="H862" s="7" t="s">
        <v>108</v>
      </c>
      <c r="I862" s="8">
        <v>3</v>
      </c>
      <c r="J862" s="8">
        <v>10965</v>
      </c>
      <c r="K862" s="8">
        <v>43365</v>
      </c>
    </row>
    <row r="863" spans="1:11">
      <c r="A863" s="7" t="s">
        <v>211</v>
      </c>
      <c r="B863" s="7" t="s">
        <v>212</v>
      </c>
      <c r="C863" s="7" t="s">
        <v>219</v>
      </c>
      <c r="D863" s="7" t="s">
        <v>220</v>
      </c>
      <c r="E863" s="7" t="s">
        <v>83</v>
      </c>
      <c r="F863" s="7" t="s">
        <v>84</v>
      </c>
      <c r="G863" s="7" t="s">
        <v>87</v>
      </c>
      <c r="H863" s="7" t="s">
        <v>88</v>
      </c>
      <c r="I863" s="8">
        <v>9</v>
      </c>
      <c r="J863" s="8">
        <v>58871</v>
      </c>
      <c r="K863" s="8">
        <v>140271</v>
      </c>
    </row>
    <row r="864" spans="1:11">
      <c r="A864" s="7" t="s">
        <v>211</v>
      </c>
      <c r="B864" s="7" t="s">
        <v>212</v>
      </c>
      <c r="C864" s="7" t="s">
        <v>219</v>
      </c>
      <c r="D864" s="7" t="s">
        <v>220</v>
      </c>
      <c r="E864" s="7" t="s">
        <v>89</v>
      </c>
      <c r="F864" s="7" t="s">
        <v>90</v>
      </c>
      <c r="G864" s="7" t="s">
        <v>91</v>
      </c>
      <c r="H864" s="7" t="s">
        <v>90</v>
      </c>
      <c r="I864" s="8">
        <v>21</v>
      </c>
      <c r="J864" s="8">
        <v>0</v>
      </c>
      <c r="K864" s="8">
        <v>0</v>
      </c>
    </row>
    <row r="865" spans="1:11">
      <c r="A865" s="7" t="s">
        <v>221</v>
      </c>
      <c r="B865" s="7" t="s">
        <v>222</v>
      </c>
      <c r="C865" s="7" t="s">
        <v>223</v>
      </c>
      <c r="D865" s="7" t="s">
        <v>224</v>
      </c>
      <c r="E865" s="7" t="s">
        <v>65</v>
      </c>
      <c r="F865" s="7" t="s">
        <v>66</v>
      </c>
      <c r="G865" s="7" t="s">
        <v>95</v>
      </c>
      <c r="H865" s="7" t="s">
        <v>96</v>
      </c>
      <c r="I865" s="8">
        <v>1</v>
      </c>
      <c r="J865" s="8">
        <v>267818</v>
      </c>
      <c r="K865" s="8">
        <v>2681818</v>
      </c>
    </row>
    <row r="866" spans="1:11">
      <c r="A866" s="7" t="s">
        <v>221</v>
      </c>
      <c r="B866" s="7" t="s">
        <v>222</v>
      </c>
      <c r="C866" s="7" t="s">
        <v>223</v>
      </c>
      <c r="D866" s="7" t="s">
        <v>224</v>
      </c>
      <c r="E866" s="7" t="s">
        <v>65</v>
      </c>
      <c r="F866" s="7" t="s">
        <v>66</v>
      </c>
      <c r="G866" s="7" t="s">
        <v>67</v>
      </c>
      <c r="H866" s="7" t="s">
        <v>68</v>
      </c>
      <c r="I866" s="8">
        <v>2</v>
      </c>
      <c r="J866" s="8">
        <v>365636</v>
      </c>
      <c r="K866" s="8">
        <v>3663636</v>
      </c>
    </row>
    <row r="867" spans="1:11">
      <c r="A867" s="7" t="s">
        <v>221</v>
      </c>
      <c r="B867" s="7" t="s">
        <v>222</v>
      </c>
      <c r="C867" s="7" t="s">
        <v>223</v>
      </c>
      <c r="D867" s="7" t="s">
        <v>224</v>
      </c>
      <c r="E867" s="7" t="s">
        <v>65</v>
      </c>
      <c r="F867" s="7" t="s">
        <v>66</v>
      </c>
      <c r="G867" s="7" t="s">
        <v>70</v>
      </c>
      <c r="H867" s="7" t="s">
        <v>28</v>
      </c>
      <c r="I867" s="8">
        <v>14</v>
      </c>
      <c r="J867" s="8">
        <v>573091</v>
      </c>
      <c r="K867" s="8">
        <v>7169091</v>
      </c>
    </row>
    <row r="868" spans="1:11">
      <c r="A868" s="7" t="s">
        <v>221</v>
      </c>
      <c r="B868" s="7" t="s">
        <v>222</v>
      </c>
      <c r="C868" s="7" t="s">
        <v>223</v>
      </c>
      <c r="D868" s="7" t="s">
        <v>224</v>
      </c>
      <c r="E868" s="7" t="s">
        <v>65</v>
      </c>
      <c r="F868" s="7" t="s">
        <v>66</v>
      </c>
      <c r="G868" s="7" t="s">
        <v>97</v>
      </c>
      <c r="H868" s="7" t="s">
        <v>98</v>
      </c>
      <c r="I868" s="8">
        <v>3</v>
      </c>
      <c r="J868" s="8">
        <v>82908</v>
      </c>
      <c r="K868" s="8">
        <v>1360908</v>
      </c>
    </row>
    <row r="869" spans="1:11">
      <c r="A869" s="7" t="s">
        <v>221</v>
      </c>
      <c r="B869" s="7" t="s">
        <v>222</v>
      </c>
      <c r="C869" s="7" t="s">
        <v>223</v>
      </c>
      <c r="D869" s="7" t="s">
        <v>224</v>
      </c>
      <c r="E869" s="7" t="s">
        <v>65</v>
      </c>
      <c r="F869" s="7" t="s">
        <v>66</v>
      </c>
      <c r="G869" s="7" t="s">
        <v>71</v>
      </c>
      <c r="H869" s="7" t="s">
        <v>72</v>
      </c>
      <c r="I869" s="8">
        <v>7</v>
      </c>
      <c r="J869" s="8">
        <v>255547</v>
      </c>
      <c r="K869" s="8">
        <v>3684547</v>
      </c>
    </row>
    <row r="870" spans="1:11">
      <c r="A870" s="7" t="s">
        <v>221</v>
      </c>
      <c r="B870" s="7" t="s">
        <v>222</v>
      </c>
      <c r="C870" s="7" t="s">
        <v>223</v>
      </c>
      <c r="D870" s="7" t="s">
        <v>224</v>
      </c>
      <c r="E870" s="7" t="s">
        <v>75</v>
      </c>
      <c r="F870" s="7" t="s">
        <v>76</v>
      </c>
      <c r="G870" s="7" t="s">
        <v>77</v>
      </c>
      <c r="H870" s="7" t="s">
        <v>78</v>
      </c>
      <c r="I870" s="8">
        <v>2</v>
      </c>
      <c r="J870" s="8">
        <v>21909</v>
      </c>
      <c r="K870" s="8">
        <v>152909</v>
      </c>
    </row>
    <row r="871" spans="1:11">
      <c r="A871" s="7" t="s">
        <v>221</v>
      </c>
      <c r="B871" s="7" t="s">
        <v>222</v>
      </c>
      <c r="C871" s="7" t="s">
        <v>223</v>
      </c>
      <c r="D871" s="7" t="s">
        <v>224</v>
      </c>
      <c r="E871" s="7" t="s">
        <v>75</v>
      </c>
      <c r="F871" s="7" t="s">
        <v>76</v>
      </c>
      <c r="G871" s="7" t="s">
        <v>79</v>
      </c>
      <c r="H871" s="7" t="s">
        <v>80</v>
      </c>
      <c r="I871" s="8">
        <v>86</v>
      </c>
      <c r="J871" s="8">
        <v>2429652.6706739999</v>
      </c>
      <c r="K871" s="8">
        <v>9603628</v>
      </c>
    </row>
    <row r="872" spans="1:11">
      <c r="A872" s="7" t="s">
        <v>221</v>
      </c>
      <c r="B872" s="7" t="s">
        <v>222</v>
      </c>
      <c r="C872" s="7" t="s">
        <v>223</v>
      </c>
      <c r="D872" s="7" t="s">
        <v>224</v>
      </c>
      <c r="E872" s="7" t="s">
        <v>75</v>
      </c>
      <c r="F872" s="7" t="s">
        <v>76</v>
      </c>
      <c r="G872" s="7" t="s">
        <v>81</v>
      </c>
      <c r="H872" s="7" t="s">
        <v>82</v>
      </c>
      <c r="I872" s="8">
        <v>29</v>
      </c>
      <c r="J872" s="8">
        <v>335543.78568199999</v>
      </c>
      <c r="K872" s="8">
        <v>1914543</v>
      </c>
    </row>
    <row r="873" spans="1:11">
      <c r="A873" s="7" t="s">
        <v>221</v>
      </c>
      <c r="B873" s="7" t="s">
        <v>222</v>
      </c>
      <c r="C873" s="7" t="s">
        <v>223</v>
      </c>
      <c r="D873" s="7" t="s">
        <v>224</v>
      </c>
      <c r="E873" s="7" t="s">
        <v>75</v>
      </c>
      <c r="F873" s="7" t="s">
        <v>76</v>
      </c>
      <c r="G873" s="7" t="s">
        <v>87</v>
      </c>
      <c r="H873" s="7" t="s">
        <v>88</v>
      </c>
      <c r="I873" s="8">
        <v>4</v>
      </c>
      <c r="J873" s="8">
        <v>73364</v>
      </c>
      <c r="K873" s="8">
        <v>356364</v>
      </c>
    </row>
    <row r="874" spans="1:11">
      <c r="A874" s="7" t="s">
        <v>221</v>
      </c>
      <c r="B874" s="7" t="s">
        <v>222</v>
      </c>
      <c r="C874" s="7" t="s">
        <v>223</v>
      </c>
      <c r="D874" s="7" t="s">
        <v>224</v>
      </c>
      <c r="E874" s="7" t="s">
        <v>83</v>
      </c>
      <c r="F874" s="7" t="s">
        <v>84</v>
      </c>
      <c r="G874" s="7" t="s">
        <v>77</v>
      </c>
      <c r="H874" s="7" t="s">
        <v>78</v>
      </c>
      <c r="I874" s="8">
        <v>12</v>
      </c>
      <c r="J874" s="8">
        <v>102373</v>
      </c>
      <c r="K874" s="8">
        <v>284746</v>
      </c>
    </row>
    <row r="875" spans="1:11">
      <c r="A875" s="7" t="s">
        <v>221</v>
      </c>
      <c r="B875" s="7" t="s">
        <v>222</v>
      </c>
      <c r="C875" s="7" t="s">
        <v>223</v>
      </c>
      <c r="D875" s="7" t="s">
        <v>224</v>
      </c>
      <c r="E875" s="7" t="s">
        <v>83</v>
      </c>
      <c r="F875" s="7" t="s">
        <v>84</v>
      </c>
      <c r="G875" s="7" t="s">
        <v>79</v>
      </c>
      <c r="H875" s="7" t="s">
        <v>80</v>
      </c>
      <c r="I875" s="8">
        <v>32</v>
      </c>
      <c r="J875" s="8">
        <v>80941.068410000007</v>
      </c>
      <c r="K875" s="8">
        <v>372273</v>
      </c>
    </row>
    <row r="876" spans="1:11">
      <c r="A876" s="7" t="s">
        <v>221</v>
      </c>
      <c r="B876" s="7" t="s">
        <v>222</v>
      </c>
      <c r="C876" s="7" t="s">
        <v>223</v>
      </c>
      <c r="D876" s="7" t="s">
        <v>224</v>
      </c>
      <c r="E876" s="7" t="s">
        <v>83</v>
      </c>
      <c r="F876" s="7" t="s">
        <v>84</v>
      </c>
      <c r="G876" s="7" t="s">
        <v>81</v>
      </c>
      <c r="H876" s="7" t="s">
        <v>82</v>
      </c>
      <c r="I876" s="8">
        <v>35</v>
      </c>
      <c r="J876" s="8">
        <v>370606</v>
      </c>
      <c r="K876" s="8">
        <v>779906</v>
      </c>
    </row>
    <row r="877" spans="1:11">
      <c r="A877" s="7" t="s">
        <v>221</v>
      </c>
      <c r="B877" s="7" t="s">
        <v>222</v>
      </c>
      <c r="C877" s="7" t="s">
        <v>223</v>
      </c>
      <c r="D877" s="7" t="s">
        <v>224</v>
      </c>
      <c r="E877" s="7" t="s">
        <v>83</v>
      </c>
      <c r="F877" s="7" t="s">
        <v>84</v>
      </c>
      <c r="G877" s="7" t="s">
        <v>85</v>
      </c>
      <c r="H877" s="7" t="s">
        <v>86</v>
      </c>
      <c r="I877" s="8">
        <v>47</v>
      </c>
      <c r="J877" s="8">
        <v>184781</v>
      </c>
      <c r="K877" s="8">
        <v>567909</v>
      </c>
    </row>
    <row r="878" spans="1:11">
      <c r="A878" s="7" t="s">
        <v>221</v>
      </c>
      <c r="B878" s="7" t="s">
        <v>222</v>
      </c>
      <c r="C878" s="7" t="s">
        <v>223</v>
      </c>
      <c r="D878" s="7" t="s">
        <v>224</v>
      </c>
      <c r="E878" s="7" t="s">
        <v>83</v>
      </c>
      <c r="F878" s="7" t="s">
        <v>84</v>
      </c>
      <c r="G878" s="7" t="s">
        <v>107</v>
      </c>
      <c r="H878" s="7" t="s">
        <v>108</v>
      </c>
      <c r="I878" s="8">
        <v>3</v>
      </c>
      <c r="J878" s="8">
        <v>48918</v>
      </c>
      <c r="K878" s="8">
        <v>161818</v>
      </c>
    </row>
    <row r="879" spans="1:11">
      <c r="A879" s="7" t="s">
        <v>221</v>
      </c>
      <c r="B879" s="7" t="s">
        <v>222</v>
      </c>
      <c r="C879" s="7" t="s">
        <v>223</v>
      </c>
      <c r="D879" s="7" t="s">
        <v>224</v>
      </c>
      <c r="E879" s="7" t="s">
        <v>83</v>
      </c>
      <c r="F879" s="7" t="s">
        <v>84</v>
      </c>
      <c r="G879" s="7" t="s">
        <v>87</v>
      </c>
      <c r="H879" s="7" t="s">
        <v>88</v>
      </c>
      <c r="I879" s="8">
        <v>9</v>
      </c>
      <c r="J879" s="8">
        <v>50257</v>
      </c>
      <c r="K879" s="8">
        <v>133907</v>
      </c>
    </row>
    <row r="880" spans="1:11">
      <c r="A880" s="7" t="s">
        <v>221</v>
      </c>
      <c r="B880" s="7" t="s">
        <v>222</v>
      </c>
      <c r="C880" s="7" t="s">
        <v>223</v>
      </c>
      <c r="D880" s="7" t="s">
        <v>224</v>
      </c>
      <c r="E880" s="7" t="s">
        <v>89</v>
      </c>
      <c r="F880" s="7" t="s">
        <v>90</v>
      </c>
      <c r="G880" s="7" t="s">
        <v>91</v>
      </c>
      <c r="H880" s="7" t="s">
        <v>90</v>
      </c>
      <c r="I880" s="8">
        <v>13</v>
      </c>
      <c r="J880" s="8">
        <v>355</v>
      </c>
      <c r="K880" s="8">
        <v>5455</v>
      </c>
    </row>
    <row r="881" spans="1:11">
      <c r="A881" s="7" t="s">
        <v>221</v>
      </c>
      <c r="B881" s="7" t="s">
        <v>222</v>
      </c>
      <c r="C881" s="7" t="s">
        <v>223</v>
      </c>
      <c r="D881" s="7" t="s">
        <v>224</v>
      </c>
      <c r="E881" s="7" t="s">
        <v>92</v>
      </c>
      <c r="F881" s="7" t="s">
        <v>92</v>
      </c>
      <c r="G881" s="7" t="s">
        <v>92</v>
      </c>
      <c r="H881" s="7" t="s">
        <v>92</v>
      </c>
      <c r="I881" s="8">
        <v>-23699</v>
      </c>
      <c r="J881" s="8">
        <v>-430906</v>
      </c>
      <c r="K881" s="8">
        <v>-430906</v>
      </c>
    </row>
    <row r="882" spans="1:11">
      <c r="A882" s="7" t="s">
        <v>221</v>
      </c>
      <c r="B882" s="7" t="s">
        <v>222</v>
      </c>
      <c r="C882" s="7" t="s">
        <v>225</v>
      </c>
      <c r="D882" s="7" t="s">
        <v>226</v>
      </c>
      <c r="E882" s="7" t="s">
        <v>65</v>
      </c>
      <c r="F882" s="7" t="s">
        <v>66</v>
      </c>
      <c r="G882" s="7" t="s">
        <v>67</v>
      </c>
      <c r="H882" s="7" t="s">
        <v>68</v>
      </c>
      <c r="I882" s="8">
        <v>4</v>
      </c>
      <c r="J882" s="8">
        <v>941181</v>
      </c>
      <c r="K882" s="8">
        <v>9418181</v>
      </c>
    </row>
    <row r="883" spans="1:11">
      <c r="A883" s="7" t="s">
        <v>221</v>
      </c>
      <c r="B883" s="7" t="s">
        <v>222</v>
      </c>
      <c r="C883" s="7" t="s">
        <v>225</v>
      </c>
      <c r="D883" s="7" t="s">
        <v>226</v>
      </c>
      <c r="E883" s="7" t="s">
        <v>65</v>
      </c>
      <c r="F883" s="7" t="s">
        <v>66</v>
      </c>
      <c r="G883" s="7" t="s">
        <v>69</v>
      </c>
      <c r="H883" s="7" t="s">
        <v>36</v>
      </c>
      <c r="I883" s="8">
        <v>1</v>
      </c>
      <c r="J883" s="8">
        <v>72816</v>
      </c>
      <c r="K883" s="8">
        <v>963636</v>
      </c>
    </row>
    <row r="884" spans="1:11">
      <c r="A884" s="7" t="s">
        <v>221</v>
      </c>
      <c r="B884" s="7" t="s">
        <v>222</v>
      </c>
      <c r="C884" s="7" t="s">
        <v>225</v>
      </c>
      <c r="D884" s="7" t="s">
        <v>226</v>
      </c>
      <c r="E884" s="7" t="s">
        <v>65</v>
      </c>
      <c r="F884" s="7" t="s">
        <v>66</v>
      </c>
      <c r="G884" s="7" t="s">
        <v>70</v>
      </c>
      <c r="H884" s="7" t="s">
        <v>28</v>
      </c>
      <c r="I884" s="8">
        <v>16</v>
      </c>
      <c r="J884" s="8">
        <v>678455</v>
      </c>
      <c r="K884" s="8">
        <v>8485455</v>
      </c>
    </row>
    <row r="885" spans="1:11">
      <c r="A885" s="7" t="s">
        <v>221</v>
      </c>
      <c r="B885" s="7" t="s">
        <v>222</v>
      </c>
      <c r="C885" s="7" t="s">
        <v>225</v>
      </c>
      <c r="D885" s="7" t="s">
        <v>226</v>
      </c>
      <c r="E885" s="7" t="s">
        <v>65</v>
      </c>
      <c r="F885" s="7" t="s">
        <v>66</v>
      </c>
      <c r="G885" s="7" t="s">
        <v>97</v>
      </c>
      <c r="H885" s="7" t="s">
        <v>98</v>
      </c>
      <c r="I885" s="8">
        <v>2</v>
      </c>
      <c r="J885" s="8">
        <v>55272</v>
      </c>
      <c r="K885" s="8">
        <v>907272</v>
      </c>
    </row>
    <row r="886" spans="1:11">
      <c r="A886" s="7" t="s">
        <v>221</v>
      </c>
      <c r="B886" s="7" t="s">
        <v>222</v>
      </c>
      <c r="C886" s="7" t="s">
        <v>225</v>
      </c>
      <c r="D886" s="7" t="s">
        <v>226</v>
      </c>
      <c r="E886" s="7" t="s">
        <v>65</v>
      </c>
      <c r="F886" s="7" t="s">
        <v>66</v>
      </c>
      <c r="G886" s="7" t="s">
        <v>71</v>
      </c>
      <c r="H886" s="7" t="s">
        <v>72</v>
      </c>
      <c r="I886" s="8">
        <v>11</v>
      </c>
      <c r="J886" s="8">
        <v>355456</v>
      </c>
      <c r="K886" s="8">
        <v>5135456</v>
      </c>
    </row>
    <row r="887" spans="1:11">
      <c r="A887" s="7" t="s">
        <v>221</v>
      </c>
      <c r="B887" s="7" t="s">
        <v>222</v>
      </c>
      <c r="C887" s="7" t="s">
        <v>225</v>
      </c>
      <c r="D887" s="7" t="s">
        <v>226</v>
      </c>
      <c r="E887" s="7" t="s">
        <v>75</v>
      </c>
      <c r="F887" s="7" t="s">
        <v>76</v>
      </c>
      <c r="G887" s="7" t="s">
        <v>77</v>
      </c>
      <c r="H887" s="7" t="s">
        <v>78</v>
      </c>
      <c r="I887" s="8">
        <v>6</v>
      </c>
      <c r="J887" s="8">
        <v>71453.969400000002</v>
      </c>
      <c r="K887" s="8">
        <v>547454</v>
      </c>
    </row>
    <row r="888" spans="1:11">
      <c r="A888" s="7" t="s">
        <v>221</v>
      </c>
      <c r="B888" s="7" t="s">
        <v>222</v>
      </c>
      <c r="C888" s="7" t="s">
        <v>225</v>
      </c>
      <c r="D888" s="7" t="s">
        <v>226</v>
      </c>
      <c r="E888" s="7" t="s">
        <v>75</v>
      </c>
      <c r="F888" s="7" t="s">
        <v>76</v>
      </c>
      <c r="G888" s="7" t="s">
        <v>79</v>
      </c>
      <c r="H888" s="7" t="s">
        <v>80</v>
      </c>
      <c r="I888" s="8">
        <v>54</v>
      </c>
      <c r="J888" s="8">
        <v>1868522.754373</v>
      </c>
      <c r="K888" s="8">
        <v>7530905</v>
      </c>
    </row>
    <row r="889" spans="1:11">
      <c r="A889" s="7" t="s">
        <v>221</v>
      </c>
      <c r="B889" s="7" t="s">
        <v>222</v>
      </c>
      <c r="C889" s="7" t="s">
        <v>225</v>
      </c>
      <c r="D889" s="7" t="s">
        <v>226</v>
      </c>
      <c r="E889" s="7" t="s">
        <v>75</v>
      </c>
      <c r="F889" s="7" t="s">
        <v>76</v>
      </c>
      <c r="G889" s="7" t="s">
        <v>81</v>
      </c>
      <c r="H889" s="7" t="s">
        <v>82</v>
      </c>
      <c r="I889" s="8">
        <v>38</v>
      </c>
      <c r="J889" s="8">
        <v>500638.92801500001</v>
      </c>
      <c r="K889" s="8">
        <v>3923638</v>
      </c>
    </row>
    <row r="890" spans="1:11">
      <c r="A890" s="7" t="s">
        <v>221</v>
      </c>
      <c r="B890" s="7" t="s">
        <v>222</v>
      </c>
      <c r="C890" s="7" t="s">
        <v>225</v>
      </c>
      <c r="D890" s="7" t="s">
        <v>226</v>
      </c>
      <c r="E890" s="7" t="s">
        <v>75</v>
      </c>
      <c r="F890" s="7" t="s">
        <v>76</v>
      </c>
      <c r="G890" s="7" t="s">
        <v>87</v>
      </c>
      <c r="H890" s="7" t="s">
        <v>88</v>
      </c>
      <c r="I890" s="8">
        <v>3</v>
      </c>
      <c r="J890" s="8">
        <v>48637</v>
      </c>
      <c r="K890" s="8">
        <v>233637</v>
      </c>
    </row>
    <row r="891" spans="1:11">
      <c r="A891" s="7" t="s">
        <v>221</v>
      </c>
      <c r="B891" s="7" t="s">
        <v>222</v>
      </c>
      <c r="C891" s="7" t="s">
        <v>225</v>
      </c>
      <c r="D891" s="7" t="s">
        <v>226</v>
      </c>
      <c r="E891" s="7" t="s">
        <v>83</v>
      </c>
      <c r="F891" s="7" t="s">
        <v>84</v>
      </c>
      <c r="G891" s="7" t="s">
        <v>77</v>
      </c>
      <c r="H891" s="7" t="s">
        <v>78</v>
      </c>
      <c r="I891" s="8">
        <v>8</v>
      </c>
      <c r="J891" s="8">
        <v>138064</v>
      </c>
      <c r="K891" s="8">
        <v>297764</v>
      </c>
    </row>
    <row r="892" spans="1:11">
      <c r="A892" s="7" t="s">
        <v>221</v>
      </c>
      <c r="B892" s="7" t="s">
        <v>222</v>
      </c>
      <c r="C892" s="7" t="s">
        <v>225</v>
      </c>
      <c r="D892" s="7" t="s">
        <v>226</v>
      </c>
      <c r="E892" s="7" t="s">
        <v>83</v>
      </c>
      <c r="F892" s="7" t="s">
        <v>84</v>
      </c>
      <c r="G892" s="7" t="s">
        <v>79</v>
      </c>
      <c r="H892" s="7" t="s">
        <v>80</v>
      </c>
      <c r="I892" s="8">
        <v>13</v>
      </c>
      <c r="J892" s="8">
        <v>89977.992203000002</v>
      </c>
      <c r="K892" s="8">
        <v>236365</v>
      </c>
    </row>
    <row r="893" spans="1:11">
      <c r="A893" s="7" t="s">
        <v>221</v>
      </c>
      <c r="B893" s="7" t="s">
        <v>222</v>
      </c>
      <c r="C893" s="7" t="s">
        <v>225</v>
      </c>
      <c r="D893" s="7" t="s">
        <v>226</v>
      </c>
      <c r="E893" s="7" t="s">
        <v>83</v>
      </c>
      <c r="F893" s="7" t="s">
        <v>84</v>
      </c>
      <c r="G893" s="7" t="s">
        <v>81</v>
      </c>
      <c r="H893" s="7" t="s">
        <v>82</v>
      </c>
      <c r="I893" s="8">
        <v>35</v>
      </c>
      <c r="J893" s="8">
        <v>384927</v>
      </c>
      <c r="K893" s="8">
        <v>801727</v>
      </c>
    </row>
    <row r="894" spans="1:11">
      <c r="A894" s="7" t="s">
        <v>221</v>
      </c>
      <c r="B894" s="7" t="s">
        <v>222</v>
      </c>
      <c r="C894" s="7" t="s">
        <v>225</v>
      </c>
      <c r="D894" s="7" t="s">
        <v>226</v>
      </c>
      <c r="E894" s="7" t="s">
        <v>83</v>
      </c>
      <c r="F894" s="7" t="s">
        <v>84</v>
      </c>
      <c r="G894" s="7" t="s">
        <v>85</v>
      </c>
      <c r="H894" s="7" t="s">
        <v>86</v>
      </c>
      <c r="I894" s="8">
        <v>22</v>
      </c>
      <c r="J894" s="8">
        <v>104946</v>
      </c>
      <c r="K894" s="8">
        <v>439546</v>
      </c>
    </row>
    <row r="895" spans="1:11">
      <c r="A895" s="7" t="s">
        <v>221</v>
      </c>
      <c r="B895" s="7" t="s">
        <v>222</v>
      </c>
      <c r="C895" s="7" t="s">
        <v>225</v>
      </c>
      <c r="D895" s="7" t="s">
        <v>226</v>
      </c>
      <c r="E895" s="7" t="s">
        <v>83</v>
      </c>
      <c r="F895" s="7" t="s">
        <v>84</v>
      </c>
      <c r="G895" s="7" t="s">
        <v>87</v>
      </c>
      <c r="H895" s="7" t="s">
        <v>88</v>
      </c>
      <c r="I895" s="8">
        <v>5</v>
      </c>
      <c r="J895" s="8">
        <v>65037</v>
      </c>
      <c r="K895" s="8">
        <v>118637</v>
      </c>
    </row>
    <row r="896" spans="1:11">
      <c r="A896" s="7" t="s">
        <v>221</v>
      </c>
      <c r="B896" s="7" t="s">
        <v>222</v>
      </c>
      <c r="C896" s="7" t="s">
        <v>225</v>
      </c>
      <c r="D896" s="7" t="s">
        <v>226</v>
      </c>
      <c r="E896" s="7" t="s">
        <v>89</v>
      </c>
      <c r="F896" s="7" t="s">
        <v>90</v>
      </c>
      <c r="G896" s="7" t="s">
        <v>91</v>
      </c>
      <c r="H896" s="7" t="s">
        <v>90</v>
      </c>
      <c r="I896" s="8">
        <v>3</v>
      </c>
      <c r="J896" s="8">
        <v>0</v>
      </c>
      <c r="K896" s="8">
        <v>0</v>
      </c>
    </row>
    <row r="897" spans="1:11">
      <c r="A897" s="7" t="s">
        <v>221</v>
      </c>
      <c r="B897" s="7" t="s">
        <v>222</v>
      </c>
      <c r="C897" s="7" t="s">
        <v>225</v>
      </c>
      <c r="D897" s="7" t="s">
        <v>226</v>
      </c>
      <c r="E897" s="7" t="s">
        <v>92</v>
      </c>
      <c r="F897" s="7" t="s">
        <v>92</v>
      </c>
      <c r="G897" s="7" t="s">
        <v>92</v>
      </c>
      <c r="H897" s="7" t="s">
        <v>92</v>
      </c>
      <c r="I897" s="8">
        <v>-13080</v>
      </c>
      <c r="J897" s="8">
        <v>-237836</v>
      </c>
      <c r="K897" s="8">
        <v>-237836</v>
      </c>
    </row>
    <row r="898" spans="1:11">
      <c r="A898" s="7" t="s">
        <v>227</v>
      </c>
      <c r="B898" s="7" t="s">
        <v>228</v>
      </c>
      <c r="C898" s="7" t="s">
        <v>229</v>
      </c>
      <c r="D898" s="7" t="s">
        <v>230</v>
      </c>
      <c r="E898" s="7" t="s">
        <v>75</v>
      </c>
      <c r="F898" s="7" t="s">
        <v>76</v>
      </c>
      <c r="G898" s="7" t="s">
        <v>79</v>
      </c>
      <c r="H898" s="7" t="s">
        <v>80</v>
      </c>
      <c r="I898" s="8">
        <v>1</v>
      </c>
      <c r="J898" s="8">
        <v>5727</v>
      </c>
      <c r="K898" s="8">
        <v>22727</v>
      </c>
    </row>
    <row r="899" spans="1:11">
      <c r="A899" s="7" t="s">
        <v>227</v>
      </c>
      <c r="B899" s="7" t="s">
        <v>228</v>
      </c>
      <c r="C899" s="7" t="s">
        <v>231</v>
      </c>
      <c r="D899" s="7" t="s">
        <v>232</v>
      </c>
      <c r="E899" s="7" t="s">
        <v>65</v>
      </c>
      <c r="F899" s="7" t="s">
        <v>66</v>
      </c>
      <c r="G899" s="7" t="s">
        <v>67</v>
      </c>
      <c r="H899" s="7" t="s">
        <v>68</v>
      </c>
      <c r="I899" s="8">
        <v>3</v>
      </c>
      <c r="J899" s="8">
        <v>678909</v>
      </c>
      <c r="K899" s="8">
        <v>6790909</v>
      </c>
    </row>
    <row r="900" spans="1:11">
      <c r="A900" s="7" t="s">
        <v>227</v>
      </c>
      <c r="B900" s="7" t="s">
        <v>228</v>
      </c>
      <c r="C900" s="7" t="s">
        <v>231</v>
      </c>
      <c r="D900" s="7" t="s">
        <v>232</v>
      </c>
      <c r="E900" s="7" t="s">
        <v>65</v>
      </c>
      <c r="F900" s="7" t="s">
        <v>66</v>
      </c>
      <c r="G900" s="7" t="s">
        <v>69</v>
      </c>
      <c r="H900" s="7" t="s">
        <v>36</v>
      </c>
      <c r="I900" s="8">
        <v>4</v>
      </c>
      <c r="J900" s="8">
        <v>313926</v>
      </c>
      <c r="K900" s="8">
        <v>4154546</v>
      </c>
    </row>
    <row r="901" spans="1:11">
      <c r="A901" s="7" t="s">
        <v>227</v>
      </c>
      <c r="B901" s="7" t="s">
        <v>228</v>
      </c>
      <c r="C901" s="7" t="s">
        <v>231</v>
      </c>
      <c r="D901" s="7" t="s">
        <v>232</v>
      </c>
      <c r="E901" s="7" t="s">
        <v>65</v>
      </c>
      <c r="F901" s="7" t="s">
        <v>66</v>
      </c>
      <c r="G901" s="7" t="s">
        <v>70</v>
      </c>
      <c r="H901" s="7" t="s">
        <v>28</v>
      </c>
      <c r="I901" s="8">
        <v>14</v>
      </c>
      <c r="J901" s="8">
        <v>580094</v>
      </c>
      <c r="K901" s="8">
        <v>7569094</v>
      </c>
    </row>
    <row r="902" spans="1:11">
      <c r="A902" s="7" t="s">
        <v>227</v>
      </c>
      <c r="B902" s="7" t="s">
        <v>228</v>
      </c>
      <c r="C902" s="7" t="s">
        <v>231</v>
      </c>
      <c r="D902" s="7" t="s">
        <v>232</v>
      </c>
      <c r="E902" s="7" t="s">
        <v>65</v>
      </c>
      <c r="F902" s="7" t="s">
        <v>66</v>
      </c>
      <c r="G902" s="7" t="s">
        <v>97</v>
      </c>
      <c r="H902" s="7" t="s">
        <v>98</v>
      </c>
      <c r="I902" s="8">
        <v>10</v>
      </c>
      <c r="J902" s="8">
        <v>276361</v>
      </c>
      <c r="K902" s="8">
        <v>4536361</v>
      </c>
    </row>
    <row r="903" spans="1:11">
      <c r="A903" s="7" t="s">
        <v>227</v>
      </c>
      <c r="B903" s="7" t="s">
        <v>228</v>
      </c>
      <c r="C903" s="7" t="s">
        <v>231</v>
      </c>
      <c r="D903" s="7" t="s">
        <v>232</v>
      </c>
      <c r="E903" s="7" t="s">
        <v>65</v>
      </c>
      <c r="F903" s="7" t="s">
        <v>66</v>
      </c>
      <c r="G903" s="7" t="s">
        <v>71</v>
      </c>
      <c r="H903" s="7" t="s">
        <v>72</v>
      </c>
      <c r="I903" s="8">
        <v>18</v>
      </c>
      <c r="J903" s="8">
        <v>580639</v>
      </c>
      <c r="K903" s="8">
        <v>8383639</v>
      </c>
    </row>
    <row r="904" spans="1:11">
      <c r="A904" s="7" t="s">
        <v>227</v>
      </c>
      <c r="B904" s="7" t="s">
        <v>228</v>
      </c>
      <c r="C904" s="7" t="s">
        <v>231</v>
      </c>
      <c r="D904" s="7" t="s">
        <v>232</v>
      </c>
      <c r="E904" s="7" t="s">
        <v>65</v>
      </c>
      <c r="F904" s="7" t="s">
        <v>66</v>
      </c>
      <c r="G904" s="7" t="s">
        <v>73</v>
      </c>
      <c r="H904" s="7" t="s">
        <v>74</v>
      </c>
      <c r="I904" s="8">
        <v>8</v>
      </c>
      <c r="J904" s="8">
        <v>823997</v>
      </c>
      <c r="K904" s="8">
        <v>10319997</v>
      </c>
    </row>
    <row r="905" spans="1:11">
      <c r="A905" s="7" t="s">
        <v>227</v>
      </c>
      <c r="B905" s="7" t="s">
        <v>228</v>
      </c>
      <c r="C905" s="7" t="s">
        <v>231</v>
      </c>
      <c r="D905" s="7" t="s">
        <v>232</v>
      </c>
      <c r="E905" s="7" t="s">
        <v>75</v>
      </c>
      <c r="F905" s="7" t="s">
        <v>76</v>
      </c>
      <c r="G905" s="7" t="s">
        <v>77</v>
      </c>
      <c r="H905" s="7" t="s">
        <v>78</v>
      </c>
      <c r="I905" s="8">
        <v>7</v>
      </c>
      <c r="J905" s="8">
        <v>121257.00274</v>
      </c>
      <c r="K905" s="8">
        <v>941272</v>
      </c>
    </row>
    <row r="906" spans="1:11">
      <c r="A906" s="7" t="s">
        <v>227</v>
      </c>
      <c r="B906" s="7" t="s">
        <v>228</v>
      </c>
      <c r="C906" s="7" t="s">
        <v>231</v>
      </c>
      <c r="D906" s="7" t="s">
        <v>232</v>
      </c>
      <c r="E906" s="7" t="s">
        <v>75</v>
      </c>
      <c r="F906" s="7" t="s">
        <v>76</v>
      </c>
      <c r="G906" s="7" t="s">
        <v>79</v>
      </c>
      <c r="H906" s="7" t="s">
        <v>80</v>
      </c>
      <c r="I906" s="8">
        <v>39</v>
      </c>
      <c r="J906" s="8">
        <v>1497371.251133</v>
      </c>
      <c r="K906" s="8">
        <v>5956362</v>
      </c>
    </row>
    <row r="907" spans="1:11">
      <c r="A907" s="7" t="s">
        <v>227</v>
      </c>
      <c r="B907" s="7" t="s">
        <v>228</v>
      </c>
      <c r="C907" s="7" t="s">
        <v>231</v>
      </c>
      <c r="D907" s="7" t="s">
        <v>232</v>
      </c>
      <c r="E907" s="7" t="s">
        <v>75</v>
      </c>
      <c r="F907" s="7" t="s">
        <v>76</v>
      </c>
      <c r="G907" s="7" t="s">
        <v>81</v>
      </c>
      <c r="H907" s="7" t="s">
        <v>82</v>
      </c>
      <c r="I907" s="8">
        <v>52</v>
      </c>
      <c r="J907" s="8">
        <v>808455.82361199998</v>
      </c>
      <c r="K907" s="8">
        <v>5215455</v>
      </c>
    </row>
    <row r="908" spans="1:11">
      <c r="A908" s="7" t="s">
        <v>227</v>
      </c>
      <c r="B908" s="7" t="s">
        <v>228</v>
      </c>
      <c r="C908" s="7" t="s">
        <v>231</v>
      </c>
      <c r="D908" s="7" t="s">
        <v>232</v>
      </c>
      <c r="E908" s="7" t="s">
        <v>75</v>
      </c>
      <c r="F908" s="7" t="s">
        <v>76</v>
      </c>
      <c r="G908" s="7" t="s">
        <v>99</v>
      </c>
      <c r="H908" s="7" t="s">
        <v>100</v>
      </c>
      <c r="I908" s="8">
        <v>1</v>
      </c>
      <c r="J908" s="8">
        <v>11545</v>
      </c>
      <c r="K908" s="8">
        <v>44545</v>
      </c>
    </row>
    <row r="909" spans="1:11">
      <c r="A909" s="7" t="s">
        <v>227</v>
      </c>
      <c r="B909" s="7" t="s">
        <v>228</v>
      </c>
      <c r="C909" s="7" t="s">
        <v>231</v>
      </c>
      <c r="D909" s="7" t="s">
        <v>232</v>
      </c>
      <c r="E909" s="7" t="s">
        <v>75</v>
      </c>
      <c r="F909" s="7" t="s">
        <v>76</v>
      </c>
      <c r="G909" s="7" t="s">
        <v>87</v>
      </c>
      <c r="H909" s="7" t="s">
        <v>88</v>
      </c>
      <c r="I909" s="8">
        <v>1</v>
      </c>
      <c r="J909" s="8">
        <v>20091</v>
      </c>
      <c r="K909" s="8">
        <v>99091</v>
      </c>
    </row>
    <row r="910" spans="1:11">
      <c r="A910" s="7" t="s">
        <v>227</v>
      </c>
      <c r="B910" s="7" t="s">
        <v>228</v>
      </c>
      <c r="C910" s="7" t="s">
        <v>231</v>
      </c>
      <c r="D910" s="7" t="s">
        <v>232</v>
      </c>
      <c r="E910" s="7" t="s">
        <v>83</v>
      </c>
      <c r="F910" s="7" t="s">
        <v>84</v>
      </c>
      <c r="G910" s="7" t="s">
        <v>77</v>
      </c>
      <c r="H910" s="7" t="s">
        <v>78</v>
      </c>
      <c r="I910" s="8">
        <v>20</v>
      </c>
      <c r="J910" s="8">
        <v>191919</v>
      </c>
      <c r="K910" s="8">
        <v>576819</v>
      </c>
    </row>
    <row r="911" spans="1:11">
      <c r="A911" s="7" t="s">
        <v>227</v>
      </c>
      <c r="B911" s="7" t="s">
        <v>228</v>
      </c>
      <c r="C911" s="7" t="s">
        <v>231</v>
      </c>
      <c r="D911" s="7" t="s">
        <v>232</v>
      </c>
      <c r="E911" s="7" t="s">
        <v>83</v>
      </c>
      <c r="F911" s="7" t="s">
        <v>84</v>
      </c>
      <c r="G911" s="7" t="s">
        <v>79</v>
      </c>
      <c r="H911" s="7" t="s">
        <v>80</v>
      </c>
      <c r="I911" s="8">
        <v>32</v>
      </c>
      <c r="J911" s="8">
        <v>377385.09635000001</v>
      </c>
      <c r="K911" s="8">
        <v>796542</v>
      </c>
    </row>
    <row r="912" spans="1:11">
      <c r="A912" s="7" t="s">
        <v>227</v>
      </c>
      <c r="B912" s="7" t="s">
        <v>228</v>
      </c>
      <c r="C912" s="7" t="s">
        <v>231</v>
      </c>
      <c r="D912" s="7" t="s">
        <v>232</v>
      </c>
      <c r="E912" s="7" t="s">
        <v>83</v>
      </c>
      <c r="F912" s="7" t="s">
        <v>84</v>
      </c>
      <c r="G912" s="7" t="s">
        <v>81</v>
      </c>
      <c r="H912" s="7" t="s">
        <v>82</v>
      </c>
      <c r="I912" s="8">
        <v>66</v>
      </c>
      <c r="J912" s="8">
        <v>823601</v>
      </c>
      <c r="K912" s="8">
        <v>1800001</v>
      </c>
    </row>
    <row r="913" spans="1:11">
      <c r="A913" s="7" t="s">
        <v>227</v>
      </c>
      <c r="B913" s="7" t="s">
        <v>228</v>
      </c>
      <c r="C913" s="7" t="s">
        <v>231</v>
      </c>
      <c r="D913" s="7" t="s">
        <v>232</v>
      </c>
      <c r="E913" s="7" t="s">
        <v>83</v>
      </c>
      <c r="F913" s="7" t="s">
        <v>84</v>
      </c>
      <c r="G913" s="7" t="s">
        <v>85</v>
      </c>
      <c r="H913" s="7" t="s">
        <v>86</v>
      </c>
      <c r="I913" s="8">
        <v>23</v>
      </c>
      <c r="J913" s="8">
        <v>104371</v>
      </c>
      <c r="K913" s="8">
        <v>265453</v>
      </c>
    </row>
    <row r="914" spans="1:11">
      <c r="A914" s="7" t="s">
        <v>227</v>
      </c>
      <c r="B914" s="7" t="s">
        <v>228</v>
      </c>
      <c r="C914" s="7" t="s">
        <v>231</v>
      </c>
      <c r="D914" s="7" t="s">
        <v>232</v>
      </c>
      <c r="E914" s="7" t="s">
        <v>83</v>
      </c>
      <c r="F914" s="7" t="s">
        <v>84</v>
      </c>
      <c r="G914" s="7" t="s">
        <v>107</v>
      </c>
      <c r="H914" s="7" t="s">
        <v>108</v>
      </c>
      <c r="I914" s="8">
        <v>6</v>
      </c>
      <c r="J914" s="8">
        <v>58110</v>
      </c>
      <c r="K914" s="8">
        <v>149910</v>
      </c>
    </row>
    <row r="915" spans="1:11">
      <c r="A915" s="7" t="s">
        <v>227</v>
      </c>
      <c r="B915" s="7" t="s">
        <v>228</v>
      </c>
      <c r="C915" s="7" t="s">
        <v>231</v>
      </c>
      <c r="D915" s="7" t="s">
        <v>232</v>
      </c>
      <c r="E915" s="7" t="s">
        <v>83</v>
      </c>
      <c r="F915" s="7" t="s">
        <v>84</v>
      </c>
      <c r="G915" s="7" t="s">
        <v>87</v>
      </c>
      <c r="H915" s="7" t="s">
        <v>88</v>
      </c>
      <c r="I915" s="8">
        <v>16</v>
      </c>
      <c r="J915" s="8">
        <v>89397</v>
      </c>
      <c r="K915" s="8">
        <v>214997</v>
      </c>
    </row>
    <row r="916" spans="1:11">
      <c r="A916" s="7" t="s">
        <v>227</v>
      </c>
      <c r="B916" s="7" t="s">
        <v>228</v>
      </c>
      <c r="C916" s="7" t="s">
        <v>231</v>
      </c>
      <c r="D916" s="7" t="s">
        <v>232</v>
      </c>
      <c r="E916" s="7" t="s">
        <v>92</v>
      </c>
      <c r="F916" s="7" t="s">
        <v>92</v>
      </c>
      <c r="G916" s="7" t="s">
        <v>92</v>
      </c>
      <c r="H916" s="7" t="s">
        <v>92</v>
      </c>
      <c r="I916" s="8">
        <v>-3325</v>
      </c>
      <c r="J916" s="8">
        <v>-60455</v>
      </c>
      <c r="K916" s="8">
        <v>-60455</v>
      </c>
    </row>
    <row r="917" spans="1:11">
      <c r="A917" s="7" t="s">
        <v>227</v>
      </c>
      <c r="B917" s="7" t="s">
        <v>228</v>
      </c>
      <c r="C917" s="7" t="s">
        <v>233</v>
      </c>
      <c r="D917" s="7" t="s">
        <v>234</v>
      </c>
      <c r="E917" s="7" t="s">
        <v>65</v>
      </c>
      <c r="F917" s="7" t="s">
        <v>66</v>
      </c>
      <c r="G917" s="7" t="s">
        <v>95</v>
      </c>
      <c r="H917" s="7" t="s">
        <v>96</v>
      </c>
      <c r="I917" s="8">
        <v>2</v>
      </c>
      <c r="J917" s="8">
        <v>494728</v>
      </c>
      <c r="K917" s="8">
        <v>4947728</v>
      </c>
    </row>
    <row r="918" spans="1:11">
      <c r="A918" s="7" t="s">
        <v>227</v>
      </c>
      <c r="B918" s="7" t="s">
        <v>228</v>
      </c>
      <c r="C918" s="7" t="s">
        <v>233</v>
      </c>
      <c r="D918" s="7" t="s">
        <v>234</v>
      </c>
      <c r="E918" s="7" t="s">
        <v>65</v>
      </c>
      <c r="F918" s="7" t="s">
        <v>66</v>
      </c>
      <c r="G918" s="7" t="s">
        <v>67</v>
      </c>
      <c r="H918" s="7" t="s">
        <v>68</v>
      </c>
      <c r="I918" s="8">
        <v>8</v>
      </c>
      <c r="J918" s="8">
        <v>1752272</v>
      </c>
      <c r="K918" s="8">
        <v>17527272</v>
      </c>
    </row>
    <row r="919" spans="1:11">
      <c r="A919" s="7" t="s">
        <v>227</v>
      </c>
      <c r="B919" s="7" t="s">
        <v>228</v>
      </c>
      <c r="C919" s="7" t="s">
        <v>233</v>
      </c>
      <c r="D919" s="7" t="s">
        <v>234</v>
      </c>
      <c r="E919" s="7" t="s">
        <v>65</v>
      </c>
      <c r="F919" s="7" t="s">
        <v>66</v>
      </c>
      <c r="G919" s="7" t="s">
        <v>69</v>
      </c>
      <c r="H919" s="7" t="s">
        <v>36</v>
      </c>
      <c r="I919" s="8">
        <v>9</v>
      </c>
      <c r="J919" s="8">
        <v>876617</v>
      </c>
      <c r="K919" s="8">
        <v>11609087</v>
      </c>
    </row>
    <row r="920" spans="1:11">
      <c r="A920" s="7" t="s">
        <v>227</v>
      </c>
      <c r="B920" s="7" t="s">
        <v>228</v>
      </c>
      <c r="C920" s="7" t="s">
        <v>233</v>
      </c>
      <c r="D920" s="7" t="s">
        <v>234</v>
      </c>
      <c r="E920" s="7" t="s">
        <v>65</v>
      </c>
      <c r="F920" s="7" t="s">
        <v>66</v>
      </c>
      <c r="G920" s="7" t="s">
        <v>70</v>
      </c>
      <c r="H920" s="7" t="s">
        <v>28</v>
      </c>
      <c r="I920" s="8">
        <v>14</v>
      </c>
      <c r="J920" s="8">
        <v>622091</v>
      </c>
      <c r="K920" s="8">
        <v>7769091</v>
      </c>
    </row>
    <row r="921" spans="1:11">
      <c r="A921" s="7" t="s">
        <v>227</v>
      </c>
      <c r="B921" s="7" t="s">
        <v>228</v>
      </c>
      <c r="C921" s="7" t="s">
        <v>233</v>
      </c>
      <c r="D921" s="7" t="s">
        <v>234</v>
      </c>
      <c r="E921" s="7" t="s">
        <v>65</v>
      </c>
      <c r="F921" s="7" t="s">
        <v>66</v>
      </c>
      <c r="G921" s="7" t="s">
        <v>97</v>
      </c>
      <c r="H921" s="7" t="s">
        <v>98</v>
      </c>
      <c r="I921" s="8">
        <v>1</v>
      </c>
      <c r="J921" s="8">
        <v>27636</v>
      </c>
      <c r="K921" s="8">
        <v>453636</v>
      </c>
    </row>
    <row r="922" spans="1:11">
      <c r="A922" s="7" t="s">
        <v>227</v>
      </c>
      <c r="B922" s="7" t="s">
        <v>228</v>
      </c>
      <c r="C922" s="7" t="s">
        <v>233</v>
      </c>
      <c r="D922" s="7" t="s">
        <v>234</v>
      </c>
      <c r="E922" s="7" t="s">
        <v>65</v>
      </c>
      <c r="F922" s="7" t="s">
        <v>66</v>
      </c>
      <c r="G922" s="7" t="s">
        <v>71</v>
      </c>
      <c r="H922" s="7" t="s">
        <v>72</v>
      </c>
      <c r="I922" s="8">
        <v>13</v>
      </c>
      <c r="J922" s="8">
        <v>446730</v>
      </c>
      <c r="K922" s="8">
        <v>6442730</v>
      </c>
    </row>
    <row r="923" spans="1:11">
      <c r="A923" s="7" t="s">
        <v>227</v>
      </c>
      <c r="B923" s="7" t="s">
        <v>228</v>
      </c>
      <c r="C923" s="7" t="s">
        <v>233</v>
      </c>
      <c r="D923" s="7" t="s">
        <v>234</v>
      </c>
      <c r="E923" s="7" t="s">
        <v>65</v>
      </c>
      <c r="F923" s="7" t="s">
        <v>66</v>
      </c>
      <c r="G923" s="7" t="s">
        <v>73</v>
      </c>
      <c r="H923" s="7" t="s">
        <v>74</v>
      </c>
      <c r="I923" s="8">
        <v>9</v>
      </c>
      <c r="J923" s="8">
        <v>770271</v>
      </c>
      <c r="K923" s="8">
        <v>9637271</v>
      </c>
    </row>
    <row r="924" spans="1:11">
      <c r="A924" s="7" t="s">
        <v>227</v>
      </c>
      <c r="B924" s="7" t="s">
        <v>228</v>
      </c>
      <c r="C924" s="7" t="s">
        <v>233</v>
      </c>
      <c r="D924" s="7" t="s">
        <v>234</v>
      </c>
      <c r="E924" s="7" t="s">
        <v>75</v>
      </c>
      <c r="F924" s="7" t="s">
        <v>76</v>
      </c>
      <c r="G924" s="7" t="s">
        <v>77</v>
      </c>
      <c r="H924" s="7" t="s">
        <v>78</v>
      </c>
      <c r="I924" s="8">
        <v>8</v>
      </c>
      <c r="J924" s="8">
        <v>114001.993175</v>
      </c>
      <c r="K924" s="8">
        <v>884002</v>
      </c>
    </row>
    <row r="925" spans="1:11">
      <c r="A925" s="7" t="s">
        <v>227</v>
      </c>
      <c r="B925" s="7" t="s">
        <v>228</v>
      </c>
      <c r="C925" s="7" t="s">
        <v>233</v>
      </c>
      <c r="D925" s="7" t="s">
        <v>234</v>
      </c>
      <c r="E925" s="7" t="s">
        <v>75</v>
      </c>
      <c r="F925" s="7" t="s">
        <v>76</v>
      </c>
      <c r="G925" s="7" t="s">
        <v>79</v>
      </c>
      <c r="H925" s="7" t="s">
        <v>80</v>
      </c>
      <c r="I925" s="8">
        <v>64</v>
      </c>
      <c r="J925" s="8">
        <v>2438453.0857099998</v>
      </c>
      <c r="K925" s="8">
        <v>9913450</v>
      </c>
    </row>
    <row r="926" spans="1:11">
      <c r="A926" s="7" t="s">
        <v>227</v>
      </c>
      <c r="B926" s="7" t="s">
        <v>228</v>
      </c>
      <c r="C926" s="7" t="s">
        <v>233</v>
      </c>
      <c r="D926" s="7" t="s">
        <v>234</v>
      </c>
      <c r="E926" s="7" t="s">
        <v>75</v>
      </c>
      <c r="F926" s="7" t="s">
        <v>76</v>
      </c>
      <c r="G926" s="7" t="s">
        <v>81</v>
      </c>
      <c r="H926" s="7" t="s">
        <v>82</v>
      </c>
      <c r="I926" s="8">
        <v>35</v>
      </c>
      <c r="J926" s="8">
        <v>660819.85345399997</v>
      </c>
      <c r="K926" s="8">
        <v>3571819</v>
      </c>
    </row>
    <row r="927" spans="1:11">
      <c r="A927" s="7" t="s">
        <v>227</v>
      </c>
      <c r="B927" s="7" t="s">
        <v>228</v>
      </c>
      <c r="C927" s="7" t="s">
        <v>233</v>
      </c>
      <c r="D927" s="7" t="s">
        <v>234</v>
      </c>
      <c r="E927" s="7" t="s">
        <v>75</v>
      </c>
      <c r="F927" s="7" t="s">
        <v>76</v>
      </c>
      <c r="G927" s="7" t="s">
        <v>87</v>
      </c>
      <c r="H927" s="7" t="s">
        <v>88</v>
      </c>
      <c r="I927" s="8">
        <v>2</v>
      </c>
      <c r="J927" s="8">
        <v>28546</v>
      </c>
      <c r="K927" s="8">
        <v>134546</v>
      </c>
    </row>
    <row r="928" spans="1:11">
      <c r="A928" s="7" t="s">
        <v>227</v>
      </c>
      <c r="B928" s="7" t="s">
        <v>228</v>
      </c>
      <c r="C928" s="7" t="s">
        <v>233</v>
      </c>
      <c r="D928" s="7" t="s">
        <v>234</v>
      </c>
      <c r="E928" s="7" t="s">
        <v>83</v>
      </c>
      <c r="F928" s="7" t="s">
        <v>84</v>
      </c>
      <c r="G928" s="7" t="s">
        <v>77</v>
      </c>
      <c r="H928" s="7" t="s">
        <v>78</v>
      </c>
      <c r="I928" s="8">
        <v>29</v>
      </c>
      <c r="J928" s="8">
        <v>426302</v>
      </c>
      <c r="K928" s="8">
        <v>1079216</v>
      </c>
    </row>
    <row r="929" spans="1:11">
      <c r="A929" s="7" t="s">
        <v>227</v>
      </c>
      <c r="B929" s="7" t="s">
        <v>228</v>
      </c>
      <c r="C929" s="7" t="s">
        <v>233</v>
      </c>
      <c r="D929" s="7" t="s">
        <v>234</v>
      </c>
      <c r="E929" s="7" t="s">
        <v>83</v>
      </c>
      <c r="F929" s="7" t="s">
        <v>84</v>
      </c>
      <c r="G929" s="7" t="s">
        <v>79</v>
      </c>
      <c r="H929" s="7" t="s">
        <v>80</v>
      </c>
      <c r="I929" s="8">
        <v>55</v>
      </c>
      <c r="J929" s="8">
        <v>664160.36059199995</v>
      </c>
      <c r="K929" s="8">
        <v>1260283</v>
      </c>
    </row>
    <row r="930" spans="1:11">
      <c r="A930" s="7" t="s">
        <v>227</v>
      </c>
      <c r="B930" s="7" t="s">
        <v>228</v>
      </c>
      <c r="C930" s="7" t="s">
        <v>233</v>
      </c>
      <c r="D930" s="7" t="s">
        <v>234</v>
      </c>
      <c r="E930" s="7" t="s">
        <v>83</v>
      </c>
      <c r="F930" s="7" t="s">
        <v>84</v>
      </c>
      <c r="G930" s="7" t="s">
        <v>81</v>
      </c>
      <c r="H930" s="7" t="s">
        <v>82</v>
      </c>
      <c r="I930" s="8">
        <v>57</v>
      </c>
      <c r="J930" s="8">
        <v>731692</v>
      </c>
      <c r="K930" s="8">
        <v>1540092</v>
      </c>
    </row>
    <row r="931" spans="1:11">
      <c r="A931" s="7" t="s">
        <v>227</v>
      </c>
      <c r="B931" s="7" t="s">
        <v>228</v>
      </c>
      <c r="C931" s="7" t="s">
        <v>233</v>
      </c>
      <c r="D931" s="7" t="s">
        <v>234</v>
      </c>
      <c r="E931" s="7" t="s">
        <v>83</v>
      </c>
      <c r="F931" s="7" t="s">
        <v>84</v>
      </c>
      <c r="G931" s="7" t="s">
        <v>85</v>
      </c>
      <c r="H931" s="7" t="s">
        <v>86</v>
      </c>
      <c r="I931" s="8">
        <v>22</v>
      </c>
      <c r="J931" s="8">
        <v>133212</v>
      </c>
      <c r="K931" s="8">
        <v>400272</v>
      </c>
    </row>
    <row r="932" spans="1:11">
      <c r="A932" s="7" t="s">
        <v>227</v>
      </c>
      <c r="B932" s="7" t="s">
        <v>228</v>
      </c>
      <c r="C932" s="7" t="s">
        <v>233</v>
      </c>
      <c r="D932" s="7" t="s">
        <v>234</v>
      </c>
      <c r="E932" s="7" t="s">
        <v>83</v>
      </c>
      <c r="F932" s="7" t="s">
        <v>84</v>
      </c>
      <c r="G932" s="7" t="s">
        <v>107</v>
      </c>
      <c r="H932" s="7" t="s">
        <v>108</v>
      </c>
      <c r="I932" s="8">
        <v>1</v>
      </c>
      <c r="J932" s="8">
        <v>12682</v>
      </c>
      <c r="K932" s="8">
        <v>36182</v>
      </c>
    </row>
    <row r="933" spans="1:11">
      <c r="A933" s="7" t="s">
        <v>227</v>
      </c>
      <c r="B933" s="7" t="s">
        <v>228</v>
      </c>
      <c r="C933" s="7" t="s">
        <v>233</v>
      </c>
      <c r="D933" s="7" t="s">
        <v>234</v>
      </c>
      <c r="E933" s="7" t="s">
        <v>83</v>
      </c>
      <c r="F933" s="7" t="s">
        <v>84</v>
      </c>
      <c r="G933" s="7" t="s">
        <v>87</v>
      </c>
      <c r="H933" s="7" t="s">
        <v>88</v>
      </c>
      <c r="I933" s="8">
        <v>7</v>
      </c>
      <c r="J933" s="8">
        <v>49763</v>
      </c>
      <c r="K933" s="8">
        <v>111363</v>
      </c>
    </row>
    <row r="934" spans="1:11">
      <c r="A934" s="7" t="s">
        <v>227</v>
      </c>
      <c r="B934" s="7" t="s">
        <v>228</v>
      </c>
      <c r="C934" s="7" t="s">
        <v>233</v>
      </c>
      <c r="D934" s="7" t="s">
        <v>234</v>
      </c>
      <c r="E934" s="7" t="s">
        <v>92</v>
      </c>
      <c r="F934" s="7" t="s">
        <v>92</v>
      </c>
      <c r="G934" s="7" t="s">
        <v>92</v>
      </c>
      <c r="H934" s="7" t="s">
        <v>92</v>
      </c>
      <c r="I934" s="8">
        <v>-40324</v>
      </c>
      <c r="J934" s="8">
        <v>-733163</v>
      </c>
      <c r="K934" s="8">
        <v>-733163</v>
      </c>
    </row>
    <row r="935" spans="1:11">
      <c r="A935" s="7" t="s">
        <v>227</v>
      </c>
      <c r="B935" s="7" t="s">
        <v>228</v>
      </c>
      <c r="C935" s="7" t="s">
        <v>235</v>
      </c>
      <c r="D935" s="7" t="s">
        <v>236</v>
      </c>
      <c r="E935" s="7" t="s">
        <v>65</v>
      </c>
      <c r="F935" s="7" t="s">
        <v>66</v>
      </c>
      <c r="G935" s="7" t="s">
        <v>95</v>
      </c>
      <c r="H935" s="7" t="s">
        <v>96</v>
      </c>
      <c r="I935" s="8">
        <v>1</v>
      </c>
      <c r="J935" s="8">
        <v>153364</v>
      </c>
      <c r="K935" s="8">
        <v>1536364</v>
      </c>
    </row>
    <row r="936" spans="1:11">
      <c r="A936" s="7" t="s">
        <v>227</v>
      </c>
      <c r="B936" s="7" t="s">
        <v>228</v>
      </c>
      <c r="C936" s="7" t="s">
        <v>235</v>
      </c>
      <c r="D936" s="7" t="s">
        <v>236</v>
      </c>
      <c r="E936" s="7" t="s">
        <v>65</v>
      </c>
      <c r="F936" s="7" t="s">
        <v>66</v>
      </c>
      <c r="G936" s="7" t="s">
        <v>67</v>
      </c>
      <c r="H936" s="7" t="s">
        <v>68</v>
      </c>
      <c r="I936" s="8">
        <v>7</v>
      </c>
      <c r="J936" s="8">
        <v>1532271</v>
      </c>
      <c r="K936" s="8">
        <v>15327271</v>
      </c>
    </row>
    <row r="937" spans="1:11">
      <c r="A937" s="7" t="s">
        <v>227</v>
      </c>
      <c r="B937" s="7" t="s">
        <v>228</v>
      </c>
      <c r="C937" s="7" t="s">
        <v>235</v>
      </c>
      <c r="D937" s="7" t="s">
        <v>236</v>
      </c>
      <c r="E937" s="7" t="s">
        <v>65</v>
      </c>
      <c r="F937" s="7" t="s">
        <v>66</v>
      </c>
      <c r="G937" s="7" t="s">
        <v>69</v>
      </c>
      <c r="H937" s="7" t="s">
        <v>36</v>
      </c>
      <c r="I937" s="8">
        <v>7</v>
      </c>
      <c r="J937" s="8">
        <v>697894</v>
      </c>
      <c r="K937" s="8">
        <v>9245454</v>
      </c>
    </row>
    <row r="938" spans="1:11">
      <c r="A938" s="7" t="s">
        <v>227</v>
      </c>
      <c r="B938" s="7" t="s">
        <v>228</v>
      </c>
      <c r="C938" s="7" t="s">
        <v>235</v>
      </c>
      <c r="D938" s="7" t="s">
        <v>236</v>
      </c>
      <c r="E938" s="7" t="s">
        <v>65</v>
      </c>
      <c r="F938" s="7" t="s">
        <v>66</v>
      </c>
      <c r="G938" s="7" t="s">
        <v>70</v>
      </c>
      <c r="H938" s="7" t="s">
        <v>28</v>
      </c>
      <c r="I938" s="8">
        <v>18</v>
      </c>
      <c r="J938" s="8">
        <v>851002</v>
      </c>
      <c r="K938" s="8">
        <v>10620002</v>
      </c>
    </row>
    <row r="939" spans="1:11">
      <c r="A939" s="7" t="s">
        <v>227</v>
      </c>
      <c r="B939" s="7" t="s">
        <v>228</v>
      </c>
      <c r="C939" s="7" t="s">
        <v>235</v>
      </c>
      <c r="D939" s="7" t="s">
        <v>236</v>
      </c>
      <c r="E939" s="7" t="s">
        <v>65</v>
      </c>
      <c r="F939" s="7" t="s">
        <v>66</v>
      </c>
      <c r="G939" s="7" t="s">
        <v>97</v>
      </c>
      <c r="H939" s="7" t="s">
        <v>98</v>
      </c>
      <c r="I939" s="8">
        <v>1</v>
      </c>
      <c r="J939" s="8">
        <v>27636</v>
      </c>
      <c r="K939" s="8">
        <v>453636</v>
      </c>
    </row>
    <row r="940" spans="1:11">
      <c r="A940" s="7" t="s">
        <v>227</v>
      </c>
      <c r="B940" s="7" t="s">
        <v>228</v>
      </c>
      <c r="C940" s="7" t="s">
        <v>235</v>
      </c>
      <c r="D940" s="7" t="s">
        <v>236</v>
      </c>
      <c r="E940" s="7" t="s">
        <v>65</v>
      </c>
      <c r="F940" s="7" t="s">
        <v>66</v>
      </c>
      <c r="G940" s="7" t="s">
        <v>71</v>
      </c>
      <c r="H940" s="7" t="s">
        <v>72</v>
      </c>
      <c r="I940" s="8">
        <v>9</v>
      </c>
      <c r="J940" s="8">
        <v>280366</v>
      </c>
      <c r="K940" s="8">
        <v>4046366</v>
      </c>
    </row>
    <row r="941" spans="1:11">
      <c r="A941" s="7" t="s">
        <v>227</v>
      </c>
      <c r="B941" s="7" t="s">
        <v>228</v>
      </c>
      <c r="C941" s="7" t="s">
        <v>235</v>
      </c>
      <c r="D941" s="7" t="s">
        <v>236</v>
      </c>
      <c r="E941" s="7" t="s">
        <v>65</v>
      </c>
      <c r="F941" s="7" t="s">
        <v>66</v>
      </c>
      <c r="G941" s="7" t="s">
        <v>73</v>
      </c>
      <c r="H941" s="7" t="s">
        <v>74</v>
      </c>
      <c r="I941" s="8">
        <v>30</v>
      </c>
      <c r="J941" s="8">
        <v>2632627</v>
      </c>
      <c r="K941" s="8">
        <v>32963627</v>
      </c>
    </row>
    <row r="942" spans="1:11">
      <c r="A942" s="7" t="s">
        <v>227</v>
      </c>
      <c r="B942" s="7" t="s">
        <v>228</v>
      </c>
      <c r="C942" s="7" t="s">
        <v>235</v>
      </c>
      <c r="D942" s="7" t="s">
        <v>236</v>
      </c>
      <c r="E942" s="7" t="s">
        <v>75</v>
      </c>
      <c r="F942" s="7" t="s">
        <v>76</v>
      </c>
      <c r="G942" s="7" t="s">
        <v>77</v>
      </c>
      <c r="H942" s="7" t="s">
        <v>78</v>
      </c>
      <c r="I942" s="8">
        <v>17</v>
      </c>
      <c r="J942" s="8">
        <v>237451.958232</v>
      </c>
      <c r="K942" s="8">
        <v>2093452</v>
      </c>
    </row>
    <row r="943" spans="1:11">
      <c r="A943" s="7" t="s">
        <v>227</v>
      </c>
      <c r="B943" s="7" t="s">
        <v>228</v>
      </c>
      <c r="C943" s="7" t="s">
        <v>235</v>
      </c>
      <c r="D943" s="7" t="s">
        <v>236</v>
      </c>
      <c r="E943" s="7" t="s">
        <v>75</v>
      </c>
      <c r="F943" s="7" t="s">
        <v>76</v>
      </c>
      <c r="G943" s="7" t="s">
        <v>79</v>
      </c>
      <c r="H943" s="7" t="s">
        <v>80</v>
      </c>
      <c r="I943" s="8">
        <v>72</v>
      </c>
      <c r="J943" s="8">
        <v>2978010.3358479999</v>
      </c>
      <c r="K943" s="8">
        <v>13081998</v>
      </c>
    </row>
    <row r="944" spans="1:11">
      <c r="A944" s="7" t="s">
        <v>227</v>
      </c>
      <c r="B944" s="7" t="s">
        <v>228</v>
      </c>
      <c r="C944" s="7" t="s">
        <v>235</v>
      </c>
      <c r="D944" s="7" t="s">
        <v>236</v>
      </c>
      <c r="E944" s="7" t="s">
        <v>75</v>
      </c>
      <c r="F944" s="7" t="s">
        <v>76</v>
      </c>
      <c r="G944" s="7" t="s">
        <v>81</v>
      </c>
      <c r="H944" s="7" t="s">
        <v>82</v>
      </c>
      <c r="I944" s="8">
        <v>69</v>
      </c>
      <c r="J944" s="8">
        <v>1501370.1089620001</v>
      </c>
      <c r="K944" s="8">
        <v>7666370</v>
      </c>
    </row>
    <row r="945" spans="1:11">
      <c r="A945" s="7" t="s">
        <v>227</v>
      </c>
      <c r="B945" s="7" t="s">
        <v>228</v>
      </c>
      <c r="C945" s="7" t="s">
        <v>235</v>
      </c>
      <c r="D945" s="7" t="s">
        <v>236</v>
      </c>
      <c r="E945" s="7" t="s">
        <v>75</v>
      </c>
      <c r="F945" s="7" t="s">
        <v>76</v>
      </c>
      <c r="G945" s="7" t="s">
        <v>87</v>
      </c>
      <c r="H945" s="7" t="s">
        <v>88</v>
      </c>
      <c r="I945" s="8">
        <v>1</v>
      </c>
      <c r="J945" s="8">
        <v>13091</v>
      </c>
      <c r="K945" s="8">
        <v>59091</v>
      </c>
    </row>
    <row r="946" spans="1:11">
      <c r="A946" s="7" t="s">
        <v>227</v>
      </c>
      <c r="B946" s="7" t="s">
        <v>228</v>
      </c>
      <c r="C946" s="7" t="s">
        <v>235</v>
      </c>
      <c r="D946" s="7" t="s">
        <v>236</v>
      </c>
      <c r="E946" s="7" t="s">
        <v>83</v>
      </c>
      <c r="F946" s="7" t="s">
        <v>84</v>
      </c>
      <c r="G946" s="7" t="s">
        <v>77</v>
      </c>
      <c r="H946" s="7" t="s">
        <v>78</v>
      </c>
      <c r="I946" s="8">
        <v>24</v>
      </c>
      <c r="J946" s="8">
        <v>278771.41248900001</v>
      </c>
      <c r="K946" s="8">
        <v>927015</v>
      </c>
    </row>
    <row r="947" spans="1:11">
      <c r="A947" s="7" t="s">
        <v>227</v>
      </c>
      <c r="B947" s="7" t="s">
        <v>228</v>
      </c>
      <c r="C947" s="7" t="s">
        <v>235</v>
      </c>
      <c r="D947" s="7" t="s">
        <v>236</v>
      </c>
      <c r="E947" s="7" t="s">
        <v>83</v>
      </c>
      <c r="F947" s="7" t="s">
        <v>84</v>
      </c>
      <c r="G947" s="7" t="s">
        <v>79</v>
      </c>
      <c r="H947" s="7" t="s">
        <v>80</v>
      </c>
      <c r="I947" s="8">
        <v>54</v>
      </c>
      <c r="J947" s="8">
        <v>582003.63144999999</v>
      </c>
      <c r="K947" s="8">
        <v>1082653</v>
      </c>
    </row>
    <row r="948" spans="1:11">
      <c r="A948" s="7" t="s">
        <v>227</v>
      </c>
      <c r="B948" s="7" t="s">
        <v>228</v>
      </c>
      <c r="C948" s="7" t="s">
        <v>235</v>
      </c>
      <c r="D948" s="7" t="s">
        <v>236</v>
      </c>
      <c r="E948" s="7" t="s">
        <v>83</v>
      </c>
      <c r="F948" s="7" t="s">
        <v>84</v>
      </c>
      <c r="G948" s="7" t="s">
        <v>81</v>
      </c>
      <c r="H948" s="7" t="s">
        <v>82</v>
      </c>
      <c r="I948" s="8">
        <v>102</v>
      </c>
      <c r="J948" s="8">
        <v>1217700</v>
      </c>
      <c r="K948" s="8">
        <v>2512000</v>
      </c>
    </row>
    <row r="949" spans="1:11">
      <c r="A949" s="7" t="s">
        <v>227</v>
      </c>
      <c r="B949" s="7" t="s">
        <v>228</v>
      </c>
      <c r="C949" s="7" t="s">
        <v>235</v>
      </c>
      <c r="D949" s="7" t="s">
        <v>236</v>
      </c>
      <c r="E949" s="7" t="s">
        <v>83</v>
      </c>
      <c r="F949" s="7" t="s">
        <v>84</v>
      </c>
      <c r="G949" s="7" t="s">
        <v>85</v>
      </c>
      <c r="H949" s="7" t="s">
        <v>86</v>
      </c>
      <c r="I949" s="8">
        <v>34</v>
      </c>
      <c r="J949" s="8">
        <v>147707</v>
      </c>
      <c r="K949" s="8">
        <v>400089</v>
      </c>
    </row>
    <row r="950" spans="1:11">
      <c r="A950" s="7" t="s">
        <v>227</v>
      </c>
      <c r="B950" s="7" t="s">
        <v>228</v>
      </c>
      <c r="C950" s="7" t="s">
        <v>235</v>
      </c>
      <c r="D950" s="7" t="s">
        <v>236</v>
      </c>
      <c r="E950" s="7" t="s">
        <v>83</v>
      </c>
      <c r="F950" s="7" t="s">
        <v>84</v>
      </c>
      <c r="G950" s="7" t="s">
        <v>107</v>
      </c>
      <c r="H950" s="7" t="s">
        <v>108</v>
      </c>
      <c r="I950" s="8">
        <v>5</v>
      </c>
      <c r="J950" s="8">
        <v>29692</v>
      </c>
      <c r="K950" s="8">
        <v>354092</v>
      </c>
    </row>
    <row r="951" spans="1:11">
      <c r="A951" s="7" t="s">
        <v>227</v>
      </c>
      <c r="B951" s="7" t="s">
        <v>228</v>
      </c>
      <c r="C951" s="7" t="s">
        <v>235</v>
      </c>
      <c r="D951" s="7" t="s">
        <v>236</v>
      </c>
      <c r="E951" s="7" t="s">
        <v>83</v>
      </c>
      <c r="F951" s="7" t="s">
        <v>84</v>
      </c>
      <c r="G951" s="7" t="s">
        <v>87</v>
      </c>
      <c r="H951" s="7" t="s">
        <v>88</v>
      </c>
      <c r="I951" s="8">
        <v>19</v>
      </c>
      <c r="J951" s="8">
        <v>159344</v>
      </c>
      <c r="K951" s="8">
        <v>382544</v>
      </c>
    </row>
    <row r="952" spans="1:11">
      <c r="A952" s="7" t="s">
        <v>227</v>
      </c>
      <c r="B952" s="7" t="s">
        <v>228</v>
      </c>
      <c r="C952" s="7" t="s">
        <v>235</v>
      </c>
      <c r="D952" s="7" t="s">
        <v>236</v>
      </c>
      <c r="E952" s="7" t="s">
        <v>89</v>
      </c>
      <c r="F952" s="7" t="s">
        <v>90</v>
      </c>
      <c r="G952" s="7" t="s">
        <v>91</v>
      </c>
      <c r="H952" s="7" t="s">
        <v>90</v>
      </c>
      <c r="I952" s="8">
        <v>2</v>
      </c>
      <c r="J952" s="8">
        <v>0</v>
      </c>
      <c r="K952" s="8">
        <v>0</v>
      </c>
    </row>
    <row r="953" spans="1:11">
      <c r="A953" s="7" t="s">
        <v>227</v>
      </c>
      <c r="B953" s="7" t="s">
        <v>228</v>
      </c>
      <c r="C953" s="7" t="s">
        <v>235</v>
      </c>
      <c r="D953" s="7" t="s">
        <v>236</v>
      </c>
      <c r="E953" s="7" t="s">
        <v>92</v>
      </c>
      <c r="F953" s="7" t="s">
        <v>92</v>
      </c>
      <c r="G953" s="7" t="s">
        <v>92</v>
      </c>
      <c r="H953" s="7" t="s">
        <v>92</v>
      </c>
      <c r="I953" s="8">
        <v>-24291</v>
      </c>
      <c r="J953" s="8">
        <v>-441653</v>
      </c>
      <c r="K953" s="8">
        <v>-441653</v>
      </c>
    </row>
    <row r="954" spans="1:11">
      <c r="A954" s="7" t="s">
        <v>227</v>
      </c>
      <c r="B954" s="7" t="s">
        <v>228</v>
      </c>
      <c r="C954" s="7" t="s">
        <v>237</v>
      </c>
      <c r="D954" s="7" t="s">
        <v>238</v>
      </c>
      <c r="E954" s="7" t="s">
        <v>65</v>
      </c>
      <c r="F954" s="7" t="s">
        <v>66</v>
      </c>
      <c r="G954" s="7" t="s">
        <v>95</v>
      </c>
      <c r="H954" s="7" t="s">
        <v>96</v>
      </c>
      <c r="I954" s="8">
        <v>1</v>
      </c>
      <c r="J954" s="8">
        <v>153364</v>
      </c>
      <c r="K954" s="8">
        <v>1536364</v>
      </c>
    </row>
    <row r="955" spans="1:11">
      <c r="A955" s="7" t="s">
        <v>227</v>
      </c>
      <c r="B955" s="7" t="s">
        <v>228</v>
      </c>
      <c r="C955" s="7" t="s">
        <v>237</v>
      </c>
      <c r="D955" s="7" t="s">
        <v>238</v>
      </c>
      <c r="E955" s="7" t="s">
        <v>65</v>
      </c>
      <c r="F955" s="7" t="s">
        <v>66</v>
      </c>
      <c r="G955" s="7" t="s">
        <v>67</v>
      </c>
      <c r="H955" s="7" t="s">
        <v>68</v>
      </c>
      <c r="I955" s="8">
        <v>4</v>
      </c>
      <c r="J955" s="8">
        <v>1146636</v>
      </c>
      <c r="K955" s="8">
        <v>11463636</v>
      </c>
    </row>
    <row r="956" spans="1:11">
      <c r="A956" s="7" t="s">
        <v>227</v>
      </c>
      <c r="B956" s="7" t="s">
        <v>228</v>
      </c>
      <c r="C956" s="7" t="s">
        <v>237</v>
      </c>
      <c r="D956" s="7" t="s">
        <v>238</v>
      </c>
      <c r="E956" s="7" t="s">
        <v>65</v>
      </c>
      <c r="F956" s="7" t="s">
        <v>66</v>
      </c>
      <c r="G956" s="7" t="s">
        <v>69</v>
      </c>
      <c r="H956" s="7" t="s">
        <v>36</v>
      </c>
      <c r="I956" s="8">
        <v>6</v>
      </c>
      <c r="J956" s="8">
        <v>583094</v>
      </c>
      <c r="K956" s="8">
        <v>8189364</v>
      </c>
    </row>
    <row r="957" spans="1:11">
      <c r="A957" s="7" t="s">
        <v>227</v>
      </c>
      <c r="B957" s="7" t="s">
        <v>228</v>
      </c>
      <c r="C957" s="7" t="s">
        <v>237</v>
      </c>
      <c r="D957" s="7" t="s">
        <v>238</v>
      </c>
      <c r="E957" s="7" t="s">
        <v>65</v>
      </c>
      <c r="F957" s="7" t="s">
        <v>66</v>
      </c>
      <c r="G957" s="7" t="s">
        <v>70</v>
      </c>
      <c r="H957" s="7" t="s">
        <v>28</v>
      </c>
      <c r="I957" s="8">
        <v>25</v>
      </c>
      <c r="J957" s="8">
        <v>1128956.4117640001</v>
      </c>
      <c r="K957" s="8">
        <v>14068177</v>
      </c>
    </row>
    <row r="958" spans="1:11">
      <c r="A958" s="7" t="s">
        <v>227</v>
      </c>
      <c r="B958" s="7" t="s">
        <v>228</v>
      </c>
      <c r="C958" s="7" t="s">
        <v>237</v>
      </c>
      <c r="D958" s="7" t="s">
        <v>238</v>
      </c>
      <c r="E958" s="7" t="s">
        <v>65</v>
      </c>
      <c r="F958" s="7" t="s">
        <v>66</v>
      </c>
      <c r="G958" s="7" t="s">
        <v>97</v>
      </c>
      <c r="H958" s="7" t="s">
        <v>98</v>
      </c>
      <c r="I958" s="8">
        <v>6</v>
      </c>
      <c r="J958" s="8">
        <v>165816</v>
      </c>
      <c r="K958" s="8">
        <v>2721816</v>
      </c>
    </row>
    <row r="959" spans="1:11">
      <c r="A959" s="7" t="s">
        <v>227</v>
      </c>
      <c r="B959" s="7" t="s">
        <v>228</v>
      </c>
      <c r="C959" s="7" t="s">
        <v>237</v>
      </c>
      <c r="D959" s="7" t="s">
        <v>238</v>
      </c>
      <c r="E959" s="7" t="s">
        <v>65</v>
      </c>
      <c r="F959" s="7" t="s">
        <v>66</v>
      </c>
      <c r="G959" s="7" t="s">
        <v>71</v>
      </c>
      <c r="H959" s="7" t="s">
        <v>72</v>
      </c>
      <c r="I959" s="8">
        <v>23</v>
      </c>
      <c r="J959" s="8">
        <v>698005</v>
      </c>
      <c r="K959" s="8">
        <v>10070005</v>
      </c>
    </row>
    <row r="960" spans="1:11">
      <c r="A960" s="7" t="s">
        <v>227</v>
      </c>
      <c r="B960" s="7" t="s">
        <v>228</v>
      </c>
      <c r="C960" s="7" t="s">
        <v>237</v>
      </c>
      <c r="D960" s="7" t="s">
        <v>238</v>
      </c>
      <c r="E960" s="7" t="s">
        <v>65</v>
      </c>
      <c r="F960" s="7" t="s">
        <v>66</v>
      </c>
      <c r="G960" s="7" t="s">
        <v>73</v>
      </c>
      <c r="H960" s="7" t="s">
        <v>74</v>
      </c>
      <c r="I960" s="8">
        <v>9</v>
      </c>
      <c r="J960" s="8">
        <v>788541</v>
      </c>
      <c r="K960" s="8">
        <v>9864541</v>
      </c>
    </row>
    <row r="961" spans="1:11">
      <c r="A961" s="7" t="s">
        <v>227</v>
      </c>
      <c r="B961" s="7" t="s">
        <v>228</v>
      </c>
      <c r="C961" s="7" t="s">
        <v>237</v>
      </c>
      <c r="D961" s="7" t="s">
        <v>238</v>
      </c>
      <c r="E961" s="7" t="s">
        <v>75</v>
      </c>
      <c r="F961" s="7" t="s">
        <v>76</v>
      </c>
      <c r="G961" s="7" t="s">
        <v>77</v>
      </c>
      <c r="H961" s="7" t="s">
        <v>78</v>
      </c>
      <c r="I961" s="8">
        <v>12</v>
      </c>
      <c r="J961" s="8">
        <v>166528.94997799999</v>
      </c>
      <c r="K961" s="8">
        <v>1278544</v>
      </c>
    </row>
    <row r="962" spans="1:11">
      <c r="A962" s="7" t="s">
        <v>227</v>
      </c>
      <c r="B962" s="7" t="s">
        <v>228</v>
      </c>
      <c r="C962" s="7" t="s">
        <v>237</v>
      </c>
      <c r="D962" s="7" t="s">
        <v>238</v>
      </c>
      <c r="E962" s="7" t="s">
        <v>75</v>
      </c>
      <c r="F962" s="7" t="s">
        <v>76</v>
      </c>
      <c r="G962" s="7" t="s">
        <v>79</v>
      </c>
      <c r="H962" s="7" t="s">
        <v>80</v>
      </c>
      <c r="I962" s="8">
        <v>85</v>
      </c>
      <c r="J962" s="8">
        <v>3316375.339774</v>
      </c>
      <c r="K962" s="8">
        <v>13267363</v>
      </c>
    </row>
    <row r="963" spans="1:11">
      <c r="A963" s="7" t="s">
        <v>227</v>
      </c>
      <c r="B963" s="7" t="s">
        <v>228</v>
      </c>
      <c r="C963" s="7" t="s">
        <v>237</v>
      </c>
      <c r="D963" s="7" t="s">
        <v>238</v>
      </c>
      <c r="E963" s="7" t="s">
        <v>75</v>
      </c>
      <c r="F963" s="7" t="s">
        <v>76</v>
      </c>
      <c r="G963" s="7" t="s">
        <v>81</v>
      </c>
      <c r="H963" s="7" t="s">
        <v>82</v>
      </c>
      <c r="I963" s="8">
        <v>49</v>
      </c>
      <c r="J963" s="8">
        <v>839457.85370199999</v>
      </c>
      <c r="K963" s="8">
        <v>3855457</v>
      </c>
    </row>
    <row r="964" spans="1:11">
      <c r="A964" s="7" t="s">
        <v>227</v>
      </c>
      <c r="B964" s="7" t="s">
        <v>228</v>
      </c>
      <c r="C964" s="7" t="s">
        <v>237</v>
      </c>
      <c r="D964" s="7" t="s">
        <v>238</v>
      </c>
      <c r="E964" s="7" t="s">
        <v>75</v>
      </c>
      <c r="F964" s="7" t="s">
        <v>76</v>
      </c>
      <c r="G964" s="7" t="s">
        <v>87</v>
      </c>
      <c r="H964" s="7" t="s">
        <v>88</v>
      </c>
      <c r="I964" s="8">
        <v>3</v>
      </c>
      <c r="J964" s="8">
        <v>34637</v>
      </c>
      <c r="K964" s="8">
        <v>153637</v>
      </c>
    </row>
    <row r="965" spans="1:11">
      <c r="A965" s="7" t="s">
        <v>227</v>
      </c>
      <c r="B965" s="7" t="s">
        <v>228</v>
      </c>
      <c r="C965" s="7" t="s">
        <v>237</v>
      </c>
      <c r="D965" s="7" t="s">
        <v>238</v>
      </c>
      <c r="E965" s="7" t="s">
        <v>83</v>
      </c>
      <c r="F965" s="7" t="s">
        <v>84</v>
      </c>
      <c r="G965" s="7" t="s">
        <v>77</v>
      </c>
      <c r="H965" s="7" t="s">
        <v>78</v>
      </c>
      <c r="I965" s="8">
        <v>22</v>
      </c>
      <c r="J965" s="8">
        <v>300265</v>
      </c>
      <c r="K965" s="8">
        <v>840379</v>
      </c>
    </row>
    <row r="966" spans="1:11">
      <c r="A966" s="7" t="s">
        <v>227</v>
      </c>
      <c r="B966" s="7" t="s">
        <v>228</v>
      </c>
      <c r="C966" s="7" t="s">
        <v>237</v>
      </c>
      <c r="D966" s="7" t="s">
        <v>238</v>
      </c>
      <c r="E966" s="7" t="s">
        <v>83</v>
      </c>
      <c r="F966" s="7" t="s">
        <v>84</v>
      </c>
      <c r="G966" s="7" t="s">
        <v>79</v>
      </c>
      <c r="H966" s="7" t="s">
        <v>80</v>
      </c>
      <c r="I966" s="8">
        <v>64</v>
      </c>
      <c r="J966" s="8">
        <v>731035.85080100002</v>
      </c>
      <c r="K966" s="8">
        <v>1379838</v>
      </c>
    </row>
    <row r="967" spans="1:11">
      <c r="A967" s="7" t="s">
        <v>227</v>
      </c>
      <c r="B967" s="7" t="s">
        <v>228</v>
      </c>
      <c r="C967" s="7" t="s">
        <v>237</v>
      </c>
      <c r="D967" s="7" t="s">
        <v>238</v>
      </c>
      <c r="E967" s="7" t="s">
        <v>83</v>
      </c>
      <c r="F967" s="7" t="s">
        <v>84</v>
      </c>
      <c r="G967" s="7" t="s">
        <v>81</v>
      </c>
      <c r="H967" s="7" t="s">
        <v>82</v>
      </c>
      <c r="I967" s="8">
        <v>91</v>
      </c>
      <c r="J967" s="8">
        <v>1127712</v>
      </c>
      <c r="K967" s="8">
        <v>2277912</v>
      </c>
    </row>
    <row r="968" spans="1:11">
      <c r="A968" s="7" t="s">
        <v>227</v>
      </c>
      <c r="B968" s="7" t="s">
        <v>228</v>
      </c>
      <c r="C968" s="7" t="s">
        <v>237</v>
      </c>
      <c r="D968" s="7" t="s">
        <v>238</v>
      </c>
      <c r="E968" s="7" t="s">
        <v>83</v>
      </c>
      <c r="F968" s="7" t="s">
        <v>84</v>
      </c>
      <c r="G968" s="7" t="s">
        <v>101</v>
      </c>
      <c r="H968" s="7" t="s">
        <v>102</v>
      </c>
      <c r="I968" s="8">
        <v>1</v>
      </c>
      <c r="J968" s="8">
        <v>29482</v>
      </c>
      <c r="K968" s="8">
        <v>118182</v>
      </c>
    </row>
    <row r="969" spans="1:11">
      <c r="A969" s="7" t="s">
        <v>227</v>
      </c>
      <c r="B969" s="7" t="s">
        <v>228</v>
      </c>
      <c r="C969" s="7" t="s">
        <v>237</v>
      </c>
      <c r="D969" s="7" t="s">
        <v>238</v>
      </c>
      <c r="E969" s="7" t="s">
        <v>83</v>
      </c>
      <c r="F969" s="7" t="s">
        <v>84</v>
      </c>
      <c r="G969" s="7" t="s">
        <v>85</v>
      </c>
      <c r="H969" s="7" t="s">
        <v>86</v>
      </c>
      <c r="I969" s="8">
        <v>38</v>
      </c>
      <c r="J969" s="8">
        <v>187480</v>
      </c>
      <c r="K969" s="8">
        <v>528180</v>
      </c>
    </row>
    <row r="970" spans="1:11">
      <c r="A970" s="7" t="s">
        <v>227</v>
      </c>
      <c r="B970" s="7" t="s">
        <v>228</v>
      </c>
      <c r="C970" s="7" t="s">
        <v>237</v>
      </c>
      <c r="D970" s="7" t="s">
        <v>238</v>
      </c>
      <c r="E970" s="7" t="s">
        <v>83</v>
      </c>
      <c r="F970" s="7" t="s">
        <v>84</v>
      </c>
      <c r="G970" s="7" t="s">
        <v>107</v>
      </c>
      <c r="H970" s="7" t="s">
        <v>108</v>
      </c>
      <c r="I970" s="8">
        <v>2</v>
      </c>
      <c r="J970" s="8">
        <v>18127</v>
      </c>
      <c r="K970" s="8">
        <v>49727</v>
      </c>
    </row>
    <row r="971" spans="1:11">
      <c r="A971" s="7" t="s">
        <v>227</v>
      </c>
      <c r="B971" s="7" t="s">
        <v>228</v>
      </c>
      <c r="C971" s="7" t="s">
        <v>237</v>
      </c>
      <c r="D971" s="7" t="s">
        <v>238</v>
      </c>
      <c r="E971" s="7" t="s">
        <v>83</v>
      </c>
      <c r="F971" s="7" t="s">
        <v>84</v>
      </c>
      <c r="G971" s="7" t="s">
        <v>87</v>
      </c>
      <c r="H971" s="7" t="s">
        <v>88</v>
      </c>
      <c r="I971" s="8">
        <v>40</v>
      </c>
      <c r="J971" s="8">
        <v>288314</v>
      </c>
      <c r="K971" s="8">
        <v>711542</v>
      </c>
    </row>
    <row r="972" spans="1:11">
      <c r="A972" s="7" t="s">
        <v>227</v>
      </c>
      <c r="B972" s="7" t="s">
        <v>228</v>
      </c>
      <c r="C972" s="7" t="s">
        <v>237</v>
      </c>
      <c r="D972" s="7" t="s">
        <v>238</v>
      </c>
      <c r="E972" s="7" t="s">
        <v>92</v>
      </c>
      <c r="F972" s="7" t="s">
        <v>92</v>
      </c>
      <c r="G972" s="7" t="s">
        <v>92</v>
      </c>
      <c r="H972" s="7" t="s">
        <v>92</v>
      </c>
      <c r="I972" s="8">
        <v>-29402</v>
      </c>
      <c r="J972" s="8">
        <v>-534582</v>
      </c>
      <c r="K972" s="8">
        <v>-534582</v>
      </c>
    </row>
    <row r="973" spans="1:11">
      <c r="A973" s="7" t="s">
        <v>227</v>
      </c>
      <c r="B973" s="7" t="s">
        <v>228</v>
      </c>
      <c r="C973" s="7" t="s">
        <v>239</v>
      </c>
      <c r="D973" s="7" t="s">
        <v>240</v>
      </c>
      <c r="E973" s="7" t="s">
        <v>65</v>
      </c>
      <c r="F973" s="7" t="s">
        <v>66</v>
      </c>
      <c r="G973" s="7" t="s">
        <v>67</v>
      </c>
      <c r="H973" s="7" t="s">
        <v>68</v>
      </c>
      <c r="I973" s="8">
        <v>1</v>
      </c>
      <c r="J973" s="8">
        <v>290000</v>
      </c>
      <c r="K973" s="8">
        <v>2900000</v>
      </c>
    </row>
    <row r="974" spans="1:11">
      <c r="A974" s="7" t="s">
        <v>227</v>
      </c>
      <c r="B974" s="7" t="s">
        <v>228</v>
      </c>
      <c r="C974" s="7" t="s">
        <v>239</v>
      </c>
      <c r="D974" s="7" t="s">
        <v>240</v>
      </c>
      <c r="E974" s="7" t="s">
        <v>65</v>
      </c>
      <c r="F974" s="7" t="s">
        <v>66</v>
      </c>
      <c r="G974" s="7" t="s">
        <v>69</v>
      </c>
      <c r="H974" s="7" t="s">
        <v>36</v>
      </c>
      <c r="I974" s="8">
        <v>12</v>
      </c>
      <c r="J974" s="8">
        <v>1180327</v>
      </c>
      <c r="K974" s="8">
        <v>15618177</v>
      </c>
    </row>
    <row r="975" spans="1:11">
      <c r="A975" s="7" t="s">
        <v>227</v>
      </c>
      <c r="B975" s="7" t="s">
        <v>228</v>
      </c>
      <c r="C975" s="7" t="s">
        <v>239</v>
      </c>
      <c r="D975" s="7" t="s">
        <v>240</v>
      </c>
      <c r="E975" s="7" t="s">
        <v>65</v>
      </c>
      <c r="F975" s="7" t="s">
        <v>66</v>
      </c>
      <c r="G975" s="7" t="s">
        <v>70</v>
      </c>
      <c r="H975" s="7" t="s">
        <v>28</v>
      </c>
      <c r="I975" s="8">
        <v>25</v>
      </c>
      <c r="J975" s="8">
        <v>1104547</v>
      </c>
      <c r="K975" s="8">
        <v>13804547</v>
      </c>
    </row>
    <row r="976" spans="1:11">
      <c r="A976" s="7" t="s">
        <v>227</v>
      </c>
      <c r="B976" s="7" t="s">
        <v>228</v>
      </c>
      <c r="C976" s="7" t="s">
        <v>239</v>
      </c>
      <c r="D976" s="7" t="s">
        <v>240</v>
      </c>
      <c r="E976" s="7" t="s">
        <v>65</v>
      </c>
      <c r="F976" s="7" t="s">
        <v>66</v>
      </c>
      <c r="G976" s="7" t="s">
        <v>97</v>
      </c>
      <c r="H976" s="7" t="s">
        <v>98</v>
      </c>
      <c r="I976" s="8">
        <v>4</v>
      </c>
      <c r="J976" s="8">
        <v>110545</v>
      </c>
      <c r="K976" s="8">
        <v>1814545</v>
      </c>
    </row>
    <row r="977" spans="1:11">
      <c r="A977" s="7" t="s">
        <v>227</v>
      </c>
      <c r="B977" s="7" t="s">
        <v>228</v>
      </c>
      <c r="C977" s="7" t="s">
        <v>239</v>
      </c>
      <c r="D977" s="7" t="s">
        <v>240</v>
      </c>
      <c r="E977" s="7" t="s">
        <v>65</v>
      </c>
      <c r="F977" s="7" t="s">
        <v>66</v>
      </c>
      <c r="G977" s="7" t="s">
        <v>71</v>
      </c>
      <c r="H977" s="7" t="s">
        <v>72</v>
      </c>
      <c r="I977" s="8">
        <v>29</v>
      </c>
      <c r="J977" s="8">
        <v>900642</v>
      </c>
      <c r="K977" s="8">
        <v>12973642</v>
      </c>
    </row>
    <row r="978" spans="1:11">
      <c r="A978" s="7" t="s">
        <v>227</v>
      </c>
      <c r="B978" s="7" t="s">
        <v>228</v>
      </c>
      <c r="C978" s="7" t="s">
        <v>239</v>
      </c>
      <c r="D978" s="7" t="s">
        <v>240</v>
      </c>
      <c r="E978" s="7" t="s">
        <v>65</v>
      </c>
      <c r="F978" s="7" t="s">
        <v>66</v>
      </c>
      <c r="G978" s="7" t="s">
        <v>73</v>
      </c>
      <c r="H978" s="7" t="s">
        <v>74</v>
      </c>
      <c r="I978" s="8">
        <v>6</v>
      </c>
      <c r="J978" s="8">
        <v>487542</v>
      </c>
      <c r="K978" s="8">
        <v>6094542</v>
      </c>
    </row>
    <row r="979" spans="1:11">
      <c r="A979" s="7" t="s">
        <v>227</v>
      </c>
      <c r="B979" s="7" t="s">
        <v>228</v>
      </c>
      <c r="C979" s="7" t="s">
        <v>239</v>
      </c>
      <c r="D979" s="7" t="s">
        <v>240</v>
      </c>
      <c r="E979" s="7" t="s">
        <v>75</v>
      </c>
      <c r="F979" s="7" t="s">
        <v>76</v>
      </c>
      <c r="G979" s="7" t="s">
        <v>77</v>
      </c>
      <c r="H979" s="7" t="s">
        <v>78</v>
      </c>
      <c r="I979" s="8">
        <v>8</v>
      </c>
      <c r="J979" s="8">
        <v>116908.990445</v>
      </c>
      <c r="K979" s="8">
        <v>892909</v>
      </c>
    </row>
    <row r="980" spans="1:11">
      <c r="A980" s="7" t="s">
        <v>227</v>
      </c>
      <c r="B980" s="7" t="s">
        <v>228</v>
      </c>
      <c r="C980" s="7" t="s">
        <v>239</v>
      </c>
      <c r="D980" s="7" t="s">
        <v>240</v>
      </c>
      <c r="E980" s="7" t="s">
        <v>75</v>
      </c>
      <c r="F980" s="7" t="s">
        <v>76</v>
      </c>
      <c r="G980" s="7" t="s">
        <v>79</v>
      </c>
      <c r="H980" s="7" t="s">
        <v>80</v>
      </c>
      <c r="I980" s="8">
        <v>91</v>
      </c>
      <c r="J980" s="8">
        <v>3756394.8391089998</v>
      </c>
      <c r="K980" s="8">
        <v>15118364</v>
      </c>
    </row>
    <row r="981" spans="1:11">
      <c r="A981" s="7" t="s">
        <v>227</v>
      </c>
      <c r="B981" s="7" t="s">
        <v>228</v>
      </c>
      <c r="C981" s="7" t="s">
        <v>239</v>
      </c>
      <c r="D981" s="7" t="s">
        <v>240</v>
      </c>
      <c r="E981" s="7" t="s">
        <v>75</v>
      </c>
      <c r="F981" s="7" t="s">
        <v>76</v>
      </c>
      <c r="G981" s="7" t="s">
        <v>81</v>
      </c>
      <c r="H981" s="7" t="s">
        <v>82</v>
      </c>
      <c r="I981" s="8">
        <v>51</v>
      </c>
      <c r="J981" s="8">
        <v>797277.07273799996</v>
      </c>
      <c r="K981" s="8">
        <v>4567277</v>
      </c>
    </row>
    <row r="982" spans="1:11">
      <c r="A982" s="7" t="s">
        <v>227</v>
      </c>
      <c r="B982" s="7" t="s">
        <v>228</v>
      </c>
      <c r="C982" s="7" t="s">
        <v>239</v>
      </c>
      <c r="D982" s="7" t="s">
        <v>240</v>
      </c>
      <c r="E982" s="7" t="s">
        <v>75</v>
      </c>
      <c r="F982" s="7" t="s">
        <v>76</v>
      </c>
      <c r="G982" s="7" t="s">
        <v>99</v>
      </c>
      <c r="H982" s="7" t="s">
        <v>100</v>
      </c>
      <c r="I982" s="8">
        <v>3</v>
      </c>
      <c r="J982" s="8">
        <v>34636</v>
      </c>
      <c r="K982" s="8">
        <v>133636</v>
      </c>
    </row>
    <row r="983" spans="1:11">
      <c r="A983" s="7" t="s">
        <v>227</v>
      </c>
      <c r="B983" s="7" t="s">
        <v>228</v>
      </c>
      <c r="C983" s="7" t="s">
        <v>239</v>
      </c>
      <c r="D983" s="7" t="s">
        <v>240</v>
      </c>
      <c r="E983" s="7" t="s">
        <v>75</v>
      </c>
      <c r="F983" s="7" t="s">
        <v>76</v>
      </c>
      <c r="G983" s="7" t="s">
        <v>87</v>
      </c>
      <c r="H983" s="7" t="s">
        <v>88</v>
      </c>
      <c r="I983" s="8">
        <v>3</v>
      </c>
      <c r="J983" s="8">
        <v>45909</v>
      </c>
      <c r="K983" s="8">
        <v>220909</v>
      </c>
    </row>
    <row r="984" spans="1:11">
      <c r="A984" s="7" t="s">
        <v>227</v>
      </c>
      <c r="B984" s="7" t="s">
        <v>228</v>
      </c>
      <c r="C984" s="7" t="s">
        <v>239</v>
      </c>
      <c r="D984" s="7" t="s">
        <v>240</v>
      </c>
      <c r="E984" s="7" t="s">
        <v>83</v>
      </c>
      <c r="F984" s="7" t="s">
        <v>84</v>
      </c>
      <c r="G984" s="7" t="s">
        <v>77</v>
      </c>
      <c r="H984" s="7" t="s">
        <v>78</v>
      </c>
      <c r="I984" s="8">
        <v>16</v>
      </c>
      <c r="J984" s="8">
        <v>177327</v>
      </c>
      <c r="K984" s="8">
        <v>601473</v>
      </c>
    </row>
    <row r="985" spans="1:11">
      <c r="A985" s="7" t="s">
        <v>227</v>
      </c>
      <c r="B985" s="7" t="s">
        <v>228</v>
      </c>
      <c r="C985" s="7" t="s">
        <v>239</v>
      </c>
      <c r="D985" s="7" t="s">
        <v>240</v>
      </c>
      <c r="E985" s="7" t="s">
        <v>83</v>
      </c>
      <c r="F985" s="7" t="s">
        <v>84</v>
      </c>
      <c r="G985" s="7" t="s">
        <v>79</v>
      </c>
      <c r="H985" s="7" t="s">
        <v>80</v>
      </c>
      <c r="I985" s="8">
        <v>74</v>
      </c>
      <c r="J985" s="8">
        <v>837066.08449000004</v>
      </c>
      <c r="K985" s="8">
        <v>1653184</v>
      </c>
    </row>
    <row r="986" spans="1:11">
      <c r="A986" s="7" t="s">
        <v>227</v>
      </c>
      <c r="B986" s="7" t="s">
        <v>228</v>
      </c>
      <c r="C986" s="7" t="s">
        <v>239</v>
      </c>
      <c r="D986" s="7" t="s">
        <v>240</v>
      </c>
      <c r="E986" s="7" t="s">
        <v>83</v>
      </c>
      <c r="F986" s="7" t="s">
        <v>84</v>
      </c>
      <c r="G986" s="7" t="s">
        <v>81</v>
      </c>
      <c r="H986" s="7" t="s">
        <v>82</v>
      </c>
      <c r="I986" s="8">
        <v>100</v>
      </c>
      <c r="J986" s="8">
        <v>1205755</v>
      </c>
      <c r="K986" s="8">
        <v>2454455</v>
      </c>
    </row>
    <row r="987" spans="1:11">
      <c r="A987" s="7" t="s">
        <v>227</v>
      </c>
      <c r="B987" s="7" t="s">
        <v>228</v>
      </c>
      <c r="C987" s="7" t="s">
        <v>239</v>
      </c>
      <c r="D987" s="7" t="s">
        <v>240</v>
      </c>
      <c r="E987" s="7" t="s">
        <v>83</v>
      </c>
      <c r="F987" s="7" t="s">
        <v>84</v>
      </c>
      <c r="G987" s="7" t="s">
        <v>101</v>
      </c>
      <c r="H987" s="7" t="s">
        <v>102</v>
      </c>
      <c r="I987" s="8">
        <v>1</v>
      </c>
      <c r="J987" s="8">
        <v>13336</v>
      </c>
      <c r="K987" s="8">
        <v>53636</v>
      </c>
    </row>
    <row r="988" spans="1:11">
      <c r="A988" s="7" t="s">
        <v>227</v>
      </c>
      <c r="B988" s="7" t="s">
        <v>228</v>
      </c>
      <c r="C988" s="7" t="s">
        <v>239</v>
      </c>
      <c r="D988" s="7" t="s">
        <v>240</v>
      </c>
      <c r="E988" s="7" t="s">
        <v>83</v>
      </c>
      <c r="F988" s="7" t="s">
        <v>84</v>
      </c>
      <c r="G988" s="7" t="s">
        <v>85</v>
      </c>
      <c r="H988" s="7" t="s">
        <v>86</v>
      </c>
      <c r="I988" s="8">
        <v>54</v>
      </c>
      <c r="J988" s="8">
        <v>296131</v>
      </c>
      <c r="K988" s="8">
        <v>788813</v>
      </c>
    </row>
    <row r="989" spans="1:11">
      <c r="A989" s="7" t="s">
        <v>227</v>
      </c>
      <c r="B989" s="7" t="s">
        <v>228</v>
      </c>
      <c r="C989" s="7" t="s">
        <v>239</v>
      </c>
      <c r="D989" s="7" t="s">
        <v>240</v>
      </c>
      <c r="E989" s="7" t="s">
        <v>83</v>
      </c>
      <c r="F989" s="7" t="s">
        <v>84</v>
      </c>
      <c r="G989" s="7" t="s">
        <v>107</v>
      </c>
      <c r="H989" s="7" t="s">
        <v>108</v>
      </c>
      <c r="I989" s="8">
        <v>1</v>
      </c>
      <c r="J989" s="8">
        <v>9045</v>
      </c>
      <c r="K989" s="8">
        <v>22545</v>
      </c>
    </row>
    <row r="990" spans="1:11">
      <c r="A990" s="7" t="s">
        <v>227</v>
      </c>
      <c r="B990" s="7" t="s">
        <v>228</v>
      </c>
      <c r="C990" s="7" t="s">
        <v>239</v>
      </c>
      <c r="D990" s="7" t="s">
        <v>240</v>
      </c>
      <c r="E990" s="7" t="s">
        <v>83</v>
      </c>
      <c r="F990" s="7" t="s">
        <v>84</v>
      </c>
      <c r="G990" s="7" t="s">
        <v>87</v>
      </c>
      <c r="H990" s="7" t="s">
        <v>88</v>
      </c>
      <c r="I990" s="8">
        <v>23</v>
      </c>
      <c r="J990" s="8">
        <v>154115</v>
      </c>
      <c r="K990" s="8">
        <v>352815</v>
      </c>
    </row>
    <row r="991" spans="1:11">
      <c r="A991" s="7" t="s">
        <v>227</v>
      </c>
      <c r="B991" s="7" t="s">
        <v>228</v>
      </c>
      <c r="C991" s="7" t="s">
        <v>239</v>
      </c>
      <c r="D991" s="7" t="s">
        <v>240</v>
      </c>
      <c r="E991" s="7" t="s">
        <v>92</v>
      </c>
      <c r="F991" s="7" t="s">
        <v>92</v>
      </c>
      <c r="G991" s="7" t="s">
        <v>92</v>
      </c>
      <c r="H991" s="7" t="s">
        <v>92</v>
      </c>
      <c r="I991" s="8">
        <v>-5545</v>
      </c>
      <c r="J991" s="8">
        <v>-100818</v>
      </c>
      <c r="K991" s="8">
        <v>-100818</v>
      </c>
    </row>
    <row r="992" spans="1:11">
      <c r="A992" s="7" t="s">
        <v>227</v>
      </c>
      <c r="B992" s="7" t="s">
        <v>228</v>
      </c>
      <c r="C992" s="7" t="s">
        <v>241</v>
      </c>
      <c r="D992" s="7" t="s">
        <v>242</v>
      </c>
      <c r="E992" s="7" t="s">
        <v>65</v>
      </c>
      <c r="F992" s="7" t="s">
        <v>66</v>
      </c>
      <c r="G992" s="7" t="s">
        <v>95</v>
      </c>
      <c r="H992" s="7" t="s">
        <v>96</v>
      </c>
      <c r="I992" s="8">
        <v>1</v>
      </c>
      <c r="J992" s="8">
        <v>176636</v>
      </c>
      <c r="K992" s="8">
        <v>1763636</v>
      </c>
    </row>
    <row r="993" spans="1:11">
      <c r="A993" s="7" t="s">
        <v>227</v>
      </c>
      <c r="B993" s="7" t="s">
        <v>228</v>
      </c>
      <c r="C993" s="7" t="s">
        <v>241</v>
      </c>
      <c r="D993" s="7" t="s">
        <v>242</v>
      </c>
      <c r="E993" s="7" t="s">
        <v>65</v>
      </c>
      <c r="F993" s="7" t="s">
        <v>66</v>
      </c>
      <c r="G993" s="7" t="s">
        <v>67</v>
      </c>
      <c r="H993" s="7" t="s">
        <v>68</v>
      </c>
      <c r="I993" s="8">
        <v>2</v>
      </c>
      <c r="J993" s="8">
        <v>625546</v>
      </c>
      <c r="K993" s="8">
        <v>6254546</v>
      </c>
    </row>
    <row r="994" spans="1:11">
      <c r="A994" s="7" t="s">
        <v>227</v>
      </c>
      <c r="B994" s="7" t="s">
        <v>228</v>
      </c>
      <c r="C994" s="7" t="s">
        <v>241</v>
      </c>
      <c r="D994" s="7" t="s">
        <v>242</v>
      </c>
      <c r="E994" s="7" t="s">
        <v>65</v>
      </c>
      <c r="F994" s="7" t="s">
        <v>66</v>
      </c>
      <c r="G994" s="7" t="s">
        <v>69</v>
      </c>
      <c r="H994" s="7" t="s">
        <v>36</v>
      </c>
      <c r="I994" s="8">
        <v>10</v>
      </c>
      <c r="J994" s="8">
        <v>894662</v>
      </c>
      <c r="K994" s="8">
        <v>11836362</v>
      </c>
    </row>
    <row r="995" spans="1:11">
      <c r="A995" s="7" t="s">
        <v>227</v>
      </c>
      <c r="B995" s="7" t="s">
        <v>228</v>
      </c>
      <c r="C995" s="7" t="s">
        <v>241</v>
      </c>
      <c r="D995" s="7" t="s">
        <v>242</v>
      </c>
      <c r="E995" s="7" t="s">
        <v>65</v>
      </c>
      <c r="F995" s="7" t="s">
        <v>66</v>
      </c>
      <c r="G995" s="7" t="s">
        <v>70</v>
      </c>
      <c r="H995" s="7" t="s">
        <v>28</v>
      </c>
      <c r="I995" s="8">
        <v>16</v>
      </c>
      <c r="J995" s="8">
        <v>602366</v>
      </c>
      <c r="K995" s="8">
        <v>8776366</v>
      </c>
    </row>
    <row r="996" spans="1:11">
      <c r="A996" s="7" t="s">
        <v>227</v>
      </c>
      <c r="B996" s="7" t="s">
        <v>228</v>
      </c>
      <c r="C996" s="7" t="s">
        <v>241</v>
      </c>
      <c r="D996" s="7" t="s">
        <v>242</v>
      </c>
      <c r="E996" s="7" t="s">
        <v>65</v>
      </c>
      <c r="F996" s="7" t="s">
        <v>66</v>
      </c>
      <c r="G996" s="7" t="s">
        <v>97</v>
      </c>
      <c r="H996" s="7" t="s">
        <v>98</v>
      </c>
      <c r="I996" s="8">
        <v>3</v>
      </c>
      <c r="J996" s="8">
        <v>82908</v>
      </c>
      <c r="K996" s="8">
        <v>1360908</v>
      </c>
    </row>
    <row r="997" spans="1:11">
      <c r="A997" s="7" t="s">
        <v>227</v>
      </c>
      <c r="B997" s="7" t="s">
        <v>228</v>
      </c>
      <c r="C997" s="7" t="s">
        <v>241</v>
      </c>
      <c r="D997" s="7" t="s">
        <v>242</v>
      </c>
      <c r="E997" s="7" t="s">
        <v>65</v>
      </c>
      <c r="F997" s="7" t="s">
        <v>66</v>
      </c>
      <c r="G997" s="7" t="s">
        <v>71</v>
      </c>
      <c r="H997" s="7" t="s">
        <v>72</v>
      </c>
      <c r="I997" s="8">
        <v>26</v>
      </c>
      <c r="J997" s="8">
        <v>848913</v>
      </c>
      <c r="K997" s="8">
        <v>12230913</v>
      </c>
    </row>
    <row r="998" spans="1:11">
      <c r="A998" s="7" t="s">
        <v>227</v>
      </c>
      <c r="B998" s="7" t="s">
        <v>228</v>
      </c>
      <c r="C998" s="7" t="s">
        <v>241</v>
      </c>
      <c r="D998" s="7" t="s">
        <v>242</v>
      </c>
      <c r="E998" s="7" t="s">
        <v>65</v>
      </c>
      <c r="F998" s="7" t="s">
        <v>66</v>
      </c>
      <c r="G998" s="7" t="s">
        <v>73</v>
      </c>
      <c r="H998" s="7" t="s">
        <v>74</v>
      </c>
      <c r="I998" s="8">
        <v>8</v>
      </c>
      <c r="J998" s="8">
        <v>747268</v>
      </c>
      <c r="K998" s="8">
        <v>9347268</v>
      </c>
    </row>
    <row r="999" spans="1:11">
      <c r="A999" s="7" t="s">
        <v>227</v>
      </c>
      <c r="B999" s="7" t="s">
        <v>228</v>
      </c>
      <c r="C999" s="7" t="s">
        <v>241</v>
      </c>
      <c r="D999" s="7" t="s">
        <v>242</v>
      </c>
      <c r="E999" s="7" t="s">
        <v>75</v>
      </c>
      <c r="F999" s="7" t="s">
        <v>76</v>
      </c>
      <c r="G999" s="7" t="s">
        <v>77</v>
      </c>
      <c r="H999" s="7" t="s">
        <v>78</v>
      </c>
      <c r="I999" s="8">
        <v>7</v>
      </c>
      <c r="J999" s="8">
        <v>104907.99019700001</v>
      </c>
      <c r="K999" s="8">
        <v>802908</v>
      </c>
    </row>
    <row r="1000" spans="1:11">
      <c r="A1000" s="7" t="s">
        <v>227</v>
      </c>
      <c r="B1000" s="7" t="s">
        <v>228</v>
      </c>
      <c r="C1000" s="7" t="s">
        <v>241</v>
      </c>
      <c r="D1000" s="7" t="s">
        <v>242</v>
      </c>
      <c r="E1000" s="7" t="s">
        <v>75</v>
      </c>
      <c r="F1000" s="7" t="s">
        <v>76</v>
      </c>
      <c r="G1000" s="7" t="s">
        <v>79</v>
      </c>
      <c r="H1000" s="7" t="s">
        <v>80</v>
      </c>
      <c r="I1000" s="8">
        <v>115</v>
      </c>
      <c r="J1000" s="8">
        <v>4767776.4250259995</v>
      </c>
      <c r="K1000" s="8">
        <v>19126544</v>
      </c>
    </row>
    <row r="1001" spans="1:11">
      <c r="A1001" s="7" t="s">
        <v>227</v>
      </c>
      <c r="B1001" s="7" t="s">
        <v>228</v>
      </c>
      <c r="C1001" s="7" t="s">
        <v>241</v>
      </c>
      <c r="D1001" s="7" t="s">
        <v>242</v>
      </c>
      <c r="E1001" s="7" t="s">
        <v>75</v>
      </c>
      <c r="F1001" s="7" t="s">
        <v>76</v>
      </c>
      <c r="G1001" s="7" t="s">
        <v>81</v>
      </c>
      <c r="H1001" s="7" t="s">
        <v>82</v>
      </c>
      <c r="I1001" s="8">
        <v>46</v>
      </c>
      <c r="J1001" s="8">
        <v>676823.03651799995</v>
      </c>
      <c r="K1001" s="8">
        <v>3441823</v>
      </c>
    </row>
    <row r="1002" spans="1:11">
      <c r="A1002" s="7" t="s">
        <v>227</v>
      </c>
      <c r="B1002" s="7" t="s">
        <v>228</v>
      </c>
      <c r="C1002" s="7" t="s">
        <v>241</v>
      </c>
      <c r="D1002" s="7" t="s">
        <v>242</v>
      </c>
      <c r="E1002" s="7" t="s">
        <v>75</v>
      </c>
      <c r="F1002" s="7" t="s">
        <v>76</v>
      </c>
      <c r="G1002" s="7" t="s">
        <v>87</v>
      </c>
      <c r="H1002" s="7" t="s">
        <v>88</v>
      </c>
      <c r="I1002" s="8">
        <v>6</v>
      </c>
      <c r="J1002" s="8">
        <v>101910</v>
      </c>
      <c r="K1002" s="8">
        <v>490910</v>
      </c>
    </row>
    <row r="1003" spans="1:11">
      <c r="A1003" s="7" t="s">
        <v>227</v>
      </c>
      <c r="B1003" s="7" t="s">
        <v>228</v>
      </c>
      <c r="C1003" s="7" t="s">
        <v>241</v>
      </c>
      <c r="D1003" s="7" t="s">
        <v>242</v>
      </c>
      <c r="E1003" s="7" t="s">
        <v>83</v>
      </c>
      <c r="F1003" s="7" t="s">
        <v>84</v>
      </c>
      <c r="G1003" s="7" t="s">
        <v>77</v>
      </c>
      <c r="H1003" s="7" t="s">
        <v>78</v>
      </c>
      <c r="I1003" s="8">
        <v>25</v>
      </c>
      <c r="J1003" s="8">
        <v>205544</v>
      </c>
      <c r="K1003" s="8">
        <v>615544</v>
      </c>
    </row>
    <row r="1004" spans="1:11">
      <c r="A1004" s="7" t="s">
        <v>227</v>
      </c>
      <c r="B1004" s="7" t="s">
        <v>228</v>
      </c>
      <c r="C1004" s="7" t="s">
        <v>241</v>
      </c>
      <c r="D1004" s="7" t="s">
        <v>242</v>
      </c>
      <c r="E1004" s="7" t="s">
        <v>83</v>
      </c>
      <c r="F1004" s="7" t="s">
        <v>84</v>
      </c>
      <c r="G1004" s="7" t="s">
        <v>79</v>
      </c>
      <c r="H1004" s="7" t="s">
        <v>80</v>
      </c>
      <c r="I1004" s="8">
        <v>66</v>
      </c>
      <c r="J1004" s="8">
        <v>736443.35389300005</v>
      </c>
      <c r="K1004" s="8">
        <v>1494193</v>
      </c>
    </row>
    <row r="1005" spans="1:11">
      <c r="A1005" s="7" t="s">
        <v>227</v>
      </c>
      <c r="B1005" s="7" t="s">
        <v>228</v>
      </c>
      <c r="C1005" s="7" t="s">
        <v>241</v>
      </c>
      <c r="D1005" s="7" t="s">
        <v>242</v>
      </c>
      <c r="E1005" s="7" t="s">
        <v>83</v>
      </c>
      <c r="F1005" s="7" t="s">
        <v>84</v>
      </c>
      <c r="G1005" s="7" t="s">
        <v>81</v>
      </c>
      <c r="H1005" s="7" t="s">
        <v>82</v>
      </c>
      <c r="I1005" s="8">
        <v>84</v>
      </c>
      <c r="J1005" s="8">
        <v>1047346</v>
      </c>
      <c r="K1005" s="8">
        <v>2198546</v>
      </c>
    </row>
    <row r="1006" spans="1:11">
      <c r="A1006" s="7" t="s">
        <v>227</v>
      </c>
      <c r="B1006" s="7" t="s">
        <v>228</v>
      </c>
      <c r="C1006" s="7" t="s">
        <v>241</v>
      </c>
      <c r="D1006" s="7" t="s">
        <v>242</v>
      </c>
      <c r="E1006" s="7" t="s">
        <v>83</v>
      </c>
      <c r="F1006" s="7" t="s">
        <v>84</v>
      </c>
      <c r="G1006" s="7" t="s">
        <v>85</v>
      </c>
      <c r="H1006" s="7" t="s">
        <v>86</v>
      </c>
      <c r="I1006" s="8">
        <v>76</v>
      </c>
      <c r="J1006" s="8">
        <v>389859</v>
      </c>
      <c r="K1006" s="8">
        <v>1024083</v>
      </c>
    </row>
    <row r="1007" spans="1:11">
      <c r="A1007" s="7" t="s">
        <v>227</v>
      </c>
      <c r="B1007" s="7" t="s">
        <v>228</v>
      </c>
      <c r="C1007" s="7" t="s">
        <v>241</v>
      </c>
      <c r="D1007" s="7" t="s">
        <v>242</v>
      </c>
      <c r="E1007" s="7" t="s">
        <v>83</v>
      </c>
      <c r="F1007" s="7" t="s">
        <v>84</v>
      </c>
      <c r="G1007" s="7" t="s">
        <v>107</v>
      </c>
      <c r="H1007" s="7" t="s">
        <v>108</v>
      </c>
      <c r="I1007" s="8">
        <v>1</v>
      </c>
      <c r="J1007" s="8">
        <v>12682</v>
      </c>
      <c r="K1007" s="8">
        <v>36182</v>
      </c>
    </row>
    <row r="1008" spans="1:11">
      <c r="A1008" s="7" t="s">
        <v>227</v>
      </c>
      <c r="B1008" s="7" t="s">
        <v>228</v>
      </c>
      <c r="C1008" s="7" t="s">
        <v>241</v>
      </c>
      <c r="D1008" s="7" t="s">
        <v>242</v>
      </c>
      <c r="E1008" s="7" t="s">
        <v>83</v>
      </c>
      <c r="F1008" s="7" t="s">
        <v>84</v>
      </c>
      <c r="G1008" s="7" t="s">
        <v>87</v>
      </c>
      <c r="H1008" s="7" t="s">
        <v>88</v>
      </c>
      <c r="I1008" s="8">
        <v>19</v>
      </c>
      <c r="J1008" s="8">
        <v>140860</v>
      </c>
      <c r="K1008" s="8">
        <v>329360</v>
      </c>
    </row>
    <row r="1009" spans="1:11">
      <c r="A1009" s="7" t="s">
        <v>227</v>
      </c>
      <c r="B1009" s="7" t="s">
        <v>228</v>
      </c>
      <c r="C1009" s="7" t="s">
        <v>241</v>
      </c>
      <c r="D1009" s="7" t="s">
        <v>242</v>
      </c>
      <c r="E1009" s="7" t="s">
        <v>89</v>
      </c>
      <c r="F1009" s="7" t="s">
        <v>90</v>
      </c>
      <c r="G1009" s="7" t="s">
        <v>91</v>
      </c>
      <c r="H1009" s="7" t="s">
        <v>90</v>
      </c>
      <c r="I1009" s="8">
        <v>4</v>
      </c>
      <c r="J1009" s="8">
        <v>2018.5910240000001</v>
      </c>
      <c r="K1009" s="8">
        <v>12727</v>
      </c>
    </row>
    <row r="1010" spans="1:11">
      <c r="A1010" s="7" t="s">
        <v>227</v>
      </c>
      <c r="B1010" s="7" t="s">
        <v>228</v>
      </c>
      <c r="C1010" s="7" t="s">
        <v>241</v>
      </c>
      <c r="D1010" s="7" t="s">
        <v>242</v>
      </c>
      <c r="E1010" s="7" t="s">
        <v>92</v>
      </c>
      <c r="F1010" s="7" t="s">
        <v>92</v>
      </c>
      <c r="G1010" s="7" t="s">
        <v>92</v>
      </c>
      <c r="H1010" s="7" t="s">
        <v>92</v>
      </c>
      <c r="I1010" s="8">
        <v>-24583</v>
      </c>
      <c r="J1010" s="8">
        <v>-446961</v>
      </c>
      <c r="K1010" s="8">
        <v>-446961</v>
      </c>
    </row>
    <row r="1011" spans="1:11">
      <c r="A1011" s="7" t="s">
        <v>243</v>
      </c>
      <c r="B1011" s="7" t="s">
        <v>244</v>
      </c>
      <c r="C1011" s="7" t="s">
        <v>125</v>
      </c>
      <c r="D1011" s="7" t="s">
        <v>126</v>
      </c>
      <c r="E1011" s="7" t="s">
        <v>65</v>
      </c>
      <c r="F1011" s="7" t="s">
        <v>66</v>
      </c>
      <c r="G1011" s="7" t="s">
        <v>67</v>
      </c>
      <c r="H1011" s="7" t="s">
        <v>68</v>
      </c>
      <c r="I1011" s="8">
        <v>2</v>
      </c>
      <c r="J1011" s="8">
        <v>-226159</v>
      </c>
      <c r="K1011" s="8">
        <v>2169091</v>
      </c>
    </row>
    <row r="1012" spans="1:11">
      <c r="A1012" s="7" t="s">
        <v>243</v>
      </c>
      <c r="B1012" s="7" t="s">
        <v>244</v>
      </c>
      <c r="C1012" s="7" t="s">
        <v>125</v>
      </c>
      <c r="D1012" s="7" t="s">
        <v>126</v>
      </c>
      <c r="E1012" s="7" t="s">
        <v>65</v>
      </c>
      <c r="F1012" s="7" t="s">
        <v>66</v>
      </c>
      <c r="G1012" s="7" t="s">
        <v>69</v>
      </c>
      <c r="H1012" s="7" t="s">
        <v>36</v>
      </c>
      <c r="I1012" s="8">
        <v>4</v>
      </c>
      <c r="J1012" s="8">
        <v>650000</v>
      </c>
      <c r="K1012" s="8">
        <v>650000</v>
      </c>
    </row>
    <row r="1013" spans="1:11">
      <c r="A1013" s="7" t="s">
        <v>243</v>
      </c>
      <c r="B1013" s="7" t="s">
        <v>244</v>
      </c>
      <c r="C1013" s="7" t="s">
        <v>125</v>
      </c>
      <c r="D1013" s="7" t="s">
        <v>126</v>
      </c>
      <c r="E1013" s="7" t="s">
        <v>65</v>
      </c>
      <c r="F1013" s="7" t="s">
        <v>66</v>
      </c>
      <c r="G1013" s="7" t="s">
        <v>70</v>
      </c>
      <c r="H1013" s="7" t="s">
        <v>28</v>
      </c>
      <c r="I1013" s="8">
        <v>4</v>
      </c>
      <c r="J1013" s="8">
        <v>-259944</v>
      </c>
      <c r="K1013" s="8">
        <v>1969056</v>
      </c>
    </row>
    <row r="1014" spans="1:11">
      <c r="A1014" s="7" t="s">
        <v>243</v>
      </c>
      <c r="B1014" s="7" t="s">
        <v>244</v>
      </c>
      <c r="C1014" s="7" t="s">
        <v>125</v>
      </c>
      <c r="D1014" s="7" t="s">
        <v>126</v>
      </c>
      <c r="E1014" s="7" t="s">
        <v>65</v>
      </c>
      <c r="F1014" s="7" t="s">
        <v>66</v>
      </c>
      <c r="G1014" s="7" t="s">
        <v>97</v>
      </c>
      <c r="H1014" s="7" t="s">
        <v>98</v>
      </c>
      <c r="I1014" s="8">
        <v>2</v>
      </c>
      <c r="J1014" s="8">
        <v>-126182</v>
      </c>
      <c r="K1014" s="8">
        <v>725818</v>
      </c>
    </row>
    <row r="1015" spans="1:11">
      <c r="A1015" s="7" t="s">
        <v>243</v>
      </c>
      <c r="B1015" s="7" t="s">
        <v>244</v>
      </c>
      <c r="C1015" s="7" t="s">
        <v>125</v>
      </c>
      <c r="D1015" s="7" t="s">
        <v>126</v>
      </c>
      <c r="E1015" s="7" t="s">
        <v>65</v>
      </c>
      <c r="F1015" s="7" t="s">
        <v>66</v>
      </c>
      <c r="G1015" s="7" t="s">
        <v>71</v>
      </c>
      <c r="H1015" s="7" t="s">
        <v>72</v>
      </c>
      <c r="I1015" s="8">
        <v>5</v>
      </c>
      <c r="J1015" s="8">
        <v>-255999</v>
      </c>
      <c r="K1015" s="8">
        <v>1618001</v>
      </c>
    </row>
    <row r="1016" spans="1:11">
      <c r="A1016" s="7" t="s">
        <v>243</v>
      </c>
      <c r="B1016" s="7" t="s">
        <v>244</v>
      </c>
      <c r="C1016" s="7" t="s">
        <v>125</v>
      </c>
      <c r="D1016" s="7" t="s">
        <v>126</v>
      </c>
      <c r="E1016" s="7" t="s">
        <v>75</v>
      </c>
      <c r="F1016" s="7" t="s">
        <v>76</v>
      </c>
      <c r="G1016" s="7" t="s">
        <v>77</v>
      </c>
      <c r="H1016" s="7" t="s">
        <v>78</v>
      </c>
      <c r="I1016" s="8">
        <v>1</v>
      </c>
      <c r="J1016" s="8">
        <v>8182</v>
      </c>
      <c r="K1016" s="8">
        <v>130182</v>
      </c>
    </row>
    <row r="1017" spans="1:11">
      <c r="A1017" s="7" t="s">
        <v>243</v>
      </c>
      <c r="B1017" s="7" t="s">
        <v>244</v>
      </c>
      <c r="C1017" s="7" t="s">
        <v>125</v>
      </c>
      <c r="D1017" s="7" t="s">
        <v>126</v>
      </c>
      <c r="E1017" s="7" t="s">
        <v>75</v>
      </c>
      <c r="F1017" s="7" t="s">
        <v>76</v>
      </c>
      <c r="G1017" s="7" t="s">
        <v>79</v>
      </c>
      <c r="H1017" s="7" t="s">
        <v>80</v>
      </c>
      <c r="I1017" s="8">
        <v>12</v>
      </c>
      <c r="J1017" s="8">
        <v>316689.984513</v>
      </c>
      <c r="K1017" s="8">
        <v>2388727</v>
      </c>
    </row>
    <row r="1018" spans="1:11">
      <c r="A1018" s="7" t="s">
        <v>243</v>
      </c>
      <c r="B1018" s="7" t="s">
        <v>244</v>
      </c>
      <c r="C1018" s="7" t="s">
        <v>125</v>
      </c>
      <c r="D1018" s="7" t="s">
        <v>126</v>
      </c>
      <c r="E1018" s="7" t="s">
        <v>75</v>
      </c>
      <c r="F1018" s="7" t="s">
        <v>76</v>
      </c>
      <c r="G1018" s="7" t="s">
        <v>81</v>
      </c>
      <c r="H1018" s="7" t="s">
        <v>82</v>
      </c>
      <c r="I1018" s="8">
        <v>15</v>
      </c>
      <c r="J1018" s="8">
        <v>415641.32186600001</v>
      </c>
      <c r="K1018" s="8">
        <v>1737635</v>
      </c>
    </row>
    <row r="1019" spans="1:11">
      <c r="A1019" s="7" t="s">
        <v>243</v>
      </c>
      <c r="B1019" s="7" t="s">
        <v>244</v>
      </c>
      <c r="C1019" s="7" t="s">
        <v>245</v>
      </c>
      <c r="D1019" s="7" t="s">
        <v>246</v>
      </c>
      <c r="E1019" s="7" t="s">
        <v>65</v>
      </c>
      <c r="F1019" s="7" t="s">
        <v>66</v>
      </c>
      <c r="G1019" s="7" t="s">
        <v>95</v>
      </c>
      <c r="H1019" s="7" t="s">
        <v>96</v>
      </c>
      <c r="I1019" s="8">
        <v>1</v>
      </c>
      <c r="J1019" s="8">
        <v>-85364</v>
      </c>
      <c r="K1019" s="8">
        <v>2328636</v>
      </c>
    </row>
    <row r="1020" spans="1:11">
      <c r="A1020" s="7" t="s">
        <v>243</v>
      </c>
      <c r="B1020" s="7" t="s">
        <v>244</v>
      </c>
      <c r="C1020" s="7" t="s">
        <v>245</v>
      </c>
      <c r="D1020" s="7" t="s">
        <v>246</v>
      </c>
      <c r="E1020" s="7" t="s">
        <v>65</v>
      </c>
      <c r="F1020" s="7" t="s">
        <v>66</v>
      </c>
      <c r="G1020" s="7" t="s">
        <v>67</v>
      </c>
      <c r="H1020" s="7" t="s">
        <v>68</v>
      </c>
      <c r="I1020" s="8">
        <v>12</v>
      </c>
      <c r="J1020" s="8">
        <v>235183</v>
      </c>
      <c r="K1020" s="8">
        <v>31228183</v>
      </c>
    </row>
    <row r="1021" spans="1:11">
      <c r="A1021" s="7" t="s">
        <v>243</v>
      </c>
      <c r="B1021" s="7" t="s">
        <v>244</v>
      </c>
      <c r="C1021" s="7" t="s">
        <v>245</v>
      </c>
      <c r="D1021" s="7" t="s">
        <v>246</v>
      </c>
      <c r="E1021" s="7" t="s">
        <v>65</v>
      </c>
      <c r="F1021" s="7" t="s">
        <v>66</v>
      </c>
      <c r="G1021" s="7" t="s">
        <v>69</v>
      </c>
      <c r="H1021" s="7" t="s">
        <v>36</v>
      </c>
      <c r="I1021" s="8">
        <v>3</v>
      </c>
      <c r="J1021" s="8">
        <v>215224</v>
      </c>
      <c r="K1021" s="8">
        <v>3736364</v>
      </c>
    </row>
    <row r="1022" spans="1:11">
      <c r="A1022" s="7" t="s">
        <v>243</v>
      </c>
      <c r="B1022" s="7" t="s">
        <v>244</v>
      </c>
      <c r="C1022" s="7" t="s">
        <v>245</v>
      </c>
      <c r="D1022" s="7" t="s">
        <v>246</v>
      </c>
      <c r="E1022" s="7" t="s">
        <v>65</v>
      </c>
      <c r="F1022" s="7" t="s">
        <v>66</v>
      </c>
      <c r="G1022" s="7" t="s">
        <v>70</v>
      </c>
      <c r="H1022" s="7" t="s">
        <v>28</v>
      </c>
      <c r="I1022" s="8">
        <v>14</v>
      </c>
      <c r="J1022" s="8">
        <v>406581.47058800003</v>
      </c>
      <c r="K1022" s="8">
        <v>7518655</v>
      </c>
    </row>
    <row r="1023" spans="1:11">
      <c r="A1023" s="7" t="s">
        <v>243</v>
      </c>
      <c r="B1023" s="7" t="s">
        <v>244</v>
      </c>
      <c r="C1023" s="7" t="s">
        <v>245</v>
      </c>
      <c r="D1023" s="7" t="s">
        <v>246</v>
      </c>
      <c r="E1023" s="7" t="s">
        <v>65</v>
      </c>
      <c r="F1023" s="7" t="s">
        <v>66</v>
      </c>
      <c r="G1023" s="7" t="s">
        <v>97</v>
      </c>
      <c r="H1023" s="7" t="s">
        <v>98</v>
      </c>
      <c r="I1023" s="8">
        <v>7</v>
      </c>
      <c r="J1023" s="8">
        <v>122998</v>
      </c>
      <c r="K1023" s="8">
        <v>3104998</v>
      </c>
    </row>
    <row r="1024" spans="1:11">
      <c r="A1024" s="7" t="s">
        <v>243</v>
      </c>
      <c r="B1024" s="7" t="s">
        <v>244</v>
      </c>
      <c r="C1024" s="7" t="s">
        <v>245</v>
      </c>
      <c r="D1024" s="7" t="s">
        <v>246</v>
      </c>
      <c r="E1024" s="7" t="s">
        <v>65</v>
      </c>
      <c r="F1024" s="7" t="s">
        <v>66</v>
      </c>
      <c r="G1024" s="7" t="s">
        <v>73</v>
      </c>
      <c r="H1024" s="7" t="s">
        <v>74</v>
      </c>
      <c r="I1024" s="8">
        <v>13</v>
      </c>
      <c r="J1024" s="8">
        <v>869774</v>
      </c>
      <c r="K1024" s="8">
        <v>15400774</v>
      </c>
    </row>
    <row r="1025" spans="1:11">
      <c r="A1025" s="7" t="s">
        <v>243</v>
      </c>
      <c r="B1025" s="7" t="s">
        <v>244</v>
      </c>
      <c r="C1025" s="7" t="s">
        <v>245</v>
      </c>
      <c r="D1025" s="7" t="s">
        <v>246</v>
      </c>
      <c r="E1025" s="7" t="s">
        <v>75</v>
      </c>
      <c r="F1025" s="7" t="s">
        <v>76</v>
      </c>
      <c r="G1025" s="7" t="s">
        <v>77</v>
      </c>
      <c r="H1025" s="7" t="s">
        <v>78</v>
      </c>
      <c r="I1025" s="8">
        <v>4</v>
      </c>
      <c r="J1025" s="8">
        <v>149362.99429199999</v>
      </c>
      <c r="K1025" s="8">
        <v>851363</v>
      </c>
    </row>
    <row r="1026" spans="1:11">
      <c r="A1026" s="7" t="s">
        <v>243</v>
      </c>
      <c r="B1026" s="7" t="s">
        <v>244</v>
      </c>
      <c r="C1026" s="7" t="s">
        <v>245</v>
      </c>
      <c r="D1026" s="7" t="s">
        <v>246</v>
      </c>
      <c r="E1026" s="7" t="s">
        <v>75</v>
      </c>
      <c r="F1026" s="7" t="s">
        <v>76</v>
      </c>
      <c r="G1026" s="7" t="s">
        <v>79</v>
      </c>
      <c r="H1026" s="7" t="s">
        <v>80</v>
      </c>
      <c r="I1026" s="8">
        <v>37</v>
      </c>
      <c r="J1026" s="8">
        <v>539457.17007400002</v>
      </c>
      <c r="K1026" s="8">
        <v>3490451</v>
      </c>
    </row>
    <row r="1027" spans="1:11">
      <c r="A1027" s="7" t="s">
        <v>243</v>
      </c>
      <c r="B1027" s="7" t="s">
        <v>244</v>
      </c>
      <c r="C1027" s="7" t="s">
        <v>245</v>
      </c>
      <c r="D1027" s="7" t="s">
        <v>246</v>
      </c>
      <c r="E1027" s="7" t="s">
        <v>75</v>
      </c>
      <c r="F1027" s="7" t="s">
        <v>76</v>
      </c>
      <c r="G1027" s="7" t="s">
        <v>81</v>
      </c>
      <c r="H1027" s="7" t="s">
        <v>82</v>
      </c>
      <c r="I1027" s="8">
        <v>10</v>
      </c>
      <c r="J1027" s="8">
        <v>224319.56811200001</v>
      </c>
      <c r="K1027" s="8">
        <v>2035318</v>
      </c>
    </row>
    <row r="1028" spans="1:11">
      <c r="A1028" s="7" t="s">
        <v>243</v>
      </c>
      <c r="B1028" s="7" t="s">
        <v>244</v>
      </c>
      <c r="C1028" s="7" t="s">
        <v>245</v>
      </c>
      <c r="D1028" s="7" t="s">
        <v>246</v>
      </c>
      <c r="E1028" s="7" t="s">
        <v>83</v>
      </c>
      <c r="F1028" s="7" t="s">
        <v>84</v>
      </c>
      <c r="G1028" s="7" t="s">
        <v>77</v>
      </c>
      <c r="H1028" s="7" t="s">
        <v>78</v>
      </c>
      <c r="I1028" s="8">
        <v>21</v>
      </c>
      <c r="J1028" s="8">
        <v>140009</v>
      </c>
      <c r="K1028" s="8">
        <v>477309</v>
      </c>
    </row>
    <row r="1029" spans="1:11">
      <c r="A1029" s="7" t="s">
        <v>243</v>
      </c>
      <c r="B1029" s="7" t="s">
        <v>244</v>
      </c>
      <c r="C1029" s="7" t="s">
        <v>245</v>
      </c>
      <c r="D1029" s="7" t="s">
        <v>246</v>
      </c>
      <c r="E1029" s="7" t="s">
        <v>83</v>
      </c>
      <c r="F1029" s="7" t="s">
        <v>84</v>
      </c>
      <c r="G1029" s="7" t="s">
        <v>79</v>
      </c>
      <c r="H1029" s="7" t="s">
        <v>80</v>
      </c>
      <c r="I1029" s="8">
        <v>8</v>
      </c>
      <c r="J1029" s="8">
        <v>25005.217833999999</v>
      </c>
      <c r="K1029" s="8">
        <v>168144</v>
      </c>
    </row>
    <row r="1030" spans="1:11">
      <c r="A1030" s="7" t="s">
        <v>243</v>
      </c>
      <c r="B1030" s="7" t="s">
        <v>244</v>
      </c>
      <c r="C1030" s="7" t="s">
        <v>245</v>
      </c>
      <c r="D1030" s="7" t="s">
        <v>246</v>
      </c>
      <c r="E1030" s="7" t="s">
        <v>83</v>
      </c>
      <c r="F1030" s="7" t="s">
        <v>84</v>
      </c>
      <c r="G1030" s="7" t="s">
        <v>81</v>
      </c>
      <c r="H1030" s="7" t="s">
        <v>82</v>
      </c>
      <c r="I1030" s="8">
        <v>42</v>
      </c>
      <c r="J1030" s="8">
        <v>349809</v>
      </c>
      <c r="K1030" s="8">
        <v>1091355</v>
      </c>
    </row>
    <row r="1031" spans="1:11">
      <c r="A1031" s="7" t="s">
        <v>243</v>
      </c>
      <c r="B1031" s="7" t="s">
        <v>244</v>
      </c>
      <c r="C1031" s="7" t="s">
        <v>245</v>
      </c>
      <c r="D1031" s="7" t="s">
        <v>246</v>
      </c>
      <c r="E1031" s="7" t="s">
        <v>83</v>
      </c>
      <c r="F1031" s="7" t="s">
        <v>84</v>
      </c>
      <c r="G1031" s="7" t="s">
        <v>85</v>
      </c>
      <c r="H1031" s="7" t="s">
        <v>86</v>
      </c>
      <c r="I1031" s="8">
        <v>12</v>
      </c>
      <c r="J1031" s="8">
        <v>75169</v>
      </c>
      <c r="K1031" s="8">
        <v>246737</v>
      </c>
    </row>
    <row r="1032" spans="1:11">
      <c r="A1032" s="7" t="s">
        <v>243</v>
      </c>
      <c r="B1032" s="7" t="s">
        <v>244</v>
      </c>
      <c r="C1032" s="7" t="s">
        <v>245</v>
      </c>
      <c r="D1032" s="7" t="s">
        <v>246</v>
      </c>
      <c r="E1032" s="7" t="s">
        <v>83</v>
      </c>
      <c r="F1032" s="7" t="s">
        <v>84</v>
      </c>
      <c r="G1032" s="7" t="s">
        <v>87</v>
      </c>
      <c r="H1032" s="7" t="s">
        <v>88</v>
      </c>
      <c r="I1032" s="8">
        <v>3</v>
      </c>
      <c r="J1032" s="8">
        <v>9055</v>
      </c>
      <c r="K1032" s="8">
        <v>35455</v>
      </c>
    </row>
    <row r="1033" spans="1:11">
      <c r="A1033" s="7" t="s">
        <v>243</v>
      </c>
      <c r="B1033" s="7" t="s">
        <v>244</v>
      </c>
      <c r="C1033" s="7" t="s">
        <v>245</v>
      </c>
      <c r="D1033" s="7" t="s">
        <v>246</v>
      </c>
      <c r="E1033" s="7" t="s">
        <v>89</v>
      </c>
      <c r="F1033" s="7" t="s">
        <v>90</v>
      </c>
      <c r="G1033" s="7" t="s">
        <v>91</v>
      </c>
      <c r="H1033" s="7" t="s">
        <v>90</v>
      </c>
      <c r="I1033" s="8">
        <v>380</v>
      </c>
      <c r="J1033" s="8">
        <v>258879.33345999999</v>
      </c>
      <c r="K1033" s="8">
        <v>689546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art" altText="Start">
                <anchor moveWithCells="1" sizeWithCells="1">
                  <from>
                    <xdr:col>1</xdr:col>
                    <xdr:colOff>0</xdr:colOff>
                    <xdr:row>2</xdr:row>
                    <xdr:rowOff>12700</xdr:rowOff>
                  </from>
                  <to>
                    <xdr:col>4</xdr:col>
                    <xdr:colOff>368300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Data">
                <anchor moveWithCells="1" sizeWithCells="1">
                  <from>
                    <xdr:col>5</xdr:col>
                    <xdr:colOff>88900</xdr:colOff>
                    <xdr:row>2</xdr:row>
                    <xdr:rowOff>38100</xdr:rowOff>
                  </from>
                  <to>
                    <xdr:col>7</xdr:col>
                    <xdr:colOff>749300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720B-8534-FD48-A833-AA1DE519D4A5}">
  <sheetPr codeName="工作表4"/>
  <dimension ref="A1:J319"/>
  <sheetViews>
    <sheetView workbookViewId="0">
      <selection activeCell="G43" sqref="G43"/>
    </sheetView>
  </sheetViews>
  <sheetFormatPr baseColWidth="10" defaultRowHeight="15"/>
  <sheetData>
    <row r="1" spans="1:10">
      <c r="A1" s="9" t="s">
        <v>247</v>
      </c>
      <c r="B1" s="9" t="s">
        <v>248</v>
      </c>
      <c r="C1" s="9" t="s">
        <v>249</v>
      </c>
      <c r="D1" s="9" t="s">
        <v>250</v>
      </c>
      <c r="E1" s="9" t="s">
        <v>271</v>
      </c>
      <c r="F1" s="9" t="s">
        <v>272</v>
      </c>
      <c r="G1" s="9" t="s">
        <v>256</v>
      </c>
      <c r="H1" s="9" t="s">
        <v>257</v>
      </c>
      <c r="I1" s="9" t="s">
        <v>254</v>
      </c>
      <c r="J1" s="9" t="s">
        <v>255</v>
      </c>
    </row>
    <row r="2" spans="1:10">
      <c r="A2" s="7" t="s">
        <v>61</v>
      </c>
      <c r="B2" s="7" t="s">
        <v>62</v>
      </c>
      <c r="C2" s="7" t="s">
        <v>63</v>
      </c>
      <c r="D2" s="7" t="s">
        <v>64</v>
      </c>
      <c r="E2" s="7" t="s">
        <v>273</v>
      </c>
      <c r="F2" s="7" t="s">
        <v>274</v>
      </c>
      <c r="G2" s="7" t="s">
        <v>275</v>
      </c>
      <c r="H2" s="7" t="s">
        <v>276</v>
      </c>
      <c r="I2" s="8">
        <v>3</v>
      </c>
      <c r="J2" s="8">
        <v>134727</v>
      </c>
    </row>
    <row r="3" spans="1:10">
      <c r="A3" s="7" t="s">
        <v>61</v>
      </c>
      <c r="B3" s="7" t="s">
        <v>62</v>
      </c>
      <c r="C3" s="7" t="s">
        <v>63</v>
      </c>
      <c r="D3" s="7" t="s">
        <v>64</v>
      </c>
      <c r="E3" s="7" t="s">
        <v>273</v>
      </c>
      <c r="F3" s="7" t="s">
        <v>274</v>
      </c>
      <c r="G3" s="7" t="s">
        <v>277</v>
      </c>
      <c r="H3" s="7" t="s">
        <v>278</v>
      </c>
      <c r="I3" s="8">
        <v>19</v>
      </c>
      <c r="J3" s="8">
        <v>1426729</v>
      </c>
    </row>
    <row r="4" spans="1:10">
      <c r="A4" s="7" t="s">
        <v>61</v>
      </c>
      <c r="B4" s="7" t="s">
        <v>62</v>
      </c>
      <c r="C4" s="7" t="s">
        <v>63</v>
      </c>
      <c r="D4" s="7" t="s">
        <v>64</v>
      </c>
      <c r="E4" s="7" t="s">
        <v>279</v>
      </c>
      <c r="F4" s="7" t="s">
        <v>280</v>
      </c>
      <c r="G4" s="7" t="s">
        <v>258</v>
      </c>
      <c r="H4" s="7" t="s">
        <v>259</v>
      </c>
      <c r="I4" s="8">
        <v>2</v>
      </c>
      <c r="J4" s="8">
        <v>98636</v>
      </c>
    </row>
    <row r="5" spans="1:10">
      <c r="A5" s="7" t="s">
        <v>61</v>
      </c>
      <c r="B5" s="7" t="s">
        <v>62</v>
      </c>
      <c r="C5" s="7" t="s">
        <v>63</v>
      </c>
      <c r="D5" s="7" t="s">
        <v>64</v>
      </c>
      <c r="E5" s="7" t="s">
        <v>279</v>
      </c>
      <c r="F5" s="7" t="s">
        <v>280</v>
      </c>
      <c r="G5" s="7" t="s">
        <v>262</v>
      </c>
      <c r="H5" s="7" t="s">
        <v>263</v>
      </c>
      <c r="I5" s="8">
        <v>6</v>
      </c>
      <c r="J5" s="8">
        <v>242730</v>
      </c>
    </row>
    <row r="6" spans="1:10">
      <c r="A6" s="7" t="s">
        <v>61</v>
      </c>
      <c r="B6" s="7" t="s">
        <v>62</v>
      </c>
      <c r="C6" s="7" t="s">
        <v>63</v>
      </c>
      <c r="D6" s="7" t="s">
        <v>64</v>
      </c>
      <c r="E6" s="7" t="s">
        <v>279</v>
      </c>
      <c r="F6" s="7" t="s">
        <v>280</v>
      </c>
      <c r="G6" s="7" t="s">
        <v>266</v>
      </c>
      <c r="H6" s="7" t="s">
        <v>267</v>
      </c>
      <c r="I6" s="8">
        <v>3</v>
      </c>
      <c r="J6" s="8">
        <v>35727</v>
      </c>
    </row>
    <row r="7" spans="1:10">
      <c r="A7" s="7" t="s">
        <v>61</v>
      </c>
      <c r="B7" s="7" t="s">
        <v>62</v>
      </c>
      <c r="C7" s="7" t="s">
        <v>93</v>
      </c>
      <c r="D7" s="7" t="s">
        <v>94</v>
      </c>
      <c r="E7" s="7" t="s">
        <v>273</v>
      </c>
      <c r="F7" s="7" t="s">
        <v>274</v>
      </c>
      <c r="G7" s="7" t="s">
        <v>275</v>
      </c>
      <c r="H7" s="7" t="s">
        <v>276</v>
      </c>
      <c r="I7" s="8">
        <v>12</v>
      </c>
      <c r="J7" s="8">
        <v>550363</v>
      </c>
    </row>
    <row r="8" spans="1:10">
      <c r="A8" s="7" t="s">
        <v>61</v>
      </c>
      <c r="B8" s="7" t="s">
        <v>62</v>
      </c>
      <c r="C8" s="7" t="s">
        <v>93</v>
      </c>
      <c r="D8" s="7" t="s">
        <v>94</v>
      </c>
      <c r="E8" s="7" t="s">
        <v>273</v>
      </c>
      <c r="F8" s="7" t="s">
        <v>274</v>
      </c>
      <c r="G8" s="7" t="s">
        <v>277</v>
      </c>
      <c r="H8" s="7" t="s">
        <v>278</v>
      </c>
      <c r="I8" s="8">
        <v>10</v>
      </c>
      <c r="J8" s="8">
        <v>750910</v>
      </c>
    </row>
    <row r="9" spans="1:10">
      <c r="A9" s="7" t="s">
        <v>61</v>
      </c>
      <c r="B9" s="7" t="s">
        <v>62</v>
      </c>
      <c r="C9" s="7" t="s">
        <v>93</v>
      </c>
      <c r="D9" s="7" t="s">
        <v>94</v>
      </c>
      <c r="E9" s="7" t="s">
        <v>279</v>
      </c>
      <c r="F9" s="7" t="s">
        <v>280</v>
      </c>
      <c r="G9" s="7" t="s">
        <v>258</v>
      </c>
      <c r="H9" s="7" t="s">
        <v>259</v>
      </c>
      <c r="I9" s="8">
        <v>1</v>
      </c>
      <c r="J9" s="8">
        <v>37091</v>
      </c>
    </row>
    <row r="10" spans="1:10">
      <c r="A10" s="7" t="s">
        <v>61</v>
      </c>
      <c r="B10" s="7" t="s">
        <v>62</v>
      </c>
      <c r="C10" s="7" t="s">
        <v>93</v>
      </c>
      <c r="D10" s="7" t="s">
        <v>94</v>
      </c>
      <c r="E10" s="7" t="s">
        <v>279</v>
      </c>
      <c r="F10" s="7" t="s">
        <v>280</v>
      </c>
      <c r="G10" s="7" t="s">
        <v>262</v>
      </c>
      <c r="H10" s="7" t="s">
        <v>263</v>
      </c>
      <c r="I10" s="8">
        <v>1</v>
      </c>
      <c r="J10" s="8">
        <v>40455</v>
      </c>
    </row>
    <row r="11" spans="1:10">
      <c r="A11" s="7" t="s">
        <v>61</v>
      </c>
      <c r="B11" s="7" t="s">
        <v>62</v>
      </c>
      <c r="C11" s="7" t="s">
        <v>93</v>
      </c>
      <c r="D11" s="7" t="s">
        <v>94</v>
      </c>
      <c r="E11" s="7" t="s">
        <v>279</v>
      </c>
      <c r="F11" s="7" t="s">
        <v>280</v>
      </c>
      <c r="G11" s="7" t="s">
        <v>266</v>
      </c>
      <c r="H11" s="7" t="s">
        <v>267</v>
      </c>
      <c r="I11" s="8">
        <v>1</v>
      </c>
      <c r="J11" s="8">
        <v>11909</v>
      </c>
    </row>
    <row r="12" spans="1:10">
      <c r="A12" s="7" t="s">
        <v>61</v>
      </c>
      <c r="B12" s="7" t="s">
        <v>62</v>
      </c>
      <c r="C12" s="7" t="s">
        <v>103</v>
      </c>
      <c r="D12" s="7" t="s">
        <v>104</v>
      </c>
      <c r="E12" s="7" t="s">
        <v>273</v>
      </c>
      <c r="F12" s="7" t="s">
        <v>274</v>
      </c>
      <c r="G12" s="7" t="s">
        <v>275</v>
      </c>
      <c r="H12" s="7" t="s">
        <v>276</v>
      </c>
      <c r="I12" s="8">
        <v>15</v>
      </c>
      <c r="J12" s="8">
        <v>685092</v>
      </c>
    </row>
    <row r="13" spans="1:10">
      <c r="A13" s="7" t="s">
        <v>61</v>
      </c>
      <c r="B13" s="7" t="s">
        <v>62</v>
      </c>
      <c r="C13" s="7" t="s">
        <v>103</v>
      </c>
      <c r="D13" s="7" t="s">
        <v>104</v>
      </c>
      <c r="E13" s="7" t="s">
        <v>273</v>
      </c>
      <c r="F13" s="7" t="s">
        <v>274</v>
      </c>
      <c r="G13" s="7" t="s">
        <v>277</v>
      </c>
      <c r="H13" s="7" t="s">
        <v>278</v>
      </c>
      <c r="I13" s="8">
        <v>26</v>
      </c>
      <c r="J13" s="8">
        <v>1952366</v>
      </c>
    </row>
    <row r="14" spans="1:10">
      <c r="A14" s="7" t="s">
        <v>61</v>
      </c>
      <c r="B14" s="7" t="s">
        <v>62</v>
      </c>
      <c r="C14" s="7" t="s">
        <v>103</v>
      </c>
      <c r="D14" s="7" t="s">
        <v>104</v>
      </c>
      <c r="E14" s="7" t="s">
        <v>279</v>
      </c>
      <c r="F14" s="7" t="s">
        <v>280</v>
      </c>
      <c r="G14" s="7" t="s">
        <v>258</v>
      </c>
      <c r="H14" s="7" t="s">
        <v>259</v>
      </c>
      <c r="I14" s="8">
        <v>1</v>
      </c>
      <c r="J14" s="8">
        <v>26818</v>
      </c>
    </row>
    <row r="15" spans="1:10">
      <c r="A15" s="7" t="s">
        <v>61</v>
      </c>
      <c r="B15" s="7" t="s">
        <v>62</v>
      </c>
      <c r="C15" s="7" t="s">
        <v>103</v>
      </c>
      <c r="D15" s="7" t="s">
        <v>104</v>
      </c>
      <c r="E15" s="7" t="s">
        <v>279</v>
      </c>
      <c r="F15" s="7" t="s">
        <v>280</v>
      </c>
      <c r="G15" s="7" t="s">
        <v>260</v>
      </c>
      <c r="H15" s="7" t="s">
        <v>261</v>
      </c>
      <c r="I15" s="8">
        <v>2</v>
      </c>
      <c r="J15" s="8">
        <v>66727</v>
      </c>
    </row>
    <row r="16" spans="1:10">
      <c r="A16" s="7" t="s">
        <v>61</v>
      </c>
      <c r="B16" s="7" t="s">
        <v>62</v>
      </c>
      <c r="C16" s="7" t="s">
        <v>103</v>
      </c>
      <c r="D16" s="7" t="s">
        <v>104</v>
      </c>
      <c r="E16" s="7" t="s">
        <v>279</v>
      </c>
      <c r="F16" s="7" t="s">
        <v>280</v>
      </c>
      <c r="G16" s="7" t="s">
        <v>262</v>
      </c>
      <c r="H16" s="7" t="s">
        <v>263</v>
      </c>
      <c r="I16" s="8">
        <v>2</v>
      </c>
      <c r="J16" s="8">
        <v>64364</v>
      </c>
    </row>
    <row r="17" spans="1:10">
      <c r="A17" s="7" t="s">
        <v>61</v>
      </c>
      <c r="B17" s="7" t="s">
        <v>62</v>
      </c>
      <c r="C17" s="7" t="s">
        <v>103</v>
      </c>
      <c r="D17" s="7" t="s">
        <v>104</v>
      </c>
      <c r="E17" s="7" t="s">
        <v>279</v>
      </c>
      <c r="F17" s="7" t="s">
        <v>280</v>
      </c>
      <c r="G17" s="7" t="s">
        <v>266</v>
      </c>
      <c r="H17" s="7" t="s">
        <v>267</v>
      </c>
      <c r="I17" s="8">
        <v>1</v>
      </c>
      <c r="J17" s="8">
        <v>11909</v>
      </c>
    </row>
    <row r="18" spans="1:10">
      <c r="A18" s="7" t="s">
        <v>61</v>
      </c>
      <c r="B18" s="7" t="s">
        <v>62</v>
      </c>
      <c r="C18" s="7" t="s">
        <v>105</v>
      </c>
      <c r="D18" s="7" t="s">
        <v>106</v>
      </c>
      <c r="E18" s="7" t="s">
        <v>273</v>
      </c>
      <c r="F18" s="7" t="s">
        <v>274</v>
      </c>
      <c r="G18" s="7" t="s">
        <v>275</v>
      </c>
      <c r="H18" s="7" t="s">
        <v>276</v>
      </c>
      <c r="I18" s="8">
        <v>20</v>
      </c>
      <c r="J18" s="8">
        <v>932545</v>
      </c>
    </row>
    <row r="19" spans="1:10">
      <c r="A19" s="7" t="s">
        <v>61</v>
      </c>
      <c r="B19" s="7" t="s">
        <v>62</v>
      </c>
      <c r="C19" s="7" t="s">
        <v>105</v>
      </c>
      <c r="D19" s="7" t="s">
        <v>106</v>
      </c>
      <c r="E19" s="7" t="s">
        <v>273</v>
      </c>
      <c r="F19" s="7" t="s">
        <v>274</v>
      </c>
      <c r="G19" s="7" t="s">
        <v>277</v>
      </c>
      <c r="H19" s="7" t="s">
        <v>278</v>
      </c>
      <c r="I19" s="8">
        <v>31</v>
      </c>
      <c r="J19" s="8">
        <v>2327821</v>
      </c>
    </row>
    <row r="20" spans="1:10">
      <c r="A20" s="7" t="s">
        <v>61</v>
      </c>
      <c r="B20" s="7" t="s">
        <v>62</v>
      </c>
      <c r="C20" s="7" t="s">
        <v>105</v>
      </c>
      <c r="D20" s="7" t="s">
        <v>106</v>
      </c>
      <c r="E20" s="7" t="s">
        <v>279</v>
      </c>
      <c r="F20" s="7" t="s">
        <v>280</v>
      </c>
      <c r="G20" s="7" t="s">
        <v>262</v>
      </c>
      <c r="H20" s="7" t="s">
        <v>263</v>
      </c>
      <c r="I20" s="8">
        <v>1</v>
      </c>
      <c r="J20" s="8">
        <v>23909</v>
      </c>
    </row>
    <row r="21" spans="1:10">
      <c r="A21" s="7" t="s">
        <v>61</v>
      </c>
      <c r="B21" s="7" t="s">
        <v>62</v>
      </c>
      <c r="C21" s="7" t="s">
        <v>105</v>
      </c>
      <c r="D21" s="7" t="s">
        <v>106</v>
      </c>
      <c r="E21" s="7" t="s">
        <v>279</v>
      </c>
      <c r="F21" s="7" t="s">
        <v>280</v>
      </c>
      <c r="G21" s="7" t="s">
        <v>266</v>
      </c>
      <c r="H21" s="7" t="s">
        <v>267</v>
      </c>
      <c r="I21" s="8">
        <v>4</v>
      </c>
      <c r="J21" s="8">
        <v>47636</v>
      </c>
    </row>
    <row r="22" spans="1:10">
      <c r="A22" s="7" t="s">
        <v>61</v>
      </c>
      <c r="B22" s="7" t="s">
        <v>62</v>
      </c>
      <c r="C22" s="7" t="s">
        <v>109</v>
      </c>
      <c r="D22" s="7" t="s">
        <v>110</v>
      </c>
      <c r="E22" s="7" t="s">
        <v>273</v>
      </c>
      <c r="F22" s="7" t="s">
        <v>274</v>
      </c>
      <c r="G22" s="7" t="s">
        <v>275</v>
      </c>
      <c r="H22" s="7" t="s">
        <v>276</v>
      </c>
      <c r="I22" s="8">
        <v>12</v>
      </c>
      <c r="J22" s="8">
        <v>550363</v>
      </c>
    </row>
    <row r="23" spans="1:10">
      <c r="A23" s="7" t="s">
        <v>61</v>
      </c>
      <c r="B23" s="7" t="s">
        <v>62</v>
      </c>
      <c r="C23" s="7" t="s">
        <v>109</v>
      </c>
      <c r="D23" s="7" t="s">
        <v>110</v>
      </c>
      <c r="E23" s="7" t="s">
        <v>273</v>
      </c>
      <c r="F23" s="7" t="s">
        <v>274</v>
      </c>
      <c r="G23" s="7" t="s">
        <v>277</v>
      </c>
      <c r="H23" s="7" t="s">
        <v>278</v>
      </c>
      <c r="I23" s="8">
        <v>21</v>
      </c>
      <c r="J23" s="8">
        <v>1576911</v>
      </c>
    </row>
    <row r="24" spans="1:10">
      <c r="A24" s="7" t="s">
        <v>61</v>
      </c>
      <c r="B24" s="7" t="s">
        <v>62</v>
      </c>
      <c r="C24" s="7" t="s">
        <v>109</v>
      </c>
      <c r="D24" s="7" t="s">
        <v>110</v>
      </c>
      <c r="E24" s="7" t="s">
        <v>279</v>
      </c>
      <c r="F24" s="7" t="s">
        <v>280</v>
      </c>
      <c r="G24" s="7" t="s">
        <v>258</v>
      </c>
      <c r="H24" s="7" t="s">
        <v>259</v>
      </c>
      <c r="I24" s="8">
        <v>1</v>
      </c>
      <c r="J24" s="8">
        <v>61545</v>
      </c>
    </row>
    <row r="25" spans="1:10">
      <c r="A25" s="7" t="s">
        <v>61</v>
      </c>
      <c r="B25" s="7" t="s">
        <v>62</v>
      </c>
      <c r="C25" s="7" t="s">
        <v>109</v>
      </c>
      <c r="D25" s="7" t="s">
        <v>110</v>
      </c>
      <c r="E25" s="7" t="s">
        <v>279</v>
      </c>
      <c r="F25" s="7" t="s">
        <v>280</v>
      </c>
      <c r="G25" s="7" t="s">
        <v>260</v>
      </c>
      <c r="H25" s="7" t="s">
        <v>261</v>
      </c>
      <c r="I25" s="8">
        <v>1</v>
      </c>
      <c r="J25" s="8">
        <v>26182</v>
      </c>
    </row>
    <row r="26" spans="1:10">
      <c r="A26" s="7" t="s">
        <v>61</v>
      </c>
      <c r="B26" s="7" t="s">
        <v>62</v>
      </c>
      <c r="C26" s="7" t="s">
        <v>109</v>
      </c>
      <c r="D26" s="7" t="s">
        <v>110</v>
      </c>
      <c r="E26" s="7" t="s">
        <v>279</v>
      </c>
      <c r="F26" s="7" t="s">
        <v>280</v>
      </c>
      <c r="G26" s="7" t="s">
        <v>262</v>
      </c>
      <c r="H26" s="7" t="s">
        <v>263</v>
      </c>
      <c r="I26" s="8">
        <v>4</v>
      </c>
      <c r="J26" s="8">
        <v>95636</v>
      </c>
    </row>
    <row r="27" spans="1:10">
      <c r="A27" s="7" t="s">
        <v>61</v>
      </c>
      <c r="B27" s="7" t="s">
        <v>62</v>
      </c>
      <c r="C27" s="7" t="s">
        <v>109</v>
      </c>
      <c r="D27" s="7" t="s">
        <v>110</v>
      </c>
      <c r="E27" s="7" t="s">
        <v>279</v>
      </c>
      <c r="F27" s="7" t="s">
        <v>280</v>
      </c>
      <c r="G27" s="7" t="s">
        <v>264</v>
      </c>
      <c r="H27" s="7" t="s">
        <v>265</v>
      </c>
      <c r="I27" s="8">
        <v>4</v>
      </c>
      <c r="J27" s="8">
        <v>80364</v>
      </c>
    </row>
    <row r="28" spans="1:10">
      <c r="A28" s="7" t="s">
        <v>61</v>
      </c>
      <c r="B28" s="7" t="s">
        <v>62</v>
      </c>
      <c r="C28" s="7" t="s">
        <v>109</v>
      </c>
      <c r="D28" s="7" t="s">
        <v>110</v>
      </c>
      <c r="E28" s="7" t="s">
        <v>279</v>
      </c>
      <c r="F28" s="7" t="s">
        <v>280</v>
      </c>
      <c r="G28" s="7" t="s">
        <v>266</v>
      </c>
      <c r="H28" s="7" t="s">
        <v>267</v>
      </c>
      <c r="I28" s="8">
        <v>2</v>
      </c>
      <c r="J28" s="8">
        <v>23818</v>
      </c>
    </row>
    <row r="29" spans="1:10">
      <c r="A29" s="7" t="s">
        <v>61</v>
      </c>
      <c r="B29" s="7" t="s">
        <v>62</v>
      </c>
      <c r="C29" s="7" t="s">
        <v>111</v>
      </c>
      <c r="D29" s="7" t="s">
        <v>112</v>
      </c>
      <c r="E29" s="7" t="s">
        <v>273</v>
      </c>
      <c r="F29" s="7" t="s">
        <v>274</v>
      </c>
      <c r="G29" s="7" t="s">
        <v>275</v>
      </c>
      <c r="H29" s="7" t="s">
        <v>276</v>
      </c>
      <c r="I29" s="8">
        <v>8</v>
      </c>
      <c r="J29" s="8">
        <v>370727</v>
      </c>
    </row>
    <row r="30" spans="1:10">
      <c r="A30" s="7" t="s">
        <v>61</v>
      </c>
      <c r="B30" s="7" t="s">
        <v>62</v>
      </c>
      <c r="C30" s="7" t="s">
        <v>111</v>
      </c>
      <c r="D30" s="7" t="s">
        <v>112</v>
      </c>
      <c r="E30" s="7" t="s">
        <v>273</v>
      </c>
      <c r="F30" s="7" t="s">
        <v>274</v>
      </c>
      <c r="G30" s="7" t="s">
        <v>277</v>
      </c>
      <c r="H30" s="7" t="s">
        <v>278</v>
      </c>
      <c r="I30" s="8">
        <v>26</v>
      </c>
      <c r="J30" s="8">
        <v>1952366</v>
      </c>
    </row>
    <row r="31" spans="1:10">
      <c r="A31" s="7" t="s">
        <v>61</v>
      </c>
      <c r="B31" s="7" t="s">
        <v>62</v>
      </c>
      <c r="C31" s="7" t="s">
        <v>111</v>
      </c>
      <c r="D31" s="7" t="s">
        <v>112</v>
      </c>
      <c r="E31" s="7" t="s">
        <v>279</v>
      </c>
      <c r="F31" s="7" t="s">
        <v>280</v>
      </c>
      <c r="G31" s="7" t="s">
        <v>258</v>
      </c>
      <c r="H31" s="7" t="s">
        <v>259</v>
      </c>
      <c r="I31" s="8">
        <v>1</v>
      </c>
      <c r="J31" s="8">
        <v>44909</v>
      </c>
    </row>
    <row r="32" spans="1:10">
      <c r="A32" s="7" t="s">
        <v>61</v>
      </c>
      <c r="B32" s="7" t="s">
        <v>62</v>
      </c>
      <c r="C32" s="7" t="s">
        <v>111</v>
      </c>
      <c r="D32" s="7" t="s">
        <v>112</v>
      </c>
      <c r="E32" s="7" t="s">
        <v>279</v>
      </c>
      <c r="F32" s="7" t="s">
        <v>280</v>
      </c>
      <c r="G32" s="7" t="s">
        <v>262</v>
      </c>
      <c r="H32" s="7" t="s">
        <v>263</v>
      </c>
      <c r="I32" s="8">
        <v>5</v>
      </c>
      <c r="J32" s="8">
        <v>119545</v>
      </c>
    </row>
    <row r="33" spans="1:10">
      <c r="A33" s="7" t="s">
        <v>61</v>
      </c>
      <c r="B33" s="7" t="s">
        <v>62</v>
      </c>
      <c r="C33" s="7" t="s">
        <v>111</v>
      </c>
      <c r="D33" s="7" t="s">
        <v>112</v>
      </c>
      <c r="E33" s="7" t="s">
        <v>279</v>
      </c>
      <c r="F33" s="7" t="s">
        <v>280</v>
      </c>
      <c r="G33" s="7" t="s">
        <v>266</v>
      </c>
      <c r="H33" s="7" t="s">
        <v>267</v>
      </c>
      <c r="I33" s="8">
        <v>6</v>
      </c>
      <c r="J33" s="8">
        <v>71454</v>
      </c>
    </row>
    <row r="34" spans="1:10">
      <c r="A34" s="7" t="s">
        <v>113</v>
      </c>
      <c r="B34" s="7" t="s">
        <v>114</v>
      </c>
      <c r="C34" s="7" t="s">
        <v>115</v>
      </c>
      <c r="D34" s="7" t="s">
        <v>116</v>
      </c>
      <c r="E34" s="7" t="s">
        <v>279</v>
      </c>
      <c r="F34" s="7" t="s">
        <v>280</v>
      </c>
      <c r="G34" s="7" t="s">
        <v>264</v>
      </c>
      <c r="H34" s="7" t="s">
        <v>265</v>
      </c>
      <c r="I34" s="8">
        <v>1</v>
      </c>
      <c r="J34" s="8">
        <v>20091</v>
      </c>
    </row>
    <row r="35" spans="1:10">
      <c r="A35" s="7" t="s">
        <v>113</v>
      </c>
      <c r="B35" s="7" t="s">
        <v>114</v>
      </c>
      <c r="C35" s="7" t="s">
        <v>117</v>
      </c>
      <c r="D35" s="7" t="s">
        <v>118</v>
      </c>
      <c r="E35" s="7" t="s">
        <v>273</v>
      </c>
      <c r="F35" s="7" t="s">
        <v>274</v>
      </c>
      <c r="G35" s="7" t="s">
        <v>275</v>
      </c>
      <c r="H35" s="7" t="s">
        <v>276</v>
      </c>
      <c r="I35" s="8">
        <v>12</v>
      </c>
      <c r="J35" s="8">
        <v>538908</v>
      </c>
    </row>
    <row r="36" spans="1:10">
      <c r="A36" s="7" t="s">
        <v>113</v>
      </c>
      <c r="B36" s="7" t="s">
        <v>114</v>
      </c>
      <c r="C36" s="7" t="s">
        <v>117</v>
      </c>
      <c r="D36" s="7" t="s">
        <v>118</v>
      </c>
      <c r="E36" s="7" t="s">
        <v>273</v>
      </c>
      <c r="F36" s="7" t="s">
        <v>274</v>
      </c>
      <c r="G36" s="7" t="s">
        <v>277</v>
      </c>
      <c r="H36" s="7" t="s">
        <v>278</v>
      </c>
      <c r="I36" s="8">
        <v>32</v>
      </c>
      <c r="J36" s="8">
        <v>2402912</v>
      </c>
    </row>
    <row r="37" spans="1:10">
      <c r="A37" s="7" t="s">
        <v>113</v>
      </c>
      <c r="B37" s="7" t="s">
        <v>114</v>
      </c>
      <c r="C37" s="7" t="s">
        <v>117</v>
      </c>
      <c r="D37" s="7" t="s">
        <v>118</v>
      </c>
      <c r="E37" s="7" t="s">
        <v>279</v>
      </c>
      <c r="F37" s="7" t="s">
        <v>280</v>
      </c>
      <c r="G37" s="7" t="s">
        <v>258</v>
      </c>
      <c r="H37" s="7" t="s">
        <v>259</v>
      </c>
      <c r="I37" s="8">
        <v>1</v>
      </c>
      <c r="J37" s="8">
        <v>26818</v>
      </c>
    </row>
    <row r="38" spans="1:10">
      <c r="A38" s="7" t="s">
        <v>113</v>
      </c>
      <c r="B38" s="7" t="s">
        <v>114</v>
      </c>
      <c r="C38" s="7" t="s">
        <v>117</v>
      </c>
      <c r="D38" s="7" t="s">
        <v>118</v>
      </c>
      <c r="E38" s="7" t="s">
        <v>279</v>
      </c>
      <c r="F38" s="7" t="s">
        <v>280</v>
      </c>
      <c r="G38" s="7" t="s">
        <v>262</v>
      </c>
      <c r="H38" s="7" t="s">
        <v>263</v>
      </c>
      <c r="I38" s="8">
        <v>11</v>
      </c>
      <c r="J38" s="8">
        <v>329183</v>
      </c>
    </row>
    <row r="39" spans="1:10">
      <c r="A39" s="7" t="s">
        <v>113</v>
      </c>
      <c r="B39" s="7" t="s">
        <v>114</v>
      </c>
      <c r="C39" s="7" t="s">
        <v>117</v>
      </c>
      <c r="D39" s="7" t="s">
        <v>118</v>
      </c>
      <c r="E39" s="7" t="s">
        <v>279</v>
      </c>
      <c r="F39" s="7" t="s">
        <v>280</v>
      </c>
      <c r="G39" s="7" t="s">
        <v>266</v>
      </c>
      <c r="H39" s="7" t="s">
        <v>267</v>
      </c>
      <c r="I39" s="8">
        <v>7</v>
      </c>
      <c r="J39" s="8">
        <v>83363</v>
      </c>
    </row>
    <row r="40" spans="1:10">
      <c r="A40" s="7" t="s">
        <v>113</v>
      </c>
      <c r="B40" s="7" t="s">
        <v>114</v>
      </c>
      <c r="C40" s="7" t="s">
        <v>119</v>
      </c>
      <c r="D40" s="7" t="s">
        <v>120</v>
      </c>
      <c r="E40" s="7" t="s">
        <v>273</v>
      </c>
      <c r="F40" s="7" t="s">
        <v>274</v>
      </c>
      <c r="G40" s="7" t="s">
        <v>275</v>
      </c>
      <c r="H40" s="7" t="s">
        <v>276</v>
      </c>
      <c r="I40" s="8">
        <v>16</v>
      </c>
      <c r="J40" s="8">
        <v>787274</v>
      </c>
    </row>
    <row r="41" spans="1:10">
      <c r="A41" s="7" t="s">
        <v>113</v>
      </c>
      <c r="B41" s="7" t="s">
        <v>114</v>
      </c>
      <c r="C41" s="7" t="s">
        <v>119</v>
      </c>
      <c r="D41" s="7" t="s">
        <v>120</v>
      </c>
      <c r="E41" s="7" t="s">
        <v>273</v>
      </c>
      <c r="F41" s="7" t="s">
        <v>274</v>
      </c>
      <c r="G41" s="7" t="s">
        <v>277</v>
      </c>
      <c r="H41" s="7" t="s">
        <v>278</v>
      </c>
      <c r="I41" s="8">
        <v>20</v>
      </c>
      <c r="J41" s="8">
        <v>1501821</v>
      </c>
    </row>
    <row r="42" spans="1:10">
      <c r="A42" s="7" t="s">
        <v>113</v>
      </c>
      <c r="B42" s="7" t="s">
        <v>114</v>
      </c>
      <c r="C42" s="7" t="s">
        <v>119</v>
      </c>
      <c r="D42" s="7" t="s">
        <v>120</v>
      </c>
      <c r="E42" s="7" t="s">
        <v>279</v>
      </c>
      <c r="F42" s="7" t="s">
        <v>280</v>
      </c>
      <c r="G42" s="7" t="s">
        <v>262</v>
      </c>
      <c r="H42" s="7" t="s">
        <v>263</v>
      </c>
      <c r="I42" s="8">
        <v>7</v>
      </c>
      <c r="J42" s="8">
        <v>167363</v>
      </c>
    </row>
    <row r="43" spans="1:10">
      <c r="A43" s="7" t="s">
        <v>113</v>
      </c>
      <c r="B43" s="7" t="s">
        <v>114</v>
      </c>
      <c r="C43" s="7" t="s">
        <v>119</v>
      </c>
      <c r="D43" s="7" t="s">
        <v>120</v>
      </c>
      <c r="E43" s="7" t="s">
        <v>279</v>
      </c>
      <c r="F43" s="7" t="s">
        <v>280</v>
      </c>
      <c r="G43" s="7" t="s">
        <v>264</v>
      </c>
      <c r="H43" s="7" t="s">
        <v>265</v>
      </c>
      <c r="I43" s="8">
        <v>1</v>
      </c>
      <c r="J43" s="8">
        <v>20091</v>
      </c>
    </row>
    <row r="44" spans="1:10">
      <c r="A44" s="7" t="s">
        <v>113</v>
      </c>
      <c r="B44" s="7" t="s">
        <v>114</v>
      </c>
      <c r="C44" s="7" t="s">
        <v>119</v>
      </c>
      <c r="D44" s="7" t="s">
        <v>120</v>
      </c>
      <c r="E44" s="7" t="s">
        <v>279</v>
      </c>
      <c r="F44" s="7" t="s">
        <v>280</v>
      </c>
      <c r="G44" s="7" t="s">
        <v>266</v>
      </c>
      <c r="H44" s="7" t="s">
        <v>267</v>
      </c>
      <c r="I44" s="8">
        <v>4</v>
      </c>
      <c r="J44" s="8">
        <v>47636</v>
      </c>
    </row>
    <row r="45" spans="1:10">
      <c r="A45" s="7" t="s">
        <v>113</v>
      </c>
      <c r="B45" s="7" t="s">
        <v>114</v>
      </c>
      <c r="C45" s="7" t="s">
        <v>121</v>
      </c>
      <c r="D45" s="7" t="s">
        <v>122</v>
      </c>
      <c r="E45" s="7" t="s">
        <v>273</v>
      </c>
      <c r="F45" s="7" t="s">
        <v>274</v>
      </c>
      <c r="G45" s="7" t="s">
        <v>275</v>
      </c>
      <c r="H45" s="7" t="s">
        <v>276</v>
      </c>
      <c r="I45" s="8">
        <v>17</v>
      </c>
      <c r="J45" s="8">
        <v>774909</v>
      </c>
    </row>
    <row r="46" spans="1:10">
      <c r="A46" s="7" t="s">
        <v>113</v>
      </c>
      <c r="B46" s="7" t="s">
        <v>114</v>
      </c>
      <c r="C46" s="7" t="s">
        <v>121</v>
      </c>
      <c r="D46" s="7" t="s">
        <v>122</v>
      </c>
      <c r="E46" s="7" t="s">
        <v>273</v>
      </c>
      <c r="F46" s="7" t="s">
        <v>274</v>
      </c>
      <c r="G46" s="7" t="s">
        <v>277</v>
      </c>
      <c r="H46" s="7" t="s">
        <v>278</v>
      </c>
      <c r="I46" s="8">
        <v>25</v>
      </c>
      <c r="J46" s="8">
        <v>1877274</v>
      </c>
    </row>
    <row r="47" spans="1:10">
      <c r="A47" s="7" t="s">
        <v>113</v>
      </c>
      <c r="B47" s="7" t="s">
        <v>114</v>
      </c>
      <c r="C47" s="7" t="s">
        <v>121</v>
      </c>
      <c r="D47" s="7" t="s">
        <v>122</v>
      </c>
      <c r="E47" s="7" t="s">
        <v>279</v>
      </c>
      <c r="F47" s="7" t="s">
        <v>280</v>
      </c>
      <c r="G47" s="7" t="s">
        <v>258</v>
      </c>
      <c r="H47" s="7" t="s">
        <v>259</v>
      </c>
      <c r="I47" s="8">
        <v>1</v>
      </c>
      <c r="J47" s="8">
        <v>26818</v>
      </c>
    </row>
    <row r="48" spans="1:10">
      <c r="A48" s="7" t="s">
        <v>113</v>
      </c>
      <c r="B48" s="7" t="s">
        <v>114</v>
      </c>
      <c r="C48" s="7" t="s">
        <v>121</v>
      </c>
      <c r="D48" s="7" t="s">
        <v>122</v>
      </c>
      <c r="E48" s="7" t="s">
        <v>279</v>
      </c>
      <c r="F48" s="7" t="s">
        <v>280</v>
      </c>
      <c r="G48" s="7" t="s">
        <v>260</v>
      </c>
      <c r="H48" s="7" t="s">
        <v>261</v>
      </c>
      <c r="I48" s="8">
        <v>1</v>
      </c>
      <c r="J48" s="8">
        <v>40545</v>
      </c>
    </row>
    <row r="49" spans="1:10">
      <c r="A49" s="7" t="s">
        <v>113</v>
      </c>
      <c r="B49" s="7" t="s">
        <v>114</v>
      </c>
      <c r="C49" s="7" t="s">
        <v>121</v>
      </c>
      <c r="D49" s="7" t="s">
        <v>122</v>
      </c>
      <c r="E49" s="7" t="s">
        <v>279</v>
      </c>
      <c r="F49" s="7" t="s">
        <v>280</v>
      </c>
      <c r="G49" s="7" t="s">
        <v>262</v>
      </c>
      <c r="H49" s="7" t="s">
        <v>263</v>
      </c>
      <c r="I49" s="8">
        <v>5</v>
      </c>
      <c r="J49" s="8">
        <v>169183</v>
      </c>
    </row>
    <row r="50" spans="1:10">
      <c r="A50" s="7" t="s">
        <v>113</v>
      </c>
      <c r="B50" s="7" t="s">
        <v>114</v>
      </c>
      <c r="C50" s="7" t="s">
        <v>121</v>
      </c>
      <c r="D50" s="7" t="s">
        <v>122</v>
      </c>
      <c r="E50" s="7" t="s">
        <v>279</v>
      </c>
      <c r="F50" s="7" t="s">
        <v>280</v>
      </c>
      <c r="G50" s="7" t="s">
        <v>264</v>
      </c>
      <c r="H50" s="7" t="s">
        <v>265</v>
      </c>
      <c r="I50" s="8">
        <v>1</v>
      </c>
      <c r="J50" s="8">
        <v>20091</v>
      </c>
    </row>
    <row r="51" spans="1:10">
      <c r="A51" s="7" t="s">
        <v>113</v>
      </c>
      <c r="B51" s="7" t="s">
        <v>114</v>
      </c>
      <c r="C51" s="7" t="s">
        <v>121</v>
      </c>
      <c r="D51" s="7" t="s">
        <v>122</v>
      </c>
      <c r="E51" s="7" t="s">
        <v>279</v>
      </c>
      <c r="F51" s="7" t="s">
        <v>280</v>
      </c>
      <c r="G51" s="7" t="s">
        <v>266</v>
      </c>
      <c r="H51" s="7" t="s">
        <v>267</v>
      </c>
      <c r="I51" s="8">
        <v>6</v>
      </c>
      <c r="J51" s="8">
        <v>71454</v>
      </c>
    </row>
    <row r="52" spans="1:10">
      <c r="A52" s="7" t="s">
        <v>113</v>
      </c>
      <c r="B52" s="7" t="s">
        <v>114</v>
      </c>
      <c r="C52" s="7" t="s">
        <v>123</v>
      </c>
      <c r="D52" s="7" t="s">
        <v>124</v>
      </c>
      <c r="E52" s="7" t="s">
        <v>273</v>
      </c>
      <c r="F52" s="7" t="s">
        <v>274</v>
      </c>
      <c r="G52" s="7" t="s">
        <v>275</v>
      </c>
      <c r="H52" s="7" t="s">
        <v>276</v>
      </c>
      <c r="I52" s="8">
        <v>11</v>
      </c>
      <c r="J52" s="8">
        <v>516909</v>
      </c>
    </row>
    <row r="53" spans="1:10">
      <c r="A53" s="7" t="s">
        <v>113</v>
      </c>
      <c r="B53" s="7" t="s">
        <v>114</v>
      </c>
      <c r="C53" s="7" t="s">
        <v>123</v>
      </c>
      <c r="D53" s="7" t="s">
        <v>124</v>
      </c>
      <c r="E53" s="7" t="s">
        <v>273</v>
      </c>
      <c r="F53" s="7" t="s">
        <v>274</v>
      </c>
      <c r="G53" s="7" t="s">
        <v>277</v>
      </c>
      <c r="H53" s="7" t="s">
        <v>278</v>
      </c>
      <c r="I53" s="8">
        <v>20</v>
      </c>
      <c r="J53" s="8">
        <v>1501820</v>
      </c>
    </row>
    <row r="54" spans="1:10">
      <c r="A54" s="7" t="s">
        <v>113</v>
      </c>
      <c r="B54" s="7" t="s">
        <v>114</v>
      </c>
      <c r="C54" s="7" t="s">
        <v>123</v>
      </c>
      <c r="D54" s="7" t="s">
        <v>124</v>
      </c>
      <c r="E54" s="7" t="s">
        <v>279</v>
      </c>
      <c r="F54" s="7" t="s">
        <v>280</v>
      </c>
      <c r="G54" s="7" t="s">
        <v>258</v>
      </c>
      <c r="H54" s="7" t="s">
        <v>259</v>
      </c>
      <c r="I54" s="8">
        <v>1</v>
      </c>
      <c r="J54" s="8">
        <v>26818</v>
      </c>
    </row>
    <row r="55" spans="1:10">
      <c r="A55" s="7" t="s">
        <v>113</v>
      </c>
      <c r="B55" s="7" t="s">
        <v>114</v>
      </c>
      <c r="C55" s="7" t="s">
        <v>123</v>
      </c>
      <c r="D55" s="7" t="s">
        <v>124</v>
      </c>
      <c r="E55" s="7" t="s">
        <v>279</v>
      </c>
      <c r="F55" s="7" t="s">
        <v>280</v>
      </c>
      <c r="G55" s="7" t="s">
        <v>262</v>
      </c>
      <c r="H55" s="7" t="s">
        <v>263</v>
      </c>
      <c r="I55" s="8">
        <v>1</v>
      </c>
      <c r="J55" s="8">
        <v>23909</v>
      </c>
    </row>
    <row r="56" spans="1:10">
      <c r="A56" s="7" t="s">
        <v>113</v>
      </c>
      <c r="B56" s="7" t="s">
        <v>114</v>
      </c>
      <c r="C56" s="7" t="s">
        <v>123</v>
      </c>
      <c r="D56" s="7" t="s">
        <v>124</v>
      </c>
      <c r="E56" s="7" t="s">
        <v>279</v>
      </c>
      <c r="F56" s="7" t="s">
        <v>280</v>
      </c>
      <c r="G56" s="7" t="s">
        <v>264</v>
      </c>
      <c r="H56" s="7" t="s">
        <v>265</v>
      </c>
      <c r="I56" s="8">
        <v>2</v>
      </c>
      <c r="J56" s="8">
        <v>40182</v>
      </c>
    </row>
    <row r="57" spans="1:10">
      <c r="A57" s="7" t="s">
        <v>113</v>
      </c>
      <c r="B57" s="7" t="s">
        <v>114</v>
      </c>
      <c r="C57" s="7" t="s">
        <v>123</v>
      </c>
      <c r="D57" s="7" t="s">
        <v>124</v>
      </c>
      <c r="E57" s="7" t="s">
        <v>279</v>
      </c>
      <c r="F57" s="7" t="s">
        <v>280</v>
      </c>
      <c r="G57" s="7" t="s">
        <v>266</v>
      </c>
      <c r="H57" s="7" t="s">
        <v>267</v>
      </c>
      <c r="I57" s="8">
        <v>2</v>
      </c>
      <c r="J57" s="8">
        <v>23818</v>
      </c>
    </row>
    <row r="58" spans="1:10">
      <c r="A58" s="7" t="s">
        <v>127</v>
      </c>
      <c r="B58" s="7" t="s">
        <v>128</v>
      </c>
      <c r="C58" s="7" t="s">
        <v>129</v>
      </c>
      <c r="D58" s="7" t="s">
        <v>130</v>
      </c>
      <c r="E58" s="7" t="s">
        <v>273</v>
      </c>
      <c r="F58" s="7" t="s">
        <v>274</v>
      </c>
      <c r="G58" s="7" t="s">
        <v>275</v>
      </c>
      <c r="H58" s="7" t="s">
        <v>276</v>
      </c>
      <c r="I58" s="8">
        <v>7</v>
      </c>
      <c r="J58" s="8">
        <v>348728</v>
      </c>
    </row>
    <row r="59" spans="1:10">
      <c r="A59" s="7" t="s">
        <v>127</v>
      </c>
      <c r="B59" s="7" t="s">
        <v>128</v>
      </c>
      <c r="C59" s="7" t="s">
        <v>129</v>
      </c>
      <c r="D59" s="7" t="s">
        <v>130</v>
      </c>
      <c r="E59" s="7" t="s">
        <v>273</v>
      </c>
      <c r="F59" s="7" t="s">
        <v>274</v>
      </c>
      <c r="G59" s="7" t="s">
        <v>277</v>
      </c>
      <c r="H59" s="7" t="s">
        <v>278</v>
      </c>
      <c r="I59" s="8">
        <v>27</v>
      </c>
      <c r="J59" s="8">
        <v>2027457</v>
      </c>
    </row>
    <row r="60" spans="1:10">
      <c r="A60" s="7" t="s">
        <v>127</v>
      </c>
      <c r="B60" s="7" t="s">
        <v>128</v>
      </c>
      <c r="C60" s="7" t="s">
        <v>129</v>
      </c>
      <c r="D60" s="7" t="s">
        <v>130</v>
      </c>
      <c r="E60" s="7" t="s">
        <v>279</v>
      </c>
      <c r="F60" s="7" t="s">
        <v>280</v>
      </c>
      <c r="G60" s="7" t="s">
        <v>258</v>
      </c>
      <c r="H60" s="7" t="s">
        <v>259</v>
      </c>
      <c r="I60" s="8">
        <v>1</v>
      </c>
      <c r="J60" s="8">
        <v>61545</v>
      </c>
    </row>
    <row r="61" spans="1:10">
      <c r="A61" s="7" t="s">
        <v>127</v>
      </c>
      <c r="B61" s="7" t="s">
        <v>128</v>
      </c>
      <c r="C61" s="7" t="s">
        <v>129</v>
      </c>
      <c r="D61" s="7" t="s">
        <v>130</v>
      </c>
      <c r="E61" s="7" t="s">
        <v>279</v>
      </c>
      <c r="F61" s="7" t="s">
        <v>280</v>
      </c>
      <c r="G61" s="7" t="s">
        <v>262</v>
      </c>
      <c r="H61" s="7" t="s">
        <v>263</v>
      </c>
      <c r="I61" s="8">
        <v>9</v>
      </c>
      <c r="J61" s="8">
        <v>281365</v>
      </c>
    </row>
    <row r="62" spans="1:10">
      <c r="A62" s="7" t="s">
        <v>127</v>
      </c>
      <c r="B62" s="7" t="s">
        <v>128</v>
      </c>
      <c r="C62" s="7" t="s">
        <v>129</v>
      </c>
      <c r="D62" s="7" t="s">
        <v>130</v>
      </c>
      <c r="E62" s="7" t="s">
        <v>279</v>
      </c>
      <c r="F62" s="7" t="s">
        <v>280</v>
      </c>
      <c r="G62" s="7" t="s">
        <v>266</v>
      </c>
      <c r="H62" s="7" t="s">
        <v>267</v>
      </c>
      <c r="I62" s="8">
        <v>7</v>
      </c>
      <c r="J62" s="8">
        <v>83363</v>
      </c>
    </row>
    <row r="63" spans="1:10">
      <c r="A63" s="7" t="s">
        <v>127</v>
      </c>
      <c r="B63" s="7" t="s">
        <v>128</v>
      </c>
      <c r="C63" s="7" t="s">
        <v>131</v>
      </c>
      <c r="D63" s="7" t="s">
        <v>132</v>
      </c>
      <c r="E63" s="7" t="s">
        <v>273</v>
      </c>
      <c r="F63" s="7" t="s">
        <v>274</v>
      </c>
      <c r="G63" s="7" t="s">
        <v>275</v>
      </c>
      <c r="H63" s="7" t="s">
        <v>276</v>
      </c>
      <c r="I63" s="8">
        <v>12</v>
      </c>
      <c r="J63" s="8">
        <v>538908</v>
      </c>
    </row>
    <row r="64" spans="1:10">
      <c r="A64" s="7" t="s">
        <v>127</v>
      </c>
      <c r="B64" s="7" t="s">
        <v>128</v>
      </c>
      <c r="C64" s="7" t="s">
        <v>131</v>
      </c>
      <c r="D64" s="7" t="s">
        <v>132</v>
      </c>
      <c r="E64" s="7" t="s">
        <v>273</v>
      </c>
      <c r="F64" s="7" t="s">
        <v>274</v>
      </c>
      <c r="G64" s="7" t="s">
        <v>277</v>
      </c>
      <c r="H64" s="7" t="s">
        <v>278</v>
      </c>
      <c r="I64" s="8">
        <v>15</v>
      </c>
      <c r="J64" s="8">
        <v>1126366</v>
      </c>
    </row>
    <row r="65" spans="1:10">
      <c r="A65" s="7" t="s">
        <v>127</v>
      </c>
      <c r="B65" s="7" t="s">
        <v>128</v>
      </c>
      <c r="C65" s="7" t="s">
        <v>131</v>
      </c>
      <c r="D65" s="7" t="s">
        <v>132</v>
      </c>
      <c r="E65" s="7" t="s">
        <v>279</v>
      </c>
      <c r="F65" s="7" t="s">
        <v>280</v>
      </c>
      <c r="G65" s="7" t="s">
        <v>262</v>
      </c>
      <c r="H65" s="7" t="s">
        <v>263</v>
      </c>
      <c r="I65" s="8">
        <v>6</v>
      </c>
      <c r="J65" s="8">
        <v>193092</v>
      </c>
    </row>
    <row r="66" spans="1:10">
      <c r="A66" s="7" t="s">
        <v>127</v>
      </c>
      <c r="B66" s="7" t="s">
        <v>128</v>
      </c>
      <c r="C66" s="7" t="s">
        <v>131</v>
      </c>
      <c r="D66" s="7" t="s">
        <v>132</v>
      </c>
      <c r="E66" s="7" t="s">
        <v>279</v>
      </c>
      <c r="F66" s="7" t="s">
        <v>280</v>
      </c>
      <c r="G66" s="7" t="s">
        <v>264</v>
      </c>
      <c r="H66" s="7" t="s">
        <v>265</v>
      </c>
      <c r="I66" s="8">
        <v>1</v>
      </c>
      <c r="J66" s="8">
        <v>20091</v>
      </c>
    </row>
    <row r="67" spans="1:10">
      <c r="A67" s="7" t="s">
        <v>127</v>
      </c>
      <c r="B67" s="7" t="s">
        <v>128</v>
      </c>
      <c r="C67" s="7" t="s">
        <v>131</v>
      </c>
      <c r="D67" s="7" t="s">
        <v>132</v>
      </c>
      <c r="E67" s="7" t="s">
        <v>279</v>
      </c>
      <c r="F67" s="7" t="s">
        <v>280</v>
      </c>
      <c r="G67" s="7" t="s">
        <v>266</v>
      </c>
      <c r="H67" s="7" t="s">
        <v>267</v>
      </c>
      <c r="I67" s="8">
        <v>5</v>
      </c>
      <c r="J67" s="8">
        <v>59545</v>
      </c>
    </row>
    <row r="68" spans="1:10">
      <c r="A68" s="7" t="s">
        <v>127</v>
      </c>
      <c r="B68" s="7" t="s">
        <v>128</v>
      </c>
      <c r="C68" s="7" t="s">
        <v>133</v>
      </c>
      <c r="D68" s="7" t="s">
        <v>134</v>
      </c>
      <c r="E68" s="7" t="s">
        <v>273</v>
      </c>
      <c r="F68" s="7" t="s">
        <v>274</v>
      </c>
      <c r="G68" s="7" t="s">
        <v>275</v>
      </c>
      <c r="H68" s="7" t="s">
        <v>276</v>
      </c>
      <c r="I68" s="8">
        <v>8</v>
      </c>
      <c r="J68" s="8">
        <v>382182</v>
      </c>
    </row>
    <row r="69" spans="1:10">
      <c r="A69" s="7" t="s">
        <v>127</v>
      </c>
      <c r="B69" s="7" t="s">
        <v>128</v>
      </c>
      <c r="C69" s="7" t="s">
        <v>133</v>
      </c>
      <c r="D69" s="7" t="s">
        <v>134</v>
      </c>
      <c r="E69" s="7" t="s">
        <v>273</v>
      </c>
      <c r="F69" s="7" t="s">
        <v>274</v>
      </c>
      <c r="G69" s="7" t="s">
        <v>277</v>
      </c>
      <c r="H69" s="7" t="s">
        <v>278</v>
      </c>
      <c r="I69" s="8">
        <v>40</v>
      </c>
      <c r="J69" s="8">
        <v>3003639</v>
      </c>
    </row>
    <row r="70" spans="1:10">
      <c r="A70" s="7" t="s">
        <v>127</v>
      </c>
      <c r="B70" s="7" t="s">
        <v>128</v>
      </c>
      <c r="C70" s="7" t="s">
        <v>133</v>
      </c>
      <c r="D70" s="7" t="s">
        <v>134</v>
      </c>
      <c r="E70" s="7" t="s">
        <v>279</v>
      </c>
      <c r="F70" s="7" t="s">
        <v>280</v>
      </c>
      <c r="G70" s="7" t="s">
        <v>262</v>
      </c>
      <c r="H70" s="7" t="s">
        <v>263</v>
      </c>
      <c r="I70" s="8">
        <v>5</v>
      </c>
      <c r="J70" s="8">
        <v>119545</v>
      </c>
    </row>
    <row r="71" spans="1:10">
      <c r="A71" s="7" t="s">
        <v>135</v>
      </c>
      <c r="B71" s="7" t="s">
        <v>136</v>
      </c>
      <c r="C71" s="7" t="s">
        <v>137</v>
      </c>
      <c r="D71" s="7" t="s">
        <v>138</v>
      </c>
      <c r="E71" s="7" t="s">
        <v>273</v>
      </c>
      <c r="F71" s="7" t="s">
        <v>274</v>
      </c>
      <c r="G71" s="7" t="s">
        <v>275</v>
      </c>
      <c r="H71" s="7" t="s">
        <v>276</v>
      </c>
      <c r="I71" s="8">
        <v>11</v>
      </c>
      <c r="J71" s="8">
        <v>528365</v>
      </c>
    </row>
    <row r="72" spans="1:10">
      <c r="A72" s="7" t="s">
        <v>135</v>
      </c>
      <c r="B72" s="7" t="s">
        <v>136</v>
      </c>
      <c r="C72" s="7" t="s">
        <v>137</v>
      </c>
      <c r="D72" s="7" t="s">
        <v>138</v>
      </c>
      <c r="E72" s="7" t="s">
        <v>273</v>
      </c>
      <c r="F72" s="7" t="s">
        <v>274</v>
      </c>
      <c r="G72" s="7" t="s">
        <v>277</v>
      </c>
      <c r="H72" s="7" t="s">
        <v>278</v>
      </c>
      <c r="I72" s="8">
        <v>16</v>
      </c>
      <c r="J72" s="8">
        <v>1201456</v>
      </c>
    </row>
    <row r="73" spans="1:10">
      <c r="A73" s="7" t="s">
        <v>135</v>
      </c>
      <c r="B73" s="7" t="s">
        <v>136</v>
      </c>
      <c r="C73" s="7" t="s">
        <v>137</v>
      </c>
      <c r="D73" s="7" t="s">
        <v>138</v>
      </c>
      <c r="E73" s="7" t="s">
        <v>279</v>
      </c>
      <c r="F73" s="7" t="s">
        <v>280</v>
      </c>
      <c r="G73" s="7" t="s">
        <v>258</v>
      </c>
      <c r="H73" s="7" t="s">
        <v>259</v>
      </c>
      <c r="I73" s="8">
        <v>1</v>
      </c>
      <c r="J73" s="8">
        <v>37091</v>
      </c>
    </row>
    <row r="74" spans="1:10">
      <c r="A74" s="7" t="s">
        <v>135</v>
      </c>
      <c r="B74" s="7" t="s">
        <v>136</v>
      </c>
      <c r="C74" s="7" t="s">
        <v>137</v>
      </c>
      <c r="D74" s="7" t="s">
        <v>138</v>
      </c>
      <c r="E74" s="7" t="s">
        <v>279</v>
      </c>
      <c r="F74" s="7" t="s">
        <v>280</v>
      </c>
      <c r="G74" s="7" t="s">
        <v>260</v>
      </c>
      <c r="H74" s="7" t="s">
        <v>261</v>
      </c>
      <c r="I74" s="8">
        <v>2</v>
      </c>
      <c r="J74" s="8">
        <v>42364</v>
      </c>
    </row>
    <row r="75" spans="1:10">
      <c r="A75" s="7" t="s">
        <v>135</v>
      </c>
      <c r="B75" s="7" t="s">
        <v>136</v>
      </c>
      <c r="C75" s="7" t="s">
        <v>137</v>
      </c>
      <c r="D75" s="7" t="s">
        <v>138</v>
      </c>
      <c r="E75" s="7" t="s">
        <v>279</v>
      </c>
      <c r="F75" s="7" t="s">
        <v>280</v>
      </c>
      <c r="G75" s="7" t="s">
        <v>262</v>
      </c>
      <c r="H75" s="7" t="s">
        <v>263</v>
      </c>
      <c r="I75" s="8">
        <v>6</v>
      </c>
      <c r="J75" s="8">
        <v>160000</v>
      </c>
    </row>
    <row r="76" spans="1:10">
      <c r="A76" s="7" t="s">
        <v>135</v>
      </c>
      <c r="B76" s="7" t="s">
        <v>136</v>
      </c>
      <c r="C76" s="7" t="s">
        <v>137</v>
      </c>
      <c r="D76" s="7" t="s">
        <v>138</v>
      </c>
      <c r="E76" s="7" t="s">
        <v>279</v>
      </c>
      <c r="F76" s="7" t="s">
        <v>280</v>
      </c>
      <c r="G76" s="7" t="s">
        <v>266</v>
      </c>
      <c r="H76" s="7" t="s">
        <v>267</v>
      </c>
      <c r="I76" s="8">
        <v>6</v>
      </c>
      <c r="J76" s="8">
        <v>30545</v>
      </c>
    </row>
    <row r="77" spans="1:10">
      <c r="A77" s="7" t="s">
        <v>135</v>
      </c>
      <c r="B77" s="7" t="s">
        <v>136</v>
      </c>
      <c r="C77" s="7" t="s">
        <v>139</v>
      </c>
      <c r="D77" s="7" t="s">
        <v>140</v>
      </c>
      <c r="E77" s="7" t="s">
        <v>273</v>
      </c>
      <c r="F77" s="7" t="s">
        <v>274</v>
      </c>
      <c r="G77" s="7" t="s">
        <v>275</v>
      </c>
      <c r="H77" s="7" t="s">
        <v>276</v>
      </c>
      <c r="I77" s="8">
        <v>19</v>
      </c>
      <c r="J77" s="8">
        <v>876181</v>
      </c>
    </row>
    <row r="78" spans="1:10">
      <c r="A78" s="7" t="s">
        <v>135</v>
      </c>
      <c r="B78" s="7" t="s">
        <v>136</v>
      </c>
      <c r="C78" s="7" t="s">
        <v>139</v>
      </c>
      <c r="D78" s="7" t="s">
        <v>140</v>
      </c>
      <c r="E78" s="7" t="s">
        <v>273</v>
      </c>
      <c r="F78" s="7" t="s">
        <v>274</v>
      </c>
      <c r="G78" s="7" t="s">
        <v>277</v>
      </c>
      <c r="H78" s="7" t="s">
        <v>278</v>
      </c>
      <c r="I78" s="8">
        <v>19</v>
      </c>
      <c r="J78" s="8">
        <v>1426729</v>
      </c>
    </row>
    <row r="79" spans="1:10">
      <c r="A79" s="7" t="s">
        <v>135</v>
      </c>
      <c r="B79" s="7" t="s">
        <v>136</v>
      </c>
      <c r="C79" s="7" t="s">
        <v>139</v>
      </c>
      <c r="D79" s="7" t="s">
        <v>140</v>
      </c>
      <c r="E79" s="7" t="s">
        <v>279</v>
      </c>
      <c r="F79" s="7" t="s">
        <v>280</v>
      </c>
      <c r="G79" s="7" t="s">
        <v>258</v>
      </c>
      <c r="H79" s="7" t="s">
        <v>259</v>
      </c>
      <c r="I79" s="8">
        <v>1</v>
      </c>
      <c r="J79" s="8">
        <v>26818</v>
      </c>
    </row>
    <row r="80" spans="1:10">
      <c r="A80" s="7" t="s">
        <v>135</v>
      </c>
      <c r="B80" s="7" t="s">
        <v>136</v>
      </c>
      <c r="C80" s="7" t="s">
        <v>139</v>
      </c>
      <c r="D80" s="7" t="s">
        <v>140</v>
      </c>
      <c r="E80" s="7" t="s">
        <v>279</v>
      </c>
      <c r="F80" s="7" t="s">
        <v>280</v>
      </c>
      <c r="G80" s="7" t="s">
        <v>260</v>
      </c>
      <c r="H80" s="7" t="s">
        <v>261</v>
      </c>
      <c r="I80" s="8">
        <v>2</v>
      </c>
      <c r="J80" s="8">
        <v>81090</v>
      </c>
    </row>
    <row r="81" spans="1:10">
      <c r="A81" s="7" t="s">
        <v>135</v>
      </c>
      <c r="B81" s="7" t="s">
        <v>136</v>
      </c>
      <c r="C81" s="7" t="s">
        <v>139</v>
      </c>
      <c r="D81" s="7" t="s">
        <v>140</v>
      </c>
      <c r="E81" s="7" t="s">
        <v>279</v>
      </c>
      <c r="F81" s="7" t="s">
        <v>280</v>
      </c>
      <c r="G81" s="7" t="s">
        <v>262</v>
      </c>
      <c r="H81" s="7" t="s">
        <v>263</v>
      </c>
      <c r="I81" s="8">
        <v>4</v>
      </c>
      <c r="J81" s="8">
        <v>128728</v>
      </c>
    </row>
    <row r="82" spans="1:10">
      <c r="A82" s="7" t="s">
        <v>135</v>
      </c>
      <c r="B82" s="7" t="s">
        <v>136</v>
      </c>
      <c r="C82" s="7" t="s">
        <v>139</v>
      </c>
      <c r="D82" s="7" t="s">
        <v>140</v>
      </c>
      <c r="E82" s="7" t="s">
        <v>279</v>
      </c>
      <c r="F82" s="7" t="s">
        <v>280</v>
      </c>
      <c r="G82" s="7" t="s">
        <v>264</v>
      </c>
      <c r="H82" s="7" t="s">
        <v>265</v>
      </c>
      <c r="I82" s="8">
        <v>3</v>
      </c>
      <c r="J82" s="8">
        <v>52909</v>
      </c>
    </row>
    <row r="83" spans="1:10">
      <c r="A83" s="7" t="s">
        <v>135</v>
      </c>
      <c r="B83" s="7" t="s">
        <v>136</v>
      </c>
      <c r="C83" s="7" t="s">
        <v>139</v>
      </c>
      <c r="D83" s="7" t="s">
        <v>140</v>
      </c>
      <c r="E83" s="7" t="s">
        <v>279</v>
      </c>
      <c r="F83" s="7" t="s">
        <v>280</v>
      </c>
      <c r="G83" s="7" t="s">
        <v>266</v>
      </c>
      <c r="H83" s="7" t="s">
        <v>267</v>
      </c>
      <c r="I83" s="8">
        <v>7</v>
      </c>
      <c r="J83" s="8">
        <v>83363</v>
      </c>
    </row>
    <row r="84" spans="1:10">
      <c r="A84" s="7" t="s">
        <v>135</v>
      </c>
      <c r="B84" s="7" t="s">
        <v>136</v>
      </c>
      <c r="C84" s="7" t="s">
        <v>328</v>
      </c>
      <c r="D84" s="7" t="s">
        <v>329</v>
      </c>
      <c r="E84" s="7" t="s">
        <v>273</v>
      </c>
      <c r="F84" s="7" t="s">
        <v>274</v>
      </c>
      <c r="G84" s="7" t="s">
        <v>275</v>
      </c>
      <c r="H84" s="7" t="s">
        <v>276</v>
      </c>
      <c r="I84" s="8">
        <v>5</v>
      </c>
      <c r="J84" s="8">
        <v>224545</v>
      </c>
    </row>
    <row r="85" spans="1:10">
      <c r="A85" s="7" t="s">
        <v>135</v>
      </c>
      <c r="B85" s="7" t="s">
        <v>136</v>
      </c>
      <c r="C85" s="7" t="s">
        <v>328</v>
      </c>
      <c r="D85" s="7" t="s">
        <v>329</v>
      </c>
      <c r="E85" s="7" t="s">
        <v>273</v>
      </c>
      <c r="F85" s="7" t="s">
        <v>274</v>
      </c>
      <c r="G85" s="7" t="s">
        <v>277</v>
      </c>
      <c r="H85" s="7" t="s">
        <v>278</v>
      </c>
      <c r="I85" s="8">
        <v>15</v>
      </c>
      <c r="J85" s="8">
        <v>1126365</v>
      </c>
    </row>
    <row r="86" spans="1:10">
      <c r="A86" s="7" t="s">
        <v>135</v>
      </c>
      <c r="B86" s="7" t="s">
        <v>136</v>
      </c>
      <c r="C86" s="7" t="s">
        <v>328</v>
      </c>
      <c r="D86" s="7" t="s">
        <v>329</v>
      </c>
      <c r="E86" s="7" t="s">
        <v>279</v>
      </c>
      <c r="F86" s="7" t="s">
        <v>280</v>
      </c>
      <c r="G86" s="7" t="s">
        <v>262</v>
      </c>
      <c r="H86" s="7" t="s">
        <v>263</v>
      </c>
      <c r="I86" s="8">
        <v>1</v>
      </c>
      <c r="J86" s="8">
        <v>23909</v>
      </c>
    </row>
    <row r="87" spans="1:10">
      <c r="A87" s="7" t="s">
        <v>135</v>
      </c>
      <c r="B87" s="7" t="s">
        <v>136</v>
      </c>
      <c r="C87" s="7" t="s">
        <v>328</v>
      </c>
      <c r="D87" s="7" t="s">
        <v>329</v>
      </c>
      <c r="E87" s="7" t="s">
        <v>279</v>
      </c>
      <c r="F87" s="7" t="s">
        <v>280</v>
      </c>
      <c r="G87" s="7" t="s">
        <v>266</v>
      </c>
      <c r="H87" s="7" t="s">
        <v>267</v>
      </c>
      <c r="I87" s="8">
        <v>4</v>
      </c>
      <c r="J87" s="8">
        <v>47636</v>
      </c>
    </row>
    <row r="88" spans="1:10">
      <c r="A88" s="7" t="s">
        <v>141</v>
      </c>
      <c r="B88" s="7" t="s">
        <v>142</v>
      </c>
      <c r="C88" s="7" t="s">
        <v>143</v>
      </c>
      <c r="D88" s="7" t="s">
        <v>144</v>
      </c>
      <c r="E88" s="7" t="s">
        <v>273</v>
      </c>
      <c r="F88" s="7" t="s">
        <v>274</v>
      </c>
      <c r="G88" s="7" t="s">
        <v>275</v>
      </c>
      <c r="H88" s="7" t="s">
        <v>276</v>
      </c>
      <c r="I88" s="8">
        <v>11</v>
      </c>
      <c r="J88" s="8">
        <v>505453</v>
      </c>
    </row>
    <row r="89" spans="1:10">
      <c r="A89" s="7" t="s">
        <v>141</v>
      </c>
      <c r="B89" s="7" t="s">
        <v>142</v>
      </c>
      <c r="C89" s="7" t="s">
        <v>143</v>
      </c>
      <c r="D89" s="7" t="s">
        <v>144</v>
      </c>
      <c r="E89" s="7" t="s">
        <v>273</v>
      </c>
      <c r="F89" s="7" t="s">
        <v>274</v>
      </c>
      <c r="G89" s="7" t="s">
        <v>277</v>
      </c>
      <c r="H89" s="7" t="s">
        <v>278</v>
      </c>
      <c r="I89" s="8">
        <v>19</v>
      </c>
      <c r="J89" s="8">
        <v>1426729</v>
      </c>
    </row>
    <row r="90" spans="1:10">
      <c r="A90" s="7" t="s">
        <v>141</v>
      </c>
      <c r="B90" s="7" t="s">
        <v>142</v>
      </c>
      <c r="C90" s="7" t="s">
        <v>143</v>
      </c>
      <c r="D90" s="7" t="s">
        <v>144</v>
      </c>
      <c r="E90" s="7" t="s">
        <v>279</v>
      </c>
      <c r="F90" s="7" t="s">
        <v>280</v>
      </c>
      <c r="G90" s="7" t="s">
        <v>262</v>
      </c>
      <c r="H90" s="7" t="s">
        <v>263</v>
      </c>
      <c r="I90" s="8">
        <v>1</v>
      </c>
      <c r="J90" s="8">
        <v>40455</v>
      </c>
    </row>
    <row r="91" spans="1:10">
      <c r="A91" s="7" t="s">
        <v>141</v>
      </c>
      <c r="B91" s="7" t="s">
        <v>142</v>
      </c>
      <c r="C91" s="7" t="s">
        <v>143</v>
      </c>
      <c r="D91" s="7" t="s">
        <v>144</v>
      </c>
      <c r="E91" s="7" t="s">
        <v>279</v>
      </c>
      <c r="F91" s="7" t="s">
        <v>280</v>
      </c>
      <c r="G91" s="7" t="s">
        <v>266</v>
      </c>
      <c r="H91" s="7" t="s">
        <v>267</v>
      </c>
      <c r="I91" s="8">
        <v>1</v>
      </c>
      <c r="J91" s="8">
        <v>11909</v>
      </c>
    </row>
    <row r="92" spans="1:10">
      <c r="A92" s="7" t="s">
        <v>141</v>
      </c>
      <c r="B92" s="7" t="s">
        <v>142</v>
      </c>
      <c r="C92" s="7" t="s">
        <v>145</v>
      </c>
      <c r="D92" s="7" t="s">
        <v>146</v>
      </c>
      <c r="E92" s="7" t="s">
        <v>273</v>
      </c>
      <c r="F92" s="7" t="s">
        <v>274</v>
      </c>
      <c r="G92" s="7" t="s">
        <v>275</v>
      </c>
      <c r="H92" s="7" t="s">
        <v>276</v>
      </c>
      <c r="I92" s="8">
        <v>23</v>
      </c>
      <c r="J92" s="8">
        <v>1055819</v>
      </c>
    </row>
    <row r="93" spans="1:10">
      <c r="A93" s="7" t="s">
        <v>141</v>
      </c>
      <c r="B93" s="7" t="s">
        <v>142</v>
      </c>
      <c r="C93" s="7" t="s">
        <v>145</v>
      </c>
      <c r="D93" s="7" t="s">
        <v>146</v>
      </c>
      <c r="E93" s="7" t="s">
        <v>273</v>
      </c>
      <c r="F93" s="7" t="s">
        <v>274</v>
      </c>
      <c r="G93" s="7" t="s">
        <v>277</v>
      </c>
      <c r="H93" s="7" t="s">
        <v>278</v>
      </c>
      <c r="I93" s="8">
        <v>24</v>
      </c>
      <c r="J93" s="8">
        <v>1802183</v>
      </c>
    </row>
    <row r="94" spans="1:10">
      <c r="A94" s="7" t="s">
        <v>141</v>
      </c>
      <c r="B94" s="7" t="s">
        <v>142</v>
      </c>
      <c r="C94" s="7" t="s">
        <v>145</v>
      </c>
      <c r="D94" s="7" t="s">
        <v>146</v>
      </c>
      <c r="E94" s="7" t="s">
        <v>279</v>
      </c>
      <c r="F94" s="7" t="s">
        <v>280</v>
      </c>
      <c r="G94" s="7" t="s">
        <v>258</v>
      </c>
      <c r="H94" s="7" t="s">
        <v>259</v>
      </c>
      <c r="I94" s="8">
        <v>1</v>
      </c>
      <c r="J94" s="8">
        <v>61545</v>
      </c>
    </row>
    <row r="95" spans="1:10">
      <c r="A95" s="7" t="s">
        <v>141</v>
      </c>
      <c r="B95" s="7" t="s">
        <v>142</v>
      </c>
      <c r="C95" s="7" t="s">
        <v>145</v>
      </c>
      <c r="D95" s="7" t="s">
        <v>146</v>
      </c>
      <c r="E95" s="7" t="s">
        <v>279</v>
      </c>
      <c r="F95" s="7" t="s">
        <v>280</v>
      </c>
      <c r="G95" s="7" t="s">
        <v>262</v>
      </c>
      <c r="H95" s="7" t="s">
        <v>263</v>
      </c>
      <c r="I95" s="8">
        <v>2</v>
      </c>
      <c r="J95" s="8">
        <v>64364</v>
      </c>
    </row>
    <row r="96" spans="1:10">
      <c r="A96" s="7" t="s">
        <v>141</v>
      </c>
      <c r="B96" s="7" t="s">
        <v>142</v>
      </c>
      <c r="C96" s="7" t="s">
        <v>145</v>
      </c>
      <c r="D96" s="7" t="s">
        <v>146</v>
      </c>
      <c r="E96" s="7" t="s">
        <v>279</v>
      </c>
      <c r="F96" s="7" t="s">
        <v>280</v>
      </c>
      <c r="G96" s="7" t="s">
        <v>264</v>
      </c>
      <c r="H96" s="7" t="s">
        <v>265</v>
      </c>
      <c r="I96" s="8">
        <v>1</v>
      </c>
      <c r="J96" s="8">
        <v>20091</v>
      </c>
    </row>
    <row r="97" spans="1:10">
      <c r="A97" s="7" t="s">
        <v>141</v>
      </c>
      <c r="B97" s="7" t="s">
        <v>142</v>
      </c>
      <c r="C97" s="7" t="s">
        <v>147</v>
      </c>
      <c r="D97" s="7" t="s">
        <v>148</v>
      </c>
      <c r="E97" s="7" t="s">
        <v>273</v>
      </c>
      <c r="F97" s="7" t="s">
        <v>274</v>
      </c>
      <c r="G97" s="7" t="s">
        <v>275</v>
      </c>
      <c r="H97" s="7" t="s">
        <v>276</v>
      </c>
      <c r="I97" s="8">
        <v>18</v>
      </c>
      <c r="J97" s="8">
        <v>865638</v>
      </c>
    </row>
    <row r="98" spans="1:10">
      <c r="A98" s="7" t="s">
        <v>141</v>
      </c>
      <c r="B98" s="7" t="s">
        <v>142</v>
      </c>
      <c r="C98" s="7" t="s">
        <v>147</v>
      </c>
      <c r="D98" s="7" t="s">
        <v>148</v>
      </c>
      <c r="E98" s="7" t="s">
        <v>273</v>
      </c>
      <c r="F98" s="7" t="s">
        <v>274</v>
      </c>
      <c r="G98" s="7" t="s">
        <v>277</v>
      </c>
      <c r="H98" s="7" t="s">
        <v>278</v>
      </c>
      <c r="I98" s="8">
        <v>22</v>
      </c>
      <c r="J98" s="8">
        <v>1652002</v>
      </c>
    </row>
    <row r="99" spans="1:10">
      <c r="A99" s="7" t="s">
        <v>141</v>
      </c>
      <c r="B99" s="7" t="s">
        <v>142</v>
      </c>
      <c r="C99" s="7" t="s">
        <v>147</v>
      </c>
      <c r="D99" s="7" t="s">
        <v>148</v>
      </c>
      <c r="E99" s="7" t="s">
        <v>279</v>
      </c>
      <c r="F99" s="7" t="s">
        <v>280</v>
      </c>
      <c r="G99" s="7" t="s">
        <v>262</v>
      </c>
      <c r="H99" s="7" t="s">
        <v>263</v>
      </c>
      <c r="I99" s="8">
        <v>2</v>
      </c>
      <c r="J99" s="8">
        <v>64364</v>
      </c>
    </row>
    <row r="100" spans="1:10">
      <c r="A100" s="7" t="s">
        <v>141</v>
      </c>
      <c r="B100" s="7" t="s">
        <v>142</v>
      </c>
      <c r="C100" s="7" t="s">
        <v>147</v>
      </c>
      <c r="D100" s="7" t="s">
        <v>148</v>
      </c>
      <c r="E100" s="7" t="s">
        <v>279</v>
      </c>
      <c r="F100" s="7" t="s">
        <v>280</v>
      </c>
      <c r="G100" s="7" t="s">
        <v>264</v>
      </c>
      <c r="H100" s="7" t="s">
        <v>265</v>
      </c>
      <c r="I100" s="8">
        <v>1</v>
      </c>
      <c r="J100" s="8">
        <v>20091</v>
      </c>
    </row>
    <row r="101" spans="1:10">
      <c r="A101" s="7" t="s">
        <v>141</v>
      </c>
      <c r="B101" s="7" t="s">
        <v>142</v>
      </c>
      <c r="C101" s="7" t="s">
        <v>147</v>
      </c>
      <c r="D101" s="7" t="s">
        <v>148</v>
      </c>
      <c r="E101" s="7" t="s">
        <v>279</v>
      </c>
      <c r="F101" s="7" t="s">
        <v>280</v>
      </c>
      <c r="G101" s="7" t="s">
        <v>266</v>
      </c>
      <c r="H101" s="7" t="s">
        <v>267</v>
      </c>
      <c r="I101" s="8">
        <v>1</v>
      </c>
      <c r="J101" s="8">
        <v>11909</v>
      </c>
    </row>
    <row r="102" spans="1:10">
      <c r="A102" s="7" t="s">
        <v>141</v>
      </c>
      <c r="B102" s="7" t="s">
        <v>142</v>
      </c>
      <c r="C102" s="7" t="s">
        <v>149</v>
      </c>
      <c r="D102" s="7" t="s">
        <v>150</v>
      </c>
      <c r="E102" s="7" t="s">
        <v>273</v>
      </c>
      <c r="F102" s="7" t="s">
        <v>274</v>
      </c>
      <c r="G102" s="7" t="s">
        <v>275</v>
      </c>
      <c r="H102" s="7" t="s">
        <v>276</v>
      </c>
      <c r="I102" s="8">
        <v>17</v>
      </c>
      <c r="J102" s="8">
        <v>774908</v>
      </c>
    </row>
    <row r="103" spans="1:10">
      <c r="A103" s="7" t="s">
        <v>141</v>
      </c>
      <c r="B103" s="7" t="s">
        <v>142</v>
      </c>
      <c r="C103" s="7" t="s">
        <v>149</v>
      </c>
      <c r="D103" s="7" t="s">
        <v>150</v>
      </c>
      <c r="E103" s="7" t="s">
        <v>273</v>
      </c>
      <c r="F103" s="7" t="s">
        <v>274</v>
      </c>
      <c r="G103" s="7" t="s">
        <v>277</v>
      </c>
      <c r="H103" s="7" t="s">
        <v>278</v>
      </c>
      <c r="I103" s="8">
        <v>21</v>
      </c>
      <c r="J103" s="8">
        <v>1576911</v>
      </c>
    </row>
    <row r="104" spans="1:10">
      <c r="A104" s="7" t="s">
        <v>141</v>
      </c>
      <c r="B104" s="7" t="s">
        <v>142</v>
      </c>
      <c r="C104" s="7" t="s">
        <v>149</v>
      </c>
      <c r="D104" s="7" t="s">
        <v>150</v>
      </c>
      <c r="E104" s="7" t="s">
        <v>279</v>
      </c>
      <c r="F104" s="7" t="s">
        <v>280</v>
      </c>
      <c r="G104" s="7" t="s">
        <v>258</v>
      </c>
      <c r="H104" s="7" t="s">
        <v>259</v>
      </c>
      <c r="I104" s="8">
        <v>1</v>
      </c>
      <c r="J104" s="8">
        <v>61545</v>
      </c>
    </row>
    <row r="105" spans="1:10">
      <c r="A105" s="7" t="s">
        <v>141</v>
      </c>
      <c r="B105" s="7" t="s">
        <v>142</v>
      </c>
      <c r="C105" s="7" t="s">
        <v>149</v>
      </c>
      <c r="D105" s="7" t="s">
        <v>150</v>
      </c>
      <c r="E105" s="7" t="s">
        <v>279</v>
      </c>
      <c r="F105" s="7" t="s">
        <v>280</v>
      </c>
      <c r="G105" s="7" t="s">
        <v>262</v>
      </c>
      <c r="H105" s="7" t="s">
        <v>263</v>
      </c>
      <c r="I105" s="8">
        <v>1</v>
      </c>
      <c r="J105" s="8">
        <v>23909</v>
      </c>
    </row>
    <row r="106" spans="1:10">
      <c r="A106" s="7" t="s">
        <v>141</v>
      </c>
      <c r="B106" s="7" t="s">
        <v>142</v>
      </c>
      <c r="C106" s="7" t="s">
        <v>149</v>
      </c>
      <c r="D106" s="7" t="s">
        <v>150</v>
      </c>
      <c r="E106" s="7" t="s">
        <v>279</v>
      </c>
      <c r="F106" s="7" t="s">
        <v>280</v>
      </c>
      <c r="G106" s="7" t="s">
        <v>266</v>
      </c>
      <c r="H106" s="7" t="s">
        <v>267</v>
      </c>
      <c r="I106" s="8">
        <v>1</v>
      </c>
      <c r="J106" s="8">
        <v>11909</v>
      </c>
    </row>
    <row r="107" spans="1:10">
      <c r="A107" s="7" t="s">
        <v>151</v>
      </c>
      <c r="B107" s="7" t="s">
        <v>152</v>
      </c>
      <c r="C107" s="7" t="s">
        <v>153</v>
      </c>
      <c r="D107" s="7" t="s">
        <v>154</v>
      </c>
      <c r="E107" s="7" t="s">
        <v>273</v>
      </c>
      <c r="F107" s="7" t="s">
        <v>274</v>
      </c>
      <c r="G107" s="7" t="s">
        <v>275</v>
      </c>
      <c r="H107" s="7" t="s">
        <v>276</v>
      </c>
      <c r="I107" s="8">
        <v>2</v>
      </c>
      <c r="J107" s="8">
        <v>89818</v>
      </c>
    </row>
    <row r="108" spans="1:10">
      <c r="A108" s="7" t="s">
        <v>151</v>
      </c>
      <c r="B108" s="7" t="s">
        <v>152</v>
      </c>
      <c r="C108" s="7" t="s">
        <v>153</v>
      </c>
      <c r="D108" s="7" t="s">
        <v>154</v>
      </c>
      <c r="E108" s="7" t="s">
        <v>273</v>
      </c>
      <c r="F108" s="7" t="s">
        <v>274</v>
      </c>
      <c r="G108" s="7" t="s">
        <v>277</v>
      </c>
      <c r="H108" s="7" t="s">
        <v>278</v>
      </c>
      <c r="I108" s="8">
        <v>1</v>
      </c>
      <c r="J108" s="8">
        <v>75091</v>
      </c>
    </row>
    <row r="109" spans="1:10">
      <c r="A109" s="7" t="s">
        <v>151</v>
      </c>
      <c r="B109" s="7" t="s">
        <v>152</v>
      </c>
      <c r="C109" s="7" t="s">
        <v>155</v>
      </c>
      <c r="D109" s="7" t="s">
        <v>156</v>
      </c>
      <c r="E109" s="7" t="s">
        <v>273</v>
      </c>
      <c r="F109" s="7" t="s">
        <v>274</v>
      </c>
      <c r="G109" s="7" t="s">
        <v>275</v>
      </c>
      <c r="H109" s="7" t="s">
        <v>276</v>
      </c>
      <c r="I109" s="8">
        <v>23</v>
      </c>
      <c r="J109" s="8">
        <v>1067272</v>
      </c>
    </row>
    <row r="110" spans="1:10">
      <c r="A110" s="7" t="s">
        <v>151</v>
      </c>
      <c r="B110" s="7" t="s">
        <v>152</v>
      </c>
      <c r="C110" s="7" t="s">
        <v>155</v>
      </c>
      <c r="D110" s="7" t="s">
        <v>156</v>
      </c>
      <c r="E110" s="7" t="s">
        <v>273</v>
      </c>
      <c r="F110" s="7" t="s">
        <v>274</v>
      </c>
      <c r="G110" s="7" t="s">
        <v>277</v>
      </c>
      <c r="H110" s="7" t="s">
        <v>278</v>
      </c>
      <c r="I110" s="8">
        <v>28</v>
      </c>
      <c r="J110" s="8">
        <v>2102548</v>
      </c>
    </row>
    <row r="111" spans="1:10">
      <c r="A111" s="7" t="s">
        <v>151</v>
      </c>
      <c r="B111" s="7" t="s">
        <v>152</v>
      </c>
      <c r="C111" s="7" t="s">
        <v>155</v>
      </c>
      <c r="D111" s="7" t="s">
        <v>156</v>
      </c>
      <c r="E111" s="7" t="s">
        <v>279</v>
      </c>
      <c r="F111" s="7" t="s">
        <v>280</v>
      </c>
      <c r="G111" s="7" t="s">
        <v>258</v>
      </c>
      <c r="H111" s="7" t="s">
        <v>259</v>
      </c>
      <c r="I111" s="8">
        <v>4</v>
      </c>
      <c r="J111" s="8">
        <v>176726</v>
      </c>
    </row>
    <row r="112" spans="1:10">
      <c r="A112" s="7" t="s">
        <v>151</v>
      </c>
      <c r="B112" s="7" t="s">
        <v>152</v>
      </c>
      <c r="C112" s="7" t="s">
        <v>155</v>
      </c>
      <c r="D112" s="7" t="s">
        <v>156</v>
      </c>
      <c r="E112" s="7" t="s">
        <v>279</v>
      </c>
      <c r="F112" s="7" t="s">
        <v>280</v>
      </c>
      <c r="G112" s="7" t="s">
        <v>260</v>
      </c>
      <c r="H112" s="7" t="s">
        <v>261</v>
      </c>
      <c r="I112" s="8">
        <v>1</v>
      </c>
      <c r="J112" s="8">
        <v>26182</v>
      </c>
    </row>
    <row r="113" spans="1:10">
      <c r="A113" s="7" t="s">
        <v>151</v>
      </c>
      <c r="B113" s="7" t="s">
        <v>152</v>
      </c>
      <c r="C113" s="7" t="s">
        <v>155</v>
      </c>
      <c r="D113" s="7" t="s">
        <v>156</v>
      </c>
      <c r="E113" s="7" t="s">
        <v>279</v>
      </c>
      <c r="F113" s="7" t="s">
        <v>280</v>
      </c>
      <c r="G113" s="7" t="s">
        <v>262</v>
      </c>
      <c r="H113" s="7" t="s">
        <v>263</v>
      </c>
      <c r="I113" s="8">
        <v>8</v>
      </c>
      <c r="J113" s="8">
        <v>257456</v>
      </c>
    </row>
    <row r="114" spans="1:10">
      <c r="A114" s="7" t="s">
        <v>151</v>
      </c>
      <c r="B114" s="7" t="s">
        <v>152</v>
      </c>
      <c r="C114" s="7" t="s">
        <v>155</v>
      </c>
      <c r="D114" s="7" t="s">
        <v>156</v>
      </c>
      <c r="E114" s="7" t="s">
        <v>279</v>
      </c>
      <c r="F114" s="7" t="s">
        <v>280</v>
      </c>
      <c r="G114" s="7" t="s">
        <v>264</v>
      </c>
      <c r="H114" s="7" t="s">
        <v>265</v>
      </c>
      <c r="I114" s="8">
        <v>1</v>
      </c>
      <c r="J114" s="8">
        <v>20091</v>
      </c>
    </row>
    <row r="115" spans="1:10">
      <c r="A115" s="7" t="s">
        <v>151</v>
      </c>
      <c r="B115" s="7" t="s">
        <v>152</v>
      </c>
      <c r="C115" s="7" t="s">
        <v>155</v>
      </c>
      <c r="D115" s="7" t="s">
        <v>156</v>
      </c>
      <c r="E115" s="7" t="s">
        <v>279</v>
      </c>
      <c r="F115" s="7" t="s">
        <v>280</v>
      </c>
      <c r="G115" s="7" t="s">
        <v>266</v>
      </c>
      <c r="H115" s="7" t="s">
        <v>267</v>
      </c>
      <c r="I115" s="8">
        <v>9</v>
      </c>
      <c r="J115" s="8">
        <v>107181</v>
      </c>
    </row>
    <row r="116" spans="1:10">
      <c r="A116" s="7" t="s">
        <v>151</v>
      </c>
      <c r="B116" s="7" t="s">
        <v>152</v>
      </c>
      <c r="C116" s="7" t="s">
        <v>157</v>
      </c>
      <c r="D116" s="7" t="s">
        <v>158</v>
      </c>
      <c r="E116" s="7" t="s">
        <v>273</v>
      </c>
      <c r="F116" s="7" t="s">
        <v>274</v>
      </c>
      <c r="G116" s="7" t="s">
        <v>275</v>
      </c>
      <c r="H116" s="7" t="s">
        <v>276</v>
      </c>
      <c r="I116" s="8">
        <v>23</v>
      </c>
      <c r="J116" s="8">
        <v>1067273</v>
      </c>
    </row>
    <row r="117" spans="1:10">
      <c r="A117" s="7" t="s">
        <v>151</v>
      </c>
      <c r="B117" s="7" t="s">
        <v>152</v>
      </c>
      <c r="C117" s="7" t="s">
        <v>157</v>
      </c>
      <c r="D117" s="7" t="s">
        <v>158</v>
      </c>
      <c r="E117" s="7" t="s">
        <v>273</v>
      </c>
      <c r="F117" s="7" t="s">
        <v>274</v>
      </c>
      <c r="G117" s="7" t="s">
        <v>277</v>
      </c>
      <c r="H117" s="7" t="s">
        <v>278</v>
      </c>
      <c r="I117" s="8">
        <v>37</v>
      </c>
      <c r="J117" s="8">
        <v>2778366</v>
      </c>
    </row>
    <row r="118" spans="1:10">
      <c r="A118" s="7" t="s">
        <v>151</v>
      </c>
      <c r="B118" s="7" t="s">
        <v>152</v>
      </c>
      <c r="C118" s="7" t="s">
        <v>157</v>
      </c>
      <c r="D118" s="7" t="s">
        <v>158</v>
      </c>
      <c r="E118" s="7" t="s">
        <v>279</v>
      </c>
      <c r="F118" s="7" t="s">
        <v>280</v>
      </c>
      <c r="G118" s="7" t="s">
        <v>260</v>
      </c>
      <c r="H118" s="7" t="s">
        <v>261</v>
      </c>
      <c r="I118" s="8">
        <v>1</v>
      </c>
      <c r="J118" s="8">
        <v>40545</v>
      </c>
    </row>
    <row r="119" spans="1:10">
      <c r="A119" s="7" t="s">
        <v>151</v>
      </c>
      <c r="B119" s="7" t="s">
        <v>152</v>
      </c>
      <c r="C119" s="7" t="s">
        <v>157</v>
      </c>
      <c r="D119" s="7" t="s">
        <v>158</v>
      </c>
      <c r="E119" s="7" t="s">
        <v>279</v>
      </c>
      <c r="F119" s="7" t="s">
        <v>280</v>
      </c>
      <c r="G119" s="7" t="s">
        <v>262</v>
      </c>
      <c r="H119" s="7" t="s">
        <v>263</v>
      </c>
      <c r="I119" s="8">
        <v>12</v>
      </c>
      <c r="J119" s="8">
        <v>435822</v>
      </c>
    </row>
    <row r="120" spans="1:10">
      <c r="A120" s="7" t="s">
        <v>151</v>
      </c>
      <c r="B120" s="7" t="s">
        <v>152</v>
      </c>
      <c r="C120" s="7" t="s">
        <v>157</v>
      </c>
      <c r="D120" s="7" t="s">
        <v>158</v>
      </c>
      <c r="E120" s="7" t="s">
        <v>279</v>
      </c>
      <c r="F120" s="7" t="s">
        <v>280</v>
      </c>
      <c r="G120" s="7" t="s">
        <v>264</v>
      </c>
      <c r="H120" s="7" t="s">
        <v>265</v>
      </c>
      <c r="I120" s="8">
        <v>2</v>
      </c>
      <c r="J120" s="8">
        <v>40182</v>
      </c>
    </row>
    <row r="121" spans="1:10">
      <c r="A121" s="7" t="s">
        <v>151</v>
      </c>
      <c r="B121" s="7" t="s">
        <v>152</v>
      </c>
      <c r="C121" s="7" t="s">
        <v>157</v>
      </c>
      <c r="D121" s="7" t="s">
        <v>158</v>
      </c>
      <c r="E121" s="7" t="s">
        <v>279</v>
      </c>
      <c r="F121" s="7" t="s">
        <v>280</v>
      </c>
      <c r="G121" s="7" t="s">
        <v>266</v>
      </c>
      <c r="H121" s="7" t="s">
        <v>267</v>
      </c>
      <c r="I121" s="8">
        <v>6</v>
      </c>
      <c r="J121" s="8">
        <v>71454</v>
      </c>
    </row>
    <row r="122" spans="1:10">
      <c r="A122" s="7" t="s">
        <v>151</v>
      </c>
      <c r="B122" s="7" t="s">
        <v>152</v>
      </c>
      <c r="C122" s="7" t="s">
        <v>159</v>
      </c>
      <c r="D122" s="7" t="s">
        <v>160</v>
      </c>
      <c r="E122" s="7" t="s">
        <v>273</v>
      </c>
      <c r="F122" s="7" t="s">
        <v>274</v>
      </c>
      <c r="G122" s="7" t="s">
        <v>275</v>
      </c>
      <c r="H122" s="7" t="s">
        <v>276</v>
      </c>
      <c r="I122" s="8">
        <v>19</v>
      </c>
      <c r="J122" s="8">
        <v>853271</v>
      </c>
    </row>
    <row r="123" spans="1:10">
      <c r="A123" s="7" t="s">
        <v>151</v>
      </c>
      <c r="B123" s="7" t="s">
        <v>152</v>
      </c>
      <c r="C123" s="7" t="s">
        <v>159</v>
      </c>
      <c r="D123" s="7" t="s">
        <v>160</v>
      </c>
      <c r="E123" s="7" t="s">
        <v>273</v>
      </c>
      <c r="F123" s="7" t="s">
        <v>274</v>
      </c>
      <c r="G123" s="7" t="s">
        <v>277</v>
      </c>
      <c r="H123" s="7" t="s">
        <v>278</v>
      </c>
      <c r="I123" s="8">
        <v>32</v>
      </c>
      <c r="J123" s="8">
        <v>2402912</v>
      </c>
    </row>
    <row r="124" spans="1:10">
      <c r="A124" s="7" t="s">
        <v>151</v>
      </c>
      <c r="B124" s="7" t="s">
        <v>152</v>
      </c>
      <c r="C124" s="7" t="s">
        <v>159</v>
      </c>
      <c r="D124" s="7" t="s">
        <v>160</v>
      </c>
      <c r="E124" s="7" t="s">
        <v>279</v>
      </c>
      <c r="F124" s="7" t="s">
        <v>280</v>
      </c>
      <c r="G124" s="7" t="s">
        <v>258</v>
      </c>
      <c r="H124" s="7" t="s">
        <v>259</v>
      </c>
      <c r="I124" s="8">
        <v>1</v>
      </c>
      <c r="J124" s="8">
        <v>44909</v>
      </c>
    </row>
    <row r="125" spans="1:10">
      <c r="A125" s="7" t="s">
        <v>151</v>
      </c>
      <c r="B125" s="7" t="s">
        <v>152</v>
      </c>
      <c r="C125" s="7" t="s">
        <v>159</v>
      </c>
      <c r="D125" s="7" t="s">
        <v>160</v>
      </c>
      <c r="E125" s="7" t="s">
        <v>279</v>
      </c>
      <c r="F125" s="7" t="s">
        <v>280</v>
      </c>
      <c r="G125" s="7" t="s">
        <v>260</v>
      </c>
      <c r="H125" s="7" t="s">
        <v>261</v>
      </c>
      <c r="I125" s="8">
        <v>3</v>
      </c>
      <c r="J125" s="8">
        <v>174546</v>
      </c>
    </row>
    <row r="126" spans="1:10">
      <c r="A126" s="7" t="s">
        <v>151</v>
      </c>
      <c r="B126" s="7" t="s">
        <v>152</v>
      </c>
      <c r="C126" s="7" t="s">
        <v>159</v>
      </c>
      <c r="D126" s="7" t="s">
        <v>160</v>
      </c>
      <c r="E126" s="7" t="s">
        <v>279</v>
      </c>
      <c r="F126" s="7" t="s">
        <v>280</v>
      </c>
      <c r="G126" s="7" t="s">
        <v>262</v>
      </c>
      <c r="H126" s="7" t="s">
        <v>263</v>
      </c>
      <c r="I126" s="8">
        <v>23</v>
      </c>
      <c r="J126" s="8">
        <v>649183</v>
      </c>
    </row>
    <row r="127" spans="1:10">
      <c r="A127" s="7" t="s">
        <v>151</v>
      </c>
      <c r="B127" s="7" t="s">
        <v>152</v>
      </c>
      <c r="C127" s="7" t="s">
        <v>159</v>
      </c>
      <c r="D127" s="7" t="s">
        <v>160</v>
      </c>
      <c r="E127" s="7" t="s">
        <v>279</v>
      </c>
      <c r="F127" s="7" t="s">
        <v>280</v>
      </c>
      <c r="G127" s="7" t="s">
        <v>264</v>
      </c>
      <c r="H127" s="7" t="s">
        <v>265</v>
      </c>
      <c r="I127" s="8">
        <v>1</v>
      </c>
      <c r="J127" s="8">
        <v>20091</v>
      </c>
    </row>
    <row r="128" spans="1:10">
      <c r="A128" s="7" t="s">
        <v>151</v>
      </c>
      <c r="B128" s="7" t="s">
        <v>152</v>
      </c>
      <c r="C128" s="7" t="s">
        <v>159</v>
      </c>
      <c r="D128" s="7" t="s">
        <v>160</v>
      </c>
      <c r="E128" s="7" t="s">
        <v>279</v>
      </c>
      <c r="F128" s="7" t="s">
        <v>280</v>
      </c>
      <c r="G128" s="7" t="s">
        <v>266</v>
      </c>
      <c r="H128" s="7" t="s">
        <v>267</v>
      </c>
      <c r="I128" s="8">
        <v>4</v>
      </c>
      <c r="J128" s="8">
        <v>47636</v>
      </c>
    </row>
    <row r="129" spans="1:10">
      <c r="A129" s="7" t="s">
        <v>151</v>
      </c>
      <c r="B129" s="7" t="s">
        <v>152</v>
      </c>
      <c r="C129" s="7" t="s">
        <v>161</v>
      </c>
      <c r="D129" s="7" t="s">
        <v>162</v>
      </c>
      <c r="E129" s="7" t="s">
        <v>273</v>
      </c>
      <c r="F129" s="7" t="s">
        <v>274</v>
      </c>
      <c r="G129" s="7" t="s">
        <v>275</v>
      </c>
      <c r="H129" s="7" t="s">
        <v>276</v>
      </c>
      <c r="I129" s="8">
        <v>32</v>
      </c>
      <c r="J129" s="8">
        <v>1460000</v>
      </c>
    </row>
    <row r="130" spans="1:10">
      <c r="A130" s="7" t="s">
        <v>151</v>
      </c>
      <c r="B130" s="7" t="s">
        <v>152</v>
      </c>
      <c r="C130" s="7" t="s">
        <v>161</v>
      </c>
      <c r="D130" s="7" t="s">
        <v>162</v>
      </c>
      <c r="E130" s="7" t="s">
        <v>273</v>
      </c>
      <c r="F130" s="7" t="s">
        <v>274</v>
      </c>
      <c r="G130" s="7" t="s">
        <v>277</v>
      </c>
      <c r="H130" s="7" t="s">
        <v>278</v>
      </c>
      <c r="I130" s="8">
        <v>34</v>
      </c>
      <c r="J130" s="8">
        <v>2553094</v>
      </c>
    </row>
    <row r="131" spans="1:10">
      <c r="A131" s="7" t="s">
        <v>151</v>
      </c>
      <c r="B131" s="7" t="s">
        <v>152</v>
      </c>
      <c r="C131" s="7" t="s">
        <v>161</v>
      </c>
      <c r="D131" s="7" t="s">
        <v>162</v>
      </c>
      <c r="E131" s="7" t="s">
        <v>279</v>
      </c>
      <c r="F131" s="7" t="s">
        <v>280</v>
      </c>
      <c r="G131" s="7" t="s">
        <v>258</v>
      </c>
      <c r="H131" s="7" t="s">
        <v>259</v>
      </c>
      <c r="I131" s="8">
        <v>1</v>
      </c>
      <c r="J131" s="8">
        <v>26818</v>
      </c>
    </row>
    <row r="132" spans="1:10">
      <c r="A132" s="7" t="s">
        <v>151</v>
      </c>
      <c r="B132" s="7" t="s">
        <v>152</v>
      </c>
      <c r="C132" s="7" t="s">
        <v>161</v>
      </c>
      <c r="D132" s="7" t="s">
        <v>162</v>
      </c>
      <c r="E132" s="7" t="s">
        <v>279</v>
      </c>
      <c r="F132" s="7" t="s">
        <v>280</v>
      </c>
      <c r="G132" s="7" t="s">
        <v>262</v>
      </c>
      <c r="H132" s="7" t="s">
        <v>263</v>
      </c>
      <c r="I132" s="8">
        <v>7</v>
      </c>
      <c r="J132" s="8">
        <v>217001</v>
      </c>
    </row>
    <row r="133" spans="1:10">
      <c r="A133" s="7" t="s">
        <v>151</v>
      </c>
      <c r="B133" s="7" t="s">
        <v>152</v>
      </c>
      <c r="C133" s="7" t="s">
        <v>161</v>
      </c>
      <c r="D133" s="7" t="s">
        <v>162</v>
      </c>
      <c r="E133" s="7" t="s">
        <v>279</v>
      </c>
      <c r="F133" s="7" t="s">
        <v>280</v>
      </c>
      <c r="G133" s="7" t="s">
        <v>264</v>
      </c>
      <c r="H133" s="7" t="s">
        <v>265</v>
      </c>
      <c r="I133" s="8">
        <v>3</v>
      </c>
      <c r="J133" s="8">
        <v>60273</v>
      </c>
    </row>
    <row r="134" spans="1:10">
      <c r="A134" s="7" t="s">
        <v>151</v>
      </c>
      <c r="B134" s="7" t="s">
        <v>152</v>
      </c>
      <c r="C134" s="7" t="s">
        <v>161</v>
      </c>
      <c r="D134" s="7" t="s">
        <v>162</v>
      </c>
      <c r="E134" s="7" t="s">
        <v>279</v>
      </c>
      <c r="F134" s="7" t="s">
        <v>280</v>
      </c>
      <c r="G134" s="7" t="s">
        <v>266</v>
      </c>
      <c r="H134" s="7" t="s">
        <v>267</v>
      </c>
      <c r="I134" s="8">
        <v>10</v>
      </c>
      <c r="J134" s="8">
        <v>119090</v>
      </c>
    </row>
    <row r="135" spans="1:10">
      <c r="A135" s="7" t="s">
        <v>163</v>
      </c>
      <c r="B135" s="7" t="s">
        <v>164</v>
      </c>
      <c r="C135" s="7" t="s">
        <v>165</v>
      </c>
      <c r="D135" s="7" t="s">
        <v>166</v>
      </c>
      <c r="E135" s="7" t="s">
        <v>273</v>
      </c>
      <c r="F135" s="7" t="s">
        <v>274</v>
      </c>
      <c r="G135" s="7" t="s">
        <v>275</v>
      </c>
      <c r="H135" s="7" t="s">
        <v>276</v>
      </c>
      <c r="I135" s="8">
        <v>23</v>
      </c>
      <c r="J135" s="8">
        <v>1044363</v>
      </c>
    </row>
    <row r="136" spans="1:10">
      <c r="A136" s="7" t="s">
        <v>163</v>
      </c>
      <c r="B136" s="7" t="s">
        <v>164</v>
      </c>
      <c r="C136" s="7" t="s">
        <v>165</v>
      </c>
      <c r="D136" s="7" t="s">
        <v>166</v>
      </c>
      <c r="E136" s="7" t="s">
        <v>273</v>
      </c>
      <c r="F136" s="7" t="s">
        <v>274</v>
      </c>
      <c r="G136" s="7" t="s">
        <v>277</v>
      </c>
      <c r="H136" s="7" t="s">
        <v>278</v>
      </c>
      <c r="I136" s="8">
        <v>18</v>
      </c>
      <c r="J136" s="8">
        <v>1351638</v>
      </c>
    </row>
    <row r="137" spans="1:10">
      <c r="A137" s="7" t="s">
        <v>163</v>
      </c>
      <c r="B137" s="7" t="s">
        <v>164</v>
      </c>
      <c r="C137" s="7" t="s">
        <v>165</v>
      </c>
      <c r="D137" s="7" t="s">
        <v>166</v>
      </c>
      <c r="E137" s="7" t="s">
        <v>279</v>
      </c>
      <c r="F137" s="7" t="s">
        <v>280</v>
      </c>
      <c r="G137" s="7" t="s">
        <v>262</v>
      </c>
      <c r="H137" s="7" t="s">
        <v>263</v>
      </c>
      <c r="I137" s="8">
        <v>8</v>
      </c>
      <c r="J137" s="8">
        <v>240910</v>
      </c>
    </row>
    <row r="138" spans="1:10">
      <c r="A138" s="7" t="s">
        <v>163</v>
      </c>
      <c r="B138" s="7" t="s">
        <v>164</v>
      </c>
      <c r="C138" s="7" t="s">
        <v>165</v>
      </c>
      <c r="D138" s="7" t="s">
        <v>166</v>
      </c>
      <c r="E138" s="7" t="s">
        <v>279</v>
      </c>
      <c r="F138" s="7" t="s">
        <v>280</v>
      </c>
      <c r="G138" s="7" t="s">
        <v>266</v>
      </c>
      <c r="H138" s="7" t="s">
        <v>267</v>
      </c>
      <c r="I138" s="8">
        <v>3</v>
      </c>
      <c r="J138" s="8">
        <v>35727</v>
      </c>
    </row>
    <row r="139" spans="1:10">
      <c r="A139" s="7" t="s">
        <v>163</v>
      </c>
      <c r="B139" s="7" t="s">
        <v>164</v>
      </c>
      <c r="C139" s="7" t="s">
        <v>167</v>
      </c>
      <c r="D139" s="7" t="s">
        <v>168</v>
      </c>
      <c r="E139" s="7" t="s">
        <v>273</v>
      </c>
      <c r="F139" s="7" t="s">
        <v>274</v>
      </c>
      <c r="G139" s="7" t="s">
        <v>275</v>
      </c>
      <c r="H139" s="7" t="s">
        <v>276</v>
      </c>
      <c r="I139" s="8">
        <v>18</v>
      </c>
      <c r="J139" s="8">
        <v>831271</v>
      </c>
    </row>
    <row r="140" spans="1:10">
      <c r="A140" s="7" t="s">
        <v>163</v>
      </c>
      <c r="B140" s="7" t="s">
        <v>164</v>
      </c>
      <c r="C140" s="7" t="s">
        <v>167</v>
      </c>
      <c r="D140" s="7" t="s">
        <v>168</v>
      </c>
      <c r="E140" s="7" t="s">
        <v>273</v>
      </c>
      <c r="F140" s="7" t="s">
        <v>274</v>
      </c>
      <c r="G140" s="7" t="s">
        <v>277</v>
      </c>
      <c r="H140" s="7" t="s">
        <v>278</v>
      </c>
      <c r="I140" s="8">
        <v>24</v>
      </c>
      <c r="J140" s="8">
        <v>1802183</v>
      </c>
    </row>
    <row r="141" spans="1:10">
      <c r="A141" s="7" t="s">
        <v>163</v>
      </c>
      <c r="B141" s="7" t="s">
        <v>164</v>
      </c>
      <c r="C141" s="7" t="s">
        <v>167</v>
      </c>
      <c r="D141" s="7" t="s">
        <v>168</v>
      </c>
      <c r="E141" s="7" t="s">
        <v>279</v>
      </c>
      <c r="F141" s="7" t="s">
        <v>280</v>
      </c>
      <c r="G141" s="7" t="s">
        <v>260</v>
      </c>
      <c r="H141" s="7" t="s">
        <v>261</v>
      </c>
      <c r="I141" s="8">
        <v>2</v>
      </c>
      <c r="J141" s="8">
        <v>136728</v>
      </c>
    </row>
    <row r="142" spans="1:10">
      <c r="A142" s="7" t="s">
        <v>163</v>
      </c>
      <c r="B142" s="7" t="s">
        <v>164</v>
      </c>
      <c r="C142" s="7" t="s">
        <v>167</v>
      </c>
      <c r="D142" s="7" t="s">
        <v>168</v>
      </c>
      <c r="E142" s="7" t="s">
        <v>279</v>
      </c>
      <c r="F142" s="7" t="s">
        <v>280</v>
      </c>
      <c r="G142" s="7" t="s">
        <v>262</v>
      </c>
      <c r="H142" s="7" t="s">
        <v>263</v>
      </c>
      <c r="I142" s="8">
        <v>16</v>
      </c>
      <c r="J142" s="8">
        <v>465274</v>
      </c>
    </row>
    <row r="143" spans="1:10">
      <c r="A143" s="7" t="s">
        <v>163</v>
      </c>
      <c r="B143" s="7" t="s">
        <v>164</v>
      </c>
      <c r="C143" s="7" t="s">
        <v>167</v>
      </c>
      <c r="D143" s="7" t="s">
        <v>168</v>
      </c>
      <c r="E143" s="7" t="s">
        <v>279</v>
      </c>
      <c r="F143" s="7" t="s">
        <v>280</v>
      </c>
      <c r="G143" s="7" t="s">
        <v>264</v>
      </c>
      <c r="H143" s="7" t="s">
        <v>265</v>
      </c>
      <c r="I143" s="8">
        <v>1</v>
      </c>
      <c r="J143" s="8">
        <v>20091</v>
      </c>
    </row>
    <row r="144" spans="1:10">
      <c r="A144" s="7" t="s">
        <v>163</v>
      </c>
      <c r="B144" s="7" t="s">
        <v>164</v>
      </c>
      <c r="C144" s="7" t="s">
        <v>167</v>
      </c>
      <c r="D144" s="7" t="s">
        <v>168</v>
      </c>
      <c r="E144" s="7" t="s">
        <v>279</v>
      </c>
      <c r="F144" s="7" t="s">
        <v>280</v>
      </c>
      <c r="G144" s="7" t="s">
        <v>266</v>
      </c>
      <c r="H144" s="7" t="s">
        <v>267</v>
      </c>
      <c r="I144" s="8">
        <v>7</v>
      </c>
      <c r="J144" s="8">
        <v>83363</v>
      </c>
    </row>
    <row r="145" spans="1:10">
      <c r="A145" s="7" t="s">
        <v>163</v>
      </c>
      <c r="B145" s="7" t="s">
        <v>164</v>
      </c>
      <c r="C145" s="7" t="s">
        <v>169</v>
      </c>
      <c r="D145" s="7" t="s">
        <v>170</v>
      </c>
      <c r="E145" s="7" t="s">
        <v>273</v>
      </c>
      <c r="F145" s="7" t="s">
        <v>274</v>
      </c>
      <c r="G145" s="7" t="s">
        <v>275</v>
      </c>
      <c r="H145" s="7" t="s">
        <v>276</v>
      </c>
      <c r="I145" s="8">
        <v>17</v>
      </c>
      <c r="J145" s="8">
        <v>774907</v>
      </c>
    </row>
    <row r="146" spans="1:10">
      <c r="A146" s="7" t="s">
        <v>163</v>
      </c>
      <c r="B146" s="7" t="s">
        <v>164</v>
      </c>
      <c r="C146" s="7" t="s">
        <v>169</v>
      </c>
      <c r="D146" s="7" t="s">
        <v>170</v>
      </c>
      <c r="E146" s="7" t="s">
        <v>273</v>
      </c>
      <c r="F146" s="7" t="s">
        <v>274</v>
      </c>
      <c r="G146" s="7" t="s">
        <v>277</v>
      </c>
      <c r="H146" s="7" t="s">
        <v>278</v>
      </c>
      <c r="I146" s="8">
        <v>15</v>
      </c>
      <c r="J146" s="8">
        <v>1126365</v>
      </c>
    </row>
    <row r="147" spans="1:10">
      <c r="A147" s="7" t="s">
        <v>163</v>
      </c>
      <c r="B147" s="7" t="s">
        <v>164</v>
      </c>
      <c r="C147" s="7" t="s">
        <v>169</v>
      </c>
      <c r="D147" s="7" t="s">
        <v>170</v>
      </c>
      <c r="E147" s="7" t="s">
        <v>279</v>
      </c>
      <c r="F147" s="7" t="s">
        <v>280</v>
      </c>
      <c r="G147" s="7" t="s">
        <v>260</v>
      </c>
      <c r="H147" s="7" t="s">
        <v>261</v>
      </c>
      <c r="I147" s="8">
        <v>1</v>
      </c>
      <c r="J147" s="8">
        <v>26182</v>
      </c>
    </row>
    <row r="148" spans="1:10">
      <c r="A148" s="7" t="s">
        <v>163</v>
      </c>
      <c r="B148" s="7" t="s">
        <v>164</v>
      </c>
      <c r="C148" s="7" t="s">
        <v>169</v>
      </c>
      <c r="D148" s="7" t="s">
        <v>170</v>
      </c>
      <c r="E148" s="7" t="s">
        <v>279</v>
      </c>
      <c r="F148" s="7" t="s">
        <v>280</v>
      </c>
      <c r="G148" s="7" t="s">
        <v>262</v>
      </c>
      <c r="H148" s="7" t="s">
        <v>263</v>
      </c>
      <c r="I148" s="8">
        <v>7</v>
      </c>
      <c r="J148" s="8">
        <v>167363</v>
      </c>
    </row>
    <row r="149" spans="1:10">
      <c r="A149" s="7" t="s">
        <v>163</v>
      </c>
      <c r="B149" s="7" t="s">
        <v>164</v>
      </c>
      <c r="C149" s="7" t="s">
        <v>171</v>
      </c>
      <c r="D149" s="7" t="s">
        <v>172</v>
      </c>
      <c r="E149" s="7" t="s">
        <v>273</v>
      </c>
      <c r="F149" s="7" t="s">
        <v>274</v>
      </c>
      <c r="G149" s="7" t="s">
        <v>275</v>
      </c>
      <c r="H149" s="7" t="s">
        <v>276</v>
      </c>
      <c r="I149" s="8">
        <v>14</v>
      </c>
      <c r="J149" s="8">
        <v>640181</v>
      </c>
    </row>
    <row r="150" spans="1:10">
      <c r="A150" s="7" t="s">
        <v>163</v>
      </c>
      <c r="B150" s="7" t="s">
        <v>164</v>
      </c>
      <c r="C150" s="7" t="s">
        <v>171</v>
      </c>
      <c r="D150" s="7" t="s">
        <v>172</v>
      </c>
      <c r="E150" s="7" t="s">
        <v>273</v>
      </c>
      <c r="F150" s="7" t="s">
        <v>274</v>
      </c>
      <c r="G150" s="7" t="s">
        <v>277</v>
      </c>
      <c r="H150" s="7" t="s">
        <v>278</v>
      </c>
      <c r="I150" s="8">
        <v>21</v>
      </c>
      <c r="J150" s="8">
        <v>1576911</v>
      </c>
    </row>
    <row r="151" spans="1:10">
      <c r="A151" s="7" t="s">
        <v>163</v>
      </c>
      <c r="B151" s="7" t="s">
        <v>164</v>
      </c>
      <c r="C151" s="7" t="s">
        <v>171</v>
      </c>
      <c r="D151" s="7" t="s">
        <v>172</v>
      </c>
      <c r="E151" s="7" t="s">
        <v>279</v>
      </c>
      <c r="F151" s="7" t="s">
        <v>280</v>
      </c>
      <c r="G151" s="7" t="s">
        <v>262</v>
      </c>
      <c r="H151" s="7" t="s">
        <v>263</v>
      </c>
      <c r="I151" s="8">
        <v>3</v>
      </c>
      <c r="J151" s="8">
        <v>104819</v>
      </c>
    </row>
    <row r="152" spans="1:10">
      <c r="A152" s="7" t="s">
        <v>163</v>
      </c>
      <c r="B152" s="7" t="s">
        <v>164</v>
      </c>
      <c r="C152" s="7" t="s">
        <v>171</v>
      </c>
      <c r="D152" s="7" t="s">
        <v>172</v>
      </c>
      <c r="E152" s="7" t="s">
        <v>279</v>
      </c>
      <c r="F152" s="7" t="s">
        <v>280</v>
      </c>
      <c r="G152" s="7" t="s">
        <v>264</v>
      </c>
      <c r="H152" s="7" t="s">
        <v>265</v>
      </c>
      <c r="I152" s="8">
        <v>1</v>
      </c>
      <c r="J152" s="8">
        <v>20091</v>
      </c>
    </row>
    <row r="153" spans="1:10">
      <c r="A153" s="7" t="s">
        <v>163</v>
      </c>
      <c r="B153" s="7" t="s">
        <v>164</v>
      </c>
      <c r="C153" s="7" t="s">
        <v>171</v>
      </c>
      <c r="D153" s="7" t="s">
        <v>172</v>
      </c>
      <c r="E153" s="7" t="s">
        <v>279</v>
      </c>
      <c r="F153" s="7" t="s">
        <v>280</v>
      </c>
      <c r="G153" s="7" t="s">
        <v>266</v>
      </c>
      <c r="H153" s="7" t="s">
        <v>267</v>
      </c>
      <c r="I153" s="8">
        <v>3</v>
      </c>
      <c r="J153" s="8">
        <v>35727</v>
      </c>
    </row>
    <row r="154" spans="1:10">
      <c r="A154" s="7" t="s">
        <v>173</v>
      </c>
      <c r="B154" s="7" t="s">
        <v>174</v>
      </c>
      <c r="C154" s="7" t="s">
        <v>175</v>
      </c>
      <c r="D154" s="7" t="s">
        <v>176</v>
      </c>
      <c r="E154" s="7" t="s">
        <v>273</v>
      </c>
      <c r="F154" s="7" t="s">
        <v>274</v>
      </c>
      <c r="G154" s="7" t="s">
        <v>277</v>
      </c>
      <c r="H154" s="7" t="s">
        <v>278</v>
      </c>
      <c r="I154" s="8">
        <v>1</v>
      </c>
      <c r="J154" s="8">
        <v>75091</v>
      </c>
    </row>
    <row r="155" spans="1:10">
      <c r="A155" s="7" t="s">
        <v>173</v>
      </c>
      <c r="B155" s="7" t="s">
        <v>174</v>
      </c>
      <c r="C155" s="7" t="s">
        <v>177</v>
      </c>
      <c r="D155" s="7" t="s">
        <v>178</v>
      </c>
      <c r="E155" s="7" t="s">
        <v>273</v>
      </c>
      <c r="F155" s="7" t="s">
        <v>274</v>
      </c>
      <c r="G155" s="7" t="s">
        <v>275</v>
      </c>
      <c r="H155" s="7" t="s">
        <v>276</v>
      </c>
      <c r="I155" s="8">
        <v>48</v>
      </c>
      <c r="J155" s="8">
        <v>2212909</v>
      </c>
    </row>
    <row r="156" spans="1:10">
      <c r="A156" s="7" t="s">
        <v>173</v>
      </c>
      <c r="B156" s="7" t="s">
        <v>174</v>
      </c>
      <c r="C156" s="7" t="s">
        <v>177</v>
      </c>
      <c r="D156" s="7" t="s">
        <v>178</v>
      </c>
      <c r="E156" s="7" t="s">
        <v>273</v>
      </c>
      <c r="F156" s="7" t="s">
        <v>274</v>
      </c>
      <c r="G156" s="7" t="s">
        <v>277</v>
      </c>
      <c r="H156" s="7" t="s">
        <v>278</v>
      </c>
      <c r="I156" s="8">
        <v>43</v>
      </c>
      <c r="J156" s="8">
        <v>3228913</v>
      </c>
    </row>
    <row r="157" spans="1:10">
      <c r="A157" s="7" t="s">
        <v>173</v>
      </c>
      <c r="B157" s="7" t="s">
        <v>174</v>
      </c>
      <c r="C157" s="7" t="s">
        <v>177</v>
      </c>
      <c r="D157" s="7" t="s">
        <v>178</v>
      </c>
      <c r="E157" s="7" t="s">
        <v>279</v>
      </c>
      <c r="F157" s="7" t="s">
        <v>280</v>
      </c>
      <c r="G157" s="7" t="s">
        <v>258</v>
      </c>
      <c r="H157" s="7" t="s">
        <v>259</v>
      </c>
      <c r="I157" s="8">
        <v>1</v>
      </c>
      <c r="J157" s="8">
        <v>37091</v>
      </c>
    </row>
    <row r="158" spans="1:10">
      <c r="A158" s="7" t="s">
        <v>173</v>
      </c>
      <c r="B158" s="7" t="s">
        <v>174</v>
      </c>
      <c r="C158" s="7" t="s">
        <v>177</v>
      </c>
      <c r="D158" s="7" t="s">
        <v>178</v>
      </c>
      <c r="E158" s="7" t="s">
        <v>279</v>
      </c>
      <c r="F158" s="7" t="s">
        <v>280</v>
      </c>
      <c r="G158" s="7" t="s">
        <v>262</v>
      </c>
      <c r="H158" s="7" t="s">
        <v>263</v>
      </c>
      <c r="I158" s="8">
        <v>8</v>
      </c>
      <c r="J158" s="8">
        <v>257456</v>
      </c>
    </row>
    <row r="159" spans="1:10">
      <c r="A159" s="7" t="s">
        <v>173</v>
      </c>
      <c r="B159" s="7" t="s">
        <v>174</v>
      </c>
      <c r="C159" s="7" t="s">
        <v>177</v>
      </c>
      <c r="D159" s="7" t="s">
        <v>178</v>
      </c>
      <c r="E159" s="7" t="s">
        <v>279</v>
      </c>
      <c r="F159" s="7" t="s">
        <v>280</v>
      </c>
      <c r="G159" s="7" t="s">
        <v>266</v>
      </c>
      <c r="H159" s="7" t="s">
        <v>267</v>
      </c>
      <c r="I159" s="8">
        <v>2</v>
      </c>
      <c r="J159" s="8">
        <v>23818</v>
      </c>
    </row>
    <row r="160" spans="1:10">
      <c r="A160" s="7" t="s">
        <v>173</v>
      </c>
      <c r="B160" s="7" t="s">
        <v>174</v>
      </c>
      <c r="C160" s="7" t="s">
        <v>179</v>
      </c>
      <c r="D160" s="7" t="s">
        <v>180</v>
      </c>
      <c r="E160" s="7" t="s">
        <v>273</v>
      </c>
      <c r="F160" s="7" t="s">
        <v>274</v>
      </c>
      <c r="G160" s="7" t="s">
        <v>275</v>
      </c>
      <c r="H160" s="7" t="s">
        <v>276</v>
      </c>
      <c r="I160" s="8">
        <v>23</v>
      </c>
      <c r="J160" s="8">
        <v>1067271</v>
      </c>
    </row>
    <row r="161" spans="1:10">
      <c r="A161" s="7" t="s">
        <v>173</v>
      </c>
      <c r="B161" s="7" t="s">
        <v>174</v>
      </c>
      <c r="C161" s="7" t="s">
        <v>179</v>
      </c>
      <c r="D161" s="7" t="s">
        <v>180</v>
      </c>
      <c r="E161" s="7" t="s">
        <v>273</v>
      </c>
      <c r="F161" s="7" t="s">
        <v>274</v>
      </c>
      <c r="G161" s="7" t="s">
        <v>277</v>
      </c>
      <c r="H161" s="7" t="s">
        <v>278</v>
      </c>
      <c r="I161" s="8">
        <v>20</v>
      </c>
      <c r="J161" s="8">
        <v>1501819</v>
      </c>
    </row>
    <row r="162" spans="1:10">
      <c r="A162" s="7" t="s">
        <v>173</v>
      </c>
      <c r="B162" s="7" t="s">
        <v>174</v>
      </c>
      <c r="C162" s="7" t="s">
        <v>179</v>
      </c>
      <c r="D162" s="7" t="s">
        <v>180</v>
      </c>
      <c r="E162" s="7" t="s">
        <v>279</v>
      </c>
      <c r="F162" s="7" t="s">
        <v>280</v>
      </c>
      <c r="G162" s="7" t="s">
        <v>258</v>
      </c>
      <c r="H162" s="7" t="s">
        <v>259</v>
      </c>
      <c r="I162" s="8">
        <v>1</v>
      </c>
      <c r="J162" s="8">
        <v>26818</v>
      </c>
    </row>
    <row r="163" spans="1:10">
      <c r="A163" s="7" t="s">
        <v>173</v>
      </c>
      <c r="B163" s="7" t="s">
        <v>174</v>
      </c>
      <c r="C163" s="7" t="s">
        <v>179</v>
      </c>
      <c r="D163" s="7" t="s">
        <v>180</v>
      </c>
      <c r="E163" s="7" t="s">
        <v>279</v>
      </c>
      <c r="F163" s="7" t="s">
        <v>280</v>
      </c>
      <c r="G163" s="7" t="s">
        <v>260</v>
      </c>
      <c r="H163" s="7" t="s">
        <v>261</v>
      </c>
      <c r="I163" s="8">
        <v>4</v>
      </c>
      <c r="J163" s="8">
        <v>133454</v>
      </c>
    </row>
    <row r="164" spans="1:10">
      <c r="A164" s="7" t="s">
        <v>173</v>
      </c>
      <c r="B164" s="7" t="s">
        <v>174</v>
      </c>
      <c r="C164" s="7" t="s">
        <v>179</v>
      </c>
      <c r="D164" s="7" t="s">
        <v>180</v>
      </c>
      <c r="E164" s="7" t="s">
        <v>279</v>
      </c>
      <c r="F164" s="7" t="s">
        <v>280</v>
      </c>
      <c r="G164" s="7" t="s">
        <v>262</v>
      </c>
      <c r="H164" s="7" t="s">
        <v>263</v>
      </c>
      <c r="I164" s="8">
        <v>2</v>
      </c>
      <c r="J164" s="8">
        <v>47818</v>
      </c>
    </row>
    <row r="165" spans="1:10">
      <c r="A165" s="7" t="s">
        <v>173</v>
      </c>
      <c r="B165" s="7" t="s">
        <v>174</v>
      </c>
      <c r="C165" s="7" t="s">
        <v>179</v>
      </c>
      <c r="D165" s="7" t="s">
        <v>180</v>
      </c>
      <c r="E165" s="7" t="s">
        <v>279</v>
      </c>
      <c r="F165" s="7" t="s">
        <v>280</v>
      </c>
      <c r="G165" s="7" t="s">
        <v>266</v>
      </c>
      <c r="H165" s="7" t="s">
        <v>267</v>
      </c>
      <c r="I165" s="8">
        <v>2</v>
      </c>
      <c r="J165" s="8">
        <v>23818</v>
      </c>
    </row>
    <row r="166" spans="1:10">
      <c r="A166" s="7" t="s">
        <v>173</v>
      </c>
      <c r="B166" s="7" t="s">
        <v>174</v>
      </c>
      <c r="C166" s="7" t="s">
        <v>181</v>
      </c>
      <c r="D166" s="7" t="s">
        <v>182</v>
      </c>
      <c r="E166" s="7" t="s">
        <v>273</v>
      </c>
      <c r="F166" s="7" t="s">
        <v>274</v>
      </c>
      <c r="G166" s="7" t="s">
        <v>275</v>
      </c>
      <c r="H166" s="7" t="s">
        <v>276</v>
      </c>
      <c r="I166" s="8">
        <v>27</v>
      </c>
      <c r="J166" s="8">
        <v>1235451</v>
      </c>
    </row>
    <row r="167" spans="1:10">
      <c r="A167" s="7" t="s">
        <v>173</v>
      </c>
      <c r="B167" s="7" t="s">
        <v>174</v>
      </c>
      <c r="C167" s="7" t="s">
        <v>181</v>
      </c>
      <c r="D167" s="7" t="s">
        <v>182</v>
      </c>
      <c r="E167" s="7" t="s">
        <v>273</v>
      </c>
      <c r="F167" s="7" t="s">
        <v>274</v>
      </c>
      <c r="G167" s="7" t="s">
        <v>277</v>
      </c>
      <c r="H167" s="7" t="s">
        <v>278</v>
      </c>
      <c r="I167" s="8">
        <v>36</v>
      </c>
      <c r="J167" s="8">
        <v>2703276</v>
      </c>
    </row>
    <row r="168" spans="1:10">
      <c r="A168" s="7" t="s">
        <v>173</v>
      </c>
      <c r="B168" s="7" t="s">
        <v>174</v>
      </c>
      <c r="C168" s="7" t="s">
        <v>181</v>
      </c>
      <c r="D168" s="7" t="s">
        <v>182</v>
      </c>
      <c r="E168" s="7" t="s">
        <v>279</v>
      </c>
      <c r="F168" s="7" t="s">
        <v>280</v>
      </c>
      <c r="G168" s="7" t="s">
        <v>258</v>
      </c>
      <c r="H168" s="7" t="s">
        <v>259</v>
      </c>
      <c r="I168" s="8">
        <v>1</v>
      </c>
      <c r="J168" s="8">
        <v>26818</v>
      </c>
    </row>
    <row r="169" spans="1:10">
      <c r="A169" s="7" t="s">
        <v>173</v>
      </c>
      <c r="B169" s="7" t="s">
        <v>174</v>
      </c>
      <c r="C169" s="7" t="s">
        <v>181</v>
      </c>
      <c r="D169" s="7" t="s">
        <v>182</v>
      </c>
      <c r="E169" s="7" t="s">
        <v>279</v>
      </c>
      <c r="F169" s="7" t="s">
        <v>280</v>
      </c>
      <c r="G169" s="7" t="s">
        <v>260</v>
      </c>
      <c r="H169" s="7" t="s">
        <v>261</v>
      </c>
      <c r="I169" s="8">
        <v>2</v>
      </c>
      <c r="J169" s="8">
        <v>56727</v>
      </c>
    </row>
    <row r="170" spans="1:10">
      <c r="A170" s="7" t="s">
        <v>173</v>
      </c>
      <c r="B170" s="7" t="s">
        <v>174</v>
      </c>
      <c r="C170" s="7" t="s">
        <v>181</v>
      </c>
      <c r="D170" s="7" t="s">
        <v>182</v>
      </c>
      <c r="E170" s="7" t="s">
        <v>279</v>
      </c>
      <c r="F170" s="7" t="s">
        <v>280</v>
      </c>
      <c r="G170" s="7" t="s">
        <v>262</v>
      </c>
      <c r="H170" s="7" t="s">
        <v>263</v>
      </c>
      <c r="I170" s="8">
        <v>9</v>
      </c>
      <c r="J170" s="8">
        <v>264819</v>
      </c>
    </row>
    <row r="171" spans="1:10">
      <c r="A171" s="7" t="s">
        <v>173</v>
      </c>
      <c r="B171" s="7" t="s">
        <v>174</v>
      </c>
      <c r="C171" s="7" t="s">
        <v>181</v>
      </c>
      <c r="D171" s="7" t="s">
        <v>182</v>
      </c>
      <c r="E171" s="7" t="s">
        <v>279</v>
      </c>
      <c r="F171" s="7" t="s">
        <v>280</v>
      </c>
      <c r="G171" s="7" t="s">
        <v>264</v>
      </c>
      <c r="H171" s="7" t="s">
        <v>265</v>
      </c>
      <c r="I171" s="8">
        <v>3</v>
      </c>
      <c r="J171" s="8">
        <v>52909</v>
      </c>
    </row>
    <row r="172" spans="1:10">
      <c r="A172" s="7" t="s">
        <v>173</v>
      </c>
      <c r="B172" s="7" t="s">
        <v>174</v>
      </c>
      <c r="C172" s="7" t="s">
        <v>181</v>
      </c>
      <c r="D172" s="7" t="s">
        <v>182</v>
      </c>
      <c r="E172" s="7" t="s">
        <v>279</v>
      </c>
      <c r="F172" s="7" t="s">
        <v>280</v>
      </c>
      <c r="G172" s="7" t="s">
        <v>266</v>
      </c>
      <c r="H172" s="7" t="s">
        <v>267</v>
      </c>
      <c r="I172" s="8">
        <v>3</v>
      </c>
      <c r="J172" s="8">
        <v>35727</v>
      </c>
    </row>
    <row r="173" spans="1:10">
      <c r="A173" s="7" t="s">
        <v>173</v>
      </c>
      <c r="B173" s="7" t="s">
        <v>174</v>
      </c>
      <c r="C173" s="7" t="s">
        <v>183</v>
      </c>
      <c r="D173" s="7" t="s">
        <v>184</v>
      </c>
      <c r="E173" s="7" t="s">
        <v>273</v>
      </c>
      <c r="F173" s="7" t="s">
        <v>274</v>
      </c>
      <c r="G173" s="7" t="s">
        <v>275</v>
      </c>
      <c r="H173" s="7" t="s">
        <v>276</v>
      </c>
      <c r="I173" s="8">
        <v>33</v>
      </c>
      <c r="J173" s="8">
        <v>1550727</v>
      </c>
    </row>
    <row r="174" spans="1:10">
      <c r="A174" s="7" t="s">
        <v>173</v>
      </c>
      <c r="B174" s="7" t="s">
        <v>174</v>
      </c>
      <c r="C174" s="7" t="s">
        <v>183</v>
      </c>
      <c r="D174" s="7" t="s">
        <v>184</v>
      </c>
      <c r="E174" s="7" t="s">
        <v>273</v>
      </c>
      <c r="F174" s="7" t="s">
        <v>274</v>
      </c>
      <c r="G174" s="7" t="s">
        <v>277</v>
      </c>
      <c r="H174" s="7" t="s">
        <v>278</v>
      </c>
      <c r="I174" s="8">
        <v>40</v>
      </c>
      <c r="J174" s="8">
        <v>3003640</v>
      </c>
    </row>
    <row r="175" spans="1:10">
      <c r="A175" s="7" t="s">
        <v>173</v>
      </c>
      <c r="B175" s="7" t="s">
        <v>174</v>
      </c>
      <c r="C175" s="7" t="s">
        <v>183</v>
      </c>
      <c r="D175" s="7" t="s">
        <v>184</v>
      </c>
      <c r="E175" s="7" t="s">
        <v>279</v>
      </c>
      <c r="F175" s="7" t="s">
        <v>280</v>
      </c>
      <c r="G175" s="7" t="s">
        <v>258</v>
      </c>
      <c r="H175" s="7" t="s">
        <v>259</v>
      </c>
      <c r="I175" s="8">
        <v>2</v>
      </c>
      <c r="J175" s="8">
        <v>63909</v>
      </c>
    </row>
    <row r="176" spans="1:10">
      <c r="A176" s="7" t="s">
        <v>173</v>
      </c>
      <c r="B176" s="7" t="s">
        <v>174</v>
      </c>
      <c r="C176" s="7" t="s">
        <v>183</v>
      </c>
      <c r="D176" s="7" t="s">
        <v>184</v>
      </c>
      <c r="E176" s="7" t="s">
        <v>279</v>
      </c>
      <c r="F176" s="7" t="s">
        <v>280</v>
      </c>
      <c r="G176" s="7" t="s">
        <v>262</v>
      </c>
      <c r="H176" s="7" t="s">
        <v>263</v>
      </c>
      <c r="I176" s="8">
        <v>19</v>
      </c>
      <c r="J176" s="8">
        <v>503909</v>
      </c>
    </row>
    <row r="177" spans="1:10">
      <c r="A177" s="7" t="s">
        <v>173</v>
      </c>
      <c r="B177" s="7" t="s">
        <v>174</v>
      </c>
      <c r="C177" s="7" t="s">
        <v>183</v>
      </c>
      <c r="D177" s="7" t="s">
        <v>184</v>
      </c>
      <c r="E177" s="7" t="s">
        <v>279</v>
      </c>
      <c r="F177" s="7" t="s">
        <v>280</v>
      </c>
      <c r="G177" s="7" t="s">
        <v>264</v>
      </c>
      <c r="H177" s="7" t="s">
        <v>265</v>
      </c>
      <c r="I177" s="8">
        <v>4</v>
      </c>
      <c r="J177" s="8">
        <v>73000</v>
      </c>
    </row>
    <row r="178" spans="1:10">
      <c r="A178" s="7" t="s">
        <v>173</v>
      </c>
      <c r="B178" s="7" t="s">
        <v>174</v>
      </c>
      <c r="C178" s="7" t="s">
        <v>183</v>
      </c>
      <c r="D178" s="7" t="s">
        <v>184</v>
      </c>
      <c r="E178" s="7" t="s">
        <v>279</v>
      </c>
      <c r="F178" s="7" t="s">
        <v>280</v>
      </c>
      <c r="G178" s="7" t="s">
        <v>266</v>
      </c>
      <c r="H178" s="7" t="s">
        <v>267</v>
      </c>
      <c r="I178" s="8">
        <v>5</v>
      </c>
      <c r="J178" s="8">
        <v>59545</v>
      </c>
    </row>
    <row r="179" spans="1:10">
      <c r="A179" s="7" t="s">
        <v>185</v>
      </c>
      <c r="B179" s="7" t="s">
        <v>186</v>
      </c>
      <c r="C179" s="7" t="s">
        <v>187</v>
      </c>
      <c r="D179" s="7" t="s">
        <v>188</v>
      </c>
      <c r="E179" s="7" t="s">
        <v>273</v>
      </c>
      <c r="F179" s="7" t="s">
        <v>274</v>
      </c>
      <c r="G179" s="7" t="s">
        <v>275</v>
      </c>
      <c r="H179" s="7" t="s">
        <v>276</v>
      </c>
      <c r="I179" s="8">
        <v>14</v>
      </c>
      <c r="J179" s="8">
        <v>663091</v>
      </c>
    </row>
    <row r="180" spans="1:10">
      <c r="A180" s="7" t="s">
        <v>185</v>
      </c>
      <c r="B180" s="7" t="s">
        <v>186</v>
      </c>
      <c r="C180" s="7" t="s">
        <v>187</v>
      </c>
      <c r="D180" s="7" t="s">
        <v>188</v>
      </c>
      <c r="E180" s="7" t="s">
        <v>273</v>
      </c>
      <c r="F180" s="7" t="s">
        <v>274</v>
      </c>
      <c r="G180" s="7" t="s">
        <v>277</v>
      </c>
      <c r="H180" s="7" t="s">
        <v>278</v>
      </c>
      <c r="I180" s="8">
        <v>20</v>
      </c>
      <c r="J180" s="8">
        <v>1501819</v>
      </c>
    </row>
    <row r="181" spans="1:10">
      <c r="A181" s="7" t="s">
        <v>185</v>
      </c>
      <c r="B181" s="7" t="s">
        <v>186</v>
      </c>
      <c r="C181" s="7" t="s">
        <v>187</v>
      </c>
      <c r="D181" s="7" t="s">
        <v>188</v>
      </c>
      <c r="E181" s="7" t="s">
        <v>279</v>
      </c>
      <c r="F181" s="7" t="s">
        <v>280</v>
      </c>
      <c r="G181" s="7" t="s">
        <v>258</v>
      </c>
      <c r="H181" s="7" t="s">
        <v>259</v>
      </c>
      <c r="I181" s="8">
        <v>1</v>
      </c>
      <c r="J181" s="8">
        <v>37091</v>
      </c>
    </row>
    <row r="182" spans="1:10">
      <c r="A182" s="7" t="s">
        <v>185</v>
      </c>
      <c r="B182" s="7" t="s">
        <v>186</v>
      </c>
      <c r="C182" s="7" t="s">
        <v>187</v>
      </c>
      <c r="D182" s="7" t="s">
        <v>188</v>
      </c>
      <c r="E182" s="7" t="s">
        <v>279</v>
      </c>
      <c r="F182" s="7" t="s">
        <v>280</v>
      </c>
      <c r="G182" s="7" t="s">
        <v>260</v>
      </c>
      <c r="H182" s="7" t="s">
        <v>261</v>
      </c>
      <c r="I182" s="8">
        <v>3</v>
      </c>
      <c r="J182" s="8">
        <v>107272</v>
      </c>
    </row>
    <row r="183" spans="1:10">
      <c r="A183" s="7" t="s">
        <v>185</v>
      </c>
      <c r="B183" s="7" t="s">
        <v>186</v>
      </c>
      <c r="C183" s="7" t="s">
        <v>187</v>
      </c>
      <c r="D183" s="7" t="s">
        <v>188</v>
      </c>
      <c r="E183" s="7" t="s">
        <v>279</v>
      </c>
      <c r="F183" s="7" t="s">
        <v>280</v>
      </c>
      <c r="G183" s="7" t="s">
        <v>262</v>
      </c>
      <c r="H183" s="7" t="s">
        <v>263</v>
      </c>
      <c r="I183" s="8">
        <v>7</v>
      </c>
      <c r="J183" s="8">
        <v>250093</v>
      </c>
    </row>
    <row r="184" spans="1:10">
      <c r="A184" s="7" t="s">
        <v>185</v>
      </c>
      <c r="B184" s="7" t="s">
        <v>186</v>
      </c>
      <c r="C184" s="7" t="s">
        <v>187</v>
      </c>
      <c r="D184" s="7" t="s">
        <v>188</v>
      </c>
      <c r="E184" s="7" t="s">
        <v>279</v>
      </c>
      <c r="F184" s="7" t="s">
        <v>280</v>
      </c>
      <c r="G184" s="7" t="s">
        <v>264</v>
      </c>
      <c r="H184" s="7" t="s">
        <v>265</v>
      </c>
      <c r="I184" s="8">
        <v>2</v>
      </c>
      <c r="J184" s="8">
        <v>40182</v>
      </c>
    </row>
    <row r="185" spans="1:10">
      <c r="A185" s="7" t="s">
        <v>185</v>
      </c>
      <c r="B185" s="7" t="s">
        <v>186</v>
      </c>
      <c r="C185" s="7" t="s">
        <v>187</v>
      </c>
      <c r="D185" s="7" t="s">
        <v>188</v>
      </c>
      <c r="E185" s="7" t="s">
        <v>279</v>
      </c>
      <c r="F185" s="7" t="s">
        <v>280</v>
      </c>
      <c r="G185" s="7" t="s">
        <v>266</v>
      </c>
      <c r="H185" s="7" t="s">
        <v>267</v>
      </c>
      <c r="I185" s="8">
        <v>1</v>
      </c>
      <c r="J185" s="8">
        <v>11909</v>
      </c>
    </row>
    <row r="186" spans="1:10">
      <c r="A186" s="7" t="s">
        <v>185</v>
      </c>
      <c r="B186" s="7" t="s">
        <v>186</v>
      </c>
      <c r="C186" s="7" t="s">
        <v>189</v>
      </c>
      <c r="D186" s="7" t="s">
        <v>190</v>
      </c>
      <c r="E186" s="7" t="s">
        <v>273</v>
      </c>
      <c r="F186" s="7" t="s">
        <v>274</v>
      </c>
      <c r="G186" s="7" t="s">
        <v>275</v>
      </c>
      <c r="H186" s="7" t="s">
        <v>276</v>
      </c>
      <c r="I186" s="8">
        <v>14</v>
      </c>
      <c r="J186" s="8">
        <v>628726</v>
      </c>
    </row>
    <row r="187" spans="1:10">
      <c r="A187" s="7" t="s">
        <v>185</v>
      </c>
      <c r="B187" s="7" t="s">
        <v>186</v>
      </c>
      <c r="C187" s="7" t="s">
        <v>189</v>
      </c>
      <c r="D187" s="7" t="s">
        <v>190</v>
      </c>
      <c r="E187" s="7" t="s">
        <v>273</v>
      </c>
      <c r="F187" s="7" t="s">
        <v>274</v>
      </c>
      <c r="G187" s="7" t="s">
        <v>277</v>
      </c>
      <c r="H187" s="7" t="s">
        <v>278</v>
      </c>
      <c r="I187" s="8">
        <v>24</v>
      </c>
      <c r="J187" s="8">
        <v>1802184</v>
      </c>
    </row>
    <row r="188" spans="1:10">
      <c r="A188" s="7" t="s">
        <v>185</v>
      </c>
      <c r="B188" s="7" t="s">
        <v>186</v>
      </c>
      <c r="C188" s="7" t="s">
        <v>189</v>
      </c>
      <c r="D188" s="7" t="s">
        <v>190</v>
      </c>
      <c r="E188" s="7" t="s">
        <v>279</v>
      </c>
      <c r="F188" s="7" t="s">
        <v>280</v>
      </c>
      <c r="G188" s="7" t="s">
        <v>258</v>
      </c>
      <c r="H188" s="7" t="s">
        <v>259</v>
      </c>
      <c r="I188" s="8">
        <v>1</v>
      </c>
      <c r="J188" s="8">
        <v>26818</v>
      </c>
    </row>
    <row r="189" spans="1:10">
      <c r="A189" s="7" t="s">
        <v>185</v>
      </c>
      <c r="B189" s="7" t="s">
        <v>186</v>
      </c>
      <c r="C189" s="7" t="s">
        <v>189</v>
      </c>
      <c r="D189" s="7" t="s">
        <v>190</v>
      </c>
      <c r="E189" s="7" t="s">
        <v>279</v>
      </c>
      <c r="F189" s="7" t="s">
        <v>280</v>
      </c>
      <c r="G189" s="7" t="s">
        <v>260</v>
      </c>
      <c r="H189" s="7" t="s">
        <v>261</v>
      </c>
      <c r="I189" s="8">
        <v>1</v>
      </c>
      <c r="J189" s="8">
        <v>40545</v>
      </c>
    </row>
    <row r="190" spans="1:10">
      <c r="A190" s="7" t="s">
        <v>185</v>
      </c>
      <c r="B190" s="7" t="s">
        <v>186</v>
      </c>
      <c r="C190" s="7" t="s">
        <v>189</v>
      </c>
      <c r="D190" s="7" t="s">
        <v>190</v>
      </c>
      <c r="E190" s="7" t="s">
        <v>279</v>
      </c>
      <c r="F190" s="7" t="s">
        <v>280</v>
      </c>
      <c r="G190" s="7" t="s">
        <v>262</v>
      </c>
      <c r="H190" s="7" t="s">
        <v>263</v>
      </c>
      <c r="I190" s="8">
        <v>1</v>
      </c>
      <c r="J190" s="8">
        <v>40455</v>
      </c>
    </row>
    <row r="191" spans="1:10">
      <c r="A191" s="7" t="s">
        <v>185</v>
      </c>
      <c r="B191" s="7" t="s">
        <v>186</v>
      </c>
      <c r="C191" s="7" t="s">
        <v>191</v>
      </c>
      <c r="D191" s="7" t="s">
        <v>192</v>
      </c>
      <c r="E191" s="7" t="s">
        <v>273</v>
      </c>
      <c r="F191" s="7" t="s">
        <v>274</v>
      </c>
      <c r="G191" s="7" t="s">
        <v>275</v>
      </c>
      <c r="H191" s="7" t="s">
        <v>276</v>
      </c>
      <c r="I191" s="8">
        <v>7</v>
      </c>
      <c r="J191" s="8">
        <v>325818</v>
      </c>
    </row>
    <row r="192" spans="1:10">
      <c r="A192" s="7" t="s">
        <v>185</v>
      </c>
      <c r="B192" s="7" t="s">
        <v>186</v>
      </c>
      <c r="C192" s="7" t="s">
        <v>191</v>
      </c>
      <c r="D192" s="7" t="s">
        <v>192</v>
      </c>
      <c r="E192" s="7" t="s">
        <v>273</v>
      </c>
      <c r="F192" s="7" t="s">
        <v>274</v>
      </c>
      <c r="G192" s="7" t="s">
        <v>277</v>
      </c>
      <c r="H192" s="7" t="s">
        <v>278</v>
      </c>
      <c r="I192" s="8">
        <v>26</v>
      </c>
      <c r="J192" s="8">
        <v>1952365</v>
      </c>
    </row>
    <row r="193" spans="1:10">
      <c r="A193" s="7" t="s">
        <v>185</v>
      </c>
      <c r="B193" s="7" t="s">
        <v>186</v>
      </c>
      <c r="C193" s="7" t="s">
        <v>191</v>
      </c>
      <c r="D193" s="7" t="s">
        <v>192</v>
      </c>
      <c r="E193" s="7" t="s">
        <v>279</v>
      </c>
      <c r="F193" s="7" t="s">
        <v>280</v>
      </c>
      <c r="G193" s="7" t="s">
        <v>260</v>
      </c>
      <c r="H193" s="7" t="s">
        <v>261</v>
      </c>
      <c r="I193" s="8">
        <v>1</v>
      </c>
      <c r="J193" s="8">
        <v>26182</v>
      </c>
    </row>
    <row r="194" spans="1:10">
      <c r="A194" s="7" t="s">
        <v>185</v>
      </c>
      <c r="B194" s="7" t="s">
        <v>186</v>
      </c>
      <c r="C194" s="7" t="s">
        <v>191</v>
      </c>
      <c r="D194" s="7" t="s">
        <v>192</v>
      </c>
      <c r="E194" s="7" t="s">
        <v>279</v>
      </c>
      <c r="F194" s="7" t="s">
        <v>280</v>
      </c>
      <c r="G194" s="7" t="s">
        <v>262</v>
      </c>
      <c r="H194" s="7" t="s">
        <v>263</v>
      </c>
      <c r="I194" s="8">
        <v>7</v>
      </c>
      <c r="J194" s="8">
        <v>266639</v>
      </c>
    </row>
    <row r="195" spans="1:10">
      <c r="A195" s="7" t="s">
        <v>185</v>
      </c>
      <c r="B195" s="7" t="s">
        <v>186</v>
      </c>
      <c r="C195" s="7" t="s">
        <v>191</v>
      </c>
      <c r="D195" s="7" t="s">
        <v>192</v>
      </c>
      <c r="E195" s="7" t="s">
        <v>279</v>
      </c>
      <c r="F195" s="7" t="s">
        <v>280</v>
      </c>
      <c r="G195" s="7" t="s">
        <v>266</v>
      </c>
      <c r="H195" s="7" t="s">
        <v>267</v>
      </c>
      <c r="I195" s="8">
        <v>1</v>
      </c>
      <c r="J195" s="8">
        <v>11909</v>
      </c>
    </row>
    <row r="196" spans="1:10">
      <c r="A196" s="7" t="s">
        <v>193</v>
      </c>
      <c r="B196" s="7" t="s">
        <v>194</v>
      </c>
      <c r="C196" s="7" t="s">
        <v>332</v>
      </c>
      <c r="D196" s="7" t="s">
        <v>333</v>
      </c>
      <c r="E196" s="7" t="s">
        <v>273</v>
      </c>
      <c r="F196" s="7" t="s">
        <v>274</v>
      </c>
      <c r="G196" s="7" t="s">
        <v>275</v>
      </c>
      <c r="H196" s="7" t="s">
        <v>276</v>
      </c>
      <c r="I196" s="8">
        <v>1</v>
      </c>
      <c r="J196" s="8">
        <v>44910</v>
      </c>
    </row>
    <row r="197" spans="1:10">
      <c r="A197" s="7" t="s">
        <v>193</v>
      </c>
      <c r="B197" s="7" t="s">
        <v>194</v>
      </c>
      <c r="C197" s="7" t="s">
        <v>195</v>
      </c>
      <c r="D197" s="7" t="s">
        <v>196</v>
      </c>
      <c r="E197" s="7" t="s">
        <v>273</v>
      </c>
      <c r="F197" s="7" t="s">
        <v>274</v>
      </c>
      <c r="G197" s="7" t="s">
        <v>275</v>
      </c>
      <c r="H197" s="7" t="s">
        <v>276</v>
      </c>
      <c r="I197" s="8">
        <v>24</v>
      </c>
      <c r="J197" s="8">
        <v>1077818</v>
      </c>
    </row>
    <row r="198" spans="1:10">
      <c r="A198" s="7" t="s">
        <v>193</v>
      </c>
      <c r="B198" s="7" t="s">
        <v>194</v>
      </c>
      <c r="C198" s="7" t="s">
        <v>195</v>
      </c>
      <c r="D198" s="7" t="s">
        <v>196</v>
      </c>
      <c r="E198" s="7" t="s">
        <v>273</v>
      </c>
      <c r="F198" s="7" t="s">
        <v>274</v>
      </c>
      <c r="G198" s="7" t="s">
        <v>277</v>
      </c>
      <c r="H198" s="7" t="s">
        <v>278</v>
      </c>
      <c r="I198" s="8">
        <v>39</v>
      </c>
      <c r="J198" s="8">
        <v>2928550</v>
      </c>
    </row>
    <row r="199" spans="1:10">
      <c r="A199" s="7" t="s">
        <v>193</v>
      </c>
      <c r="B199" s="7" t="s">
        <v>194</v>
      </c>
      <c r="C199" s="7" t="s">
        <v>195</v>
      </c>
      <c r="D199" s="7" t="s">
        <v>196</v>
      </c>
      <c r="E199" s="7" t="s">
        <v>279</v>
      </c>
      <c r="F199" s="7" t="s">
        <v>280</v>
      </c>
      <c r="G199" s="7" t="s">
        <v>258</v>
      </c>
      <c r="H199" s="7" t="s">
        <v>259</v>
      </c>
      <c r="I199" s="8">
        <v>2</v>
      </c>
      <c r="J199" s="8">
        <v>74182</v>
      </c>
    </row>
    <row r="200" spans="1:10">
      <c r="A200" s="7" t="s">
        <v>193</v>
      </c>
      <c r="B200" s="7" t="s">
        <v>194</v>
      </c>
      <c r="C200" s="7" t="s">
        <v>195</v>
      </c>
      <c r="D200" s="7" t="s">
        <v>196</v>
      </c>
      <c r="E200" s="7" t="s">
        <v>279</v>
      </c>
      <c r="F200" s="7" t="s">
        <v>280</v>
      </c>
      <c r="G200" s="7" t="s">
        <v>260</v>
      </c>
      <c r="H200" s="7" t="s">
        <v>261</v>
      </c>
      <c r="I200" s="8">
        <v>2</v>
      </c>
      <c r="J200" s="8">
        <v>52364</v>
      </c>
    </row>
    <row r="201" spans="1:10">
      <c r="A201" s="7" t="s">
        <v>193</v>
      </c>
      <c r="B201" s="7" t="s">
        <v>194</v>
      </c>
      <c r="C201" s="7" t="s">
        <v>195</v>
      </c>
      <c r="D201" s="7" t="s">
        <v>196</v>
      </c>
      <c r="E201" s="7" t="s">
        <v>279</v>
      </c>
      <c r="F201" s="7" t="s">
        <v>280</v>
      </c>
      <c r="G201" s="7" t="s">
        <v>262</v>
      </c>
      <c r="H201" s="7" t="s">
        <v>263</v>
      </c>
      <c r="I201" s="8">
        <v>12</v>
      </c>
      <c r="J201" s="8">
        <v>369638</v>
      </c>
    </row>
    <row r="202" spans="1:10">
      <c r="A202" s="7" t="s">
        <v>193</v>
      </c>
      <c r="B202" s="7" t="s">
        <v>194</v>
      </c>
      <c r="C202" s="7" t="s">
        <v>195</v>
      </c>
      <c r="D202" s="7" t="s">
        <v>196</v>
      </c>
      <c r="E202" s="7" t="s">
        <v>279</v>
      </c>
      <c r="F202" s="7" t="s">
        <v>280</v>
      </c>
      <c r="G202" s="7" t="s">
        <v>264</v>
      </c>
      <c r="H202" s="7" t="s">
        <v>265</v>
      </c>
      <c r="I202" s="8">
        <v>0</v>
      </c>
      <c r="J202" s="8">
        <v>0</v>
      </c>
    </row>
    <row r="203" spans="1:10">
      <c r="A203" s="7" t="s">
        <v>193</v>
      </c>
      <c r="B203" s="7" t="s">
        <v>194</v>
      </c>
      <c r="C203" s="7" t="s">
        <v>195</v>
      </c>
      <c r="D203" s="7" t="s">
        <v>196</v>
      </c>
      <c r="E203" s="7" t="s">
        <v>279</v>
      </c>
      <c r="F203" s="7" t="s">
        <v>280</v>
      </c>
      <c r="G203" s="7" t="s">
        <v>266</v>
      </c>
      <c r="H203" s="7" t="s">
        <v>267</v>
      </c>
      <c r="I203" s="8">
        <v>1</v>
      </c>
      <c r="J203" s="8">
        <v>11909</v>
      </c>
    </row>
    <row r="204" spans="1:10">
      <c r="A204" s="7" t="s">
        <v>193</v>
      </c>
      <c r="B204" s="7" t="s">
        <v>194</v>
      </c>
      <c r="C204" s="7" t="s">
        <v>197</v>
      </c>
      <c r="D204" s="7" t="s">
        <v>198</v>
      </c>
      <c r="E204" s="7" t="s">
        <v>273</v>
      </c>
      <c r="F204" s="7" t="s">
        <v>274</v>
      </c>
      <c r="G204" s="7" t="s">
        <v>275</v>
      </c>
      <c r="H204" s="7" t="s">
        <v>276</v>
      </c>
      <c r="I204" s="8">
        <v>35</v>
      </c>
      <c r="J204" s="8">
        <v>1617639</v>
      </c>
    </row>
    <row r="205" spans="1:10">
      <c r="A205" s="7" t="s">
        <v>193</v>
      </c>
      <c r="B205" s="7" t="s">
        <v>194</v>
      </c>
      <c r="C205" s="7" t="s">
        <v>197</v>
      </c>
      <c r="D205" s="7" t="s">
        <v>198</v>
      </c>
      <c r="E205" s="7" t="s">
        <v>273</v>
      </c>
      <c r="F205" s="7" t="s">
        <v>274</v>
      </c>
      <c r="G205" s="7" t="s">
        <v>277</v>
      </c>
      <c r="H205" s="7" t="s">
        <v>278</v>
      </c>
      <c r="I205" s="8">
        <v>44</v>
      </c>
      <c r="J205" s="8">
        <v>3304004</v>
      </c>
    </row>
    <row r="206" spans="1:10">
      <c r="A206" s="7" t="s">
        <v>193</v>
      </c>
      <c r="B206" s="7" t="s">
        <v>194</v>
      </c>
      <c r="C206" s="7" t="s">
        <v>197</v>
      </c>
      <c r="D206" s="7" t="s">
        <v>198</v>
      </c>
      <c r="E206" s="7" t="s">
        <v>279</v>
      </c>
      <c r="F206" s="7" t="s">
        <v>280</v>
      </c>
      <c r="G206" s="7" t="s">
        <v>258</v>
      </c>
      <c r="H206" s="7" t="s">
        <v>259</v>
      </c>
      <c r="I206" s="8">
        <v>1</v>
      </c>
      <c r="J206" s="8">
        <v>44909</v>
      </c>
    </row>
    <row r="207" spans="1:10">
      <c r="A207" s="7" t="s">
        <v>193</v>
      </c>
      <c r="B207" s="7" t="s">
        <v>194</v>
      </c>
      <c r="C207" s="7" t="s">
        <v>197</v>
      </c>
      <c r="D207" s="7" t="s">
        <v>198</v>
      </c>
      <c r="E207" s="7" t="s">
        <v>279</v>
      </c>
      <c r="F207" s="7" t="s">
        <v>280</v>
      </c>
      <c r="G207" s="7" t="s">
        <v>260</v>
      </c>
      <c r="H207" s="7" t="s">
        <v>261</v>
      </c>
      <c r="I207" s="8">
        <v>3</v>
      </c>
      <c r="J207" s="8">
        <v>92910</v>
      </c>
    </row>
    <row r="208" spans="1:10">
      <c r="A208" s="7" t="s">
        <v>193</v>
      </c>
      <c r="B208" s="7" t="s">
        <v>194</v>
      </c>
      <c r="C208" s="7" t="s">
        <v>197</v>
      </c>
      <c r="D208" s="7" t="s">
        <v>198</v>
      </c>
      <c r="E208" s="7" t="s">
        <v>279</v>
      </c>
      <c r="F208" s="7" t="s">
        <v>280</v>
      </c>
      <c r="G208" s="7" t="s">
        <v>262</v>
      </c>
      <c r="H208" s="7" t="s">
        <v>263</v>
      </c>
      <c r="I208" s="8">
        <v>24</v>
      </c>
      <c r="J208" s="8">
        <v>755822</v>
      </c>
    </row>
    <row r="209" spans="1:10">
      <c r="A209" s="7" t="s">
        <v>193</v>
      </c>
      <c r="B209" s="7" t="s">
        <v>194</v>
      </c>
      <c r="C209" s="7" t="s">
        <v>197</v>
      </c>
      <c r="D209" s="7" t="s">
        <v>198</v>
      </c>
      <c r="E209" s="7" t="s">
        <v>279</v>
      </c>
      <c r="F209" s="7" t="s">
        <v>280</v>
      </c>
      <c r="G209" s="7" t="s">
        <v>264</v>
      </c>
      <c r="H209" s="7" t="s">
        <v>265</v>
      </c>
      <c r="I209" s="8">
        <v>5</v>
      </c>
      <c r="J209" s="8">
        <v>100455</v>
      </c>
    </row>
    <row r="210" spans="1:10">
      <c r="A210" s="7" t="s">
        <v>193</v>
      </c>
      <c r="B210" s="7" t="s">
        <v>194</v>
      </c>
      <c r="C210" s="7" t="s">
        <v>197</v>
      </c>
      <c r="D210" s="7" t="s">
        <v>198</v>
      </c>
      <c r="E210" s="7" t="s">
        <v>279</v>
      </c>
      <c r="F210" s="7" t="s">
        <v>280</v>
      </c>
      <c r="G210" s="7" t="s">
        <v>266</v>
      </c>
      <c r="H210" s="7" t="s">
        <v>267</v>
      </c>
      <c r="I210" s="8">
        <v>9</v>
      </c>
      <c r="J210" s="8">
        <v>107181</v>
      </c>
    </row>
    <row r="211" spans="1:10">
      <c r="A211" s="7" t="s">
        <v>193</v>
      </c>
      <c r="B211" s="7" t="s">
        <v>194</v>
      </c>
      <c r="C211" s="7" t="s">
        <v>199</v>
      </c>
      <c r="D211" s="7" t="s">
        <v>200</v>
      </c>
      <c r="E211" s="7" t="s">
        <v>273</v>
      </c>
      <c r="F211" s="7" t="s">
        <v>274</v>
      </c>
      <c r="G211" s="7" t="s">
        <v>275</v>
      </c>
      <c r="H211" s="7" t="s">
        <v>276</v>
      </c>
      <c r="I211" s="8">
        <v>27</v>
      </c>
      <c r="J211" s="8">
        <v>1235456</v>
      </c>
    </row>
    <row r="212" spans="1:10">
      <c r="A212" s="7" t="s">
        <v>193</v>
      </c>
      <c r="B212" s="7" t="s">
        <v>194</v>
      </c>
      <c r="C212" s="7" t="s">
        <v>199</v>
      </c>
      <c r="D212" s="7" t="s">
        <v>200</v>
      </c>
      <c r="E212" s="7" t="s">
        <v>273</v>
      </c>
      <c r="F212" s="7" t="s">
        <v>274</v>
      </c>
      <c r="G212" s="7" t="s">
        <v>277</v>
      </c>
      <c r="H212" s="7" t="s">
        <v>278</v>
      </c>
      <c r="I212" s="8">
        <v>33</v>
      </c>
      <c r="J212" s="8">
        <v>2478002</v>
      </c>
    </row>
    <row r="213" spans="1:10">
      <c r="A213" s="7" t="s">
        <v>193</v>
      </c>
      <c r="B213" s="7" t="s">
        <v>194</v>
      </c>
      <c r="C213" s="7" t="s">
        <v>199</v>
      </c>
      <c r="D213" s="7" t="s">
        <v>200</v>
      </c>
      <c r="E213" s="7" t="s">
        <v>279</v>
      </c>
      <c r="F213" s="7" t="s">
        <v>280</v>
      </c>
      <c r="G213" s="7" t="s">
        <v>258</v>
      </c>
      <c r="H213" s="7" t="s">
        <v>259</v>
      </c>
      <c r="I213" s="8">
        <v>2</v>
      </c>
      <c r="J213" s="8">
        <v>49728</v>
      </c>
    </row>
    <row r="214" spans="1:10">
      <c r="A214" s="7" t="s">
        <v>193</v>
      </c>
      <c r="B214" s="7" t="s">
        <v>194</v>
      </c>
      <c r="C214" s="7" t="s">
        <v>199</v>
      </c>
      <c r="D214" s="7" t="s">
        <v>200</v>
      </c>
      <c r="E214" s="7" t="s">
        <v>279</v>
      </c>
      <c r="F214" s="7" t="s">
        <v>280</v>
      </c>
      <c r="G214" s="7" t="s">
        <v>260</v>
      </c>
      <c r="H214" s="7" t="s">
        <v>261</v>
      </c>
      <c r="I214" s="8">
        <v>1</v>
      </c>
      <c r="J214" s="8">
        <v>26182</v>
      </c>
    </row>
    <row r="215" spans="1:10">
      <c r="A215" s="7" t="s">
        <v>193</v>
      </c>
      <c r="B215" s="7" t="s">
        <v>194</v>
      </c>
      <c r="C215" s="7" t="s">
        <v>199</v>
      </c>
      <c r="D215" s="7" t="s">
        <v>200</v>
      </c>
      <c r="E215" s="7" t="s">
        <v>279</v>
      </c>
      <c r="F215" s="7" t="s">
        <v>280</v>
      </c>
      <c r="G215" s="7" t="s">
        <v>262</v>
      </c>
      <c r="H215" s="7" t="s">
        <v>263</v>
      </c>
      <c r="I215" s="8">
        <v>9</v>
      </c>
      <c r="J215" s="8">
        <v>314457</v>
      </c>
    </row>
    <row r="216" spans="1:10">
      <c r="A216" s="7" t="s">
        <v>193</v>
      </c>
      <c r="B216" s="7" t="s">
        <v>194</v>
      </c>
      <c r="C216" s="7" t="s">
        <v>199</v>
      </c>
      <c r="D216" s="7" t="s">
        <v>200</v>
      </c>
      <c r="E216" s="7" t="s">
        <v>279</v>
      </c>
      <c r="F216" s="7" t="s">
        <v>280</v>
      </c>
      <c r="G216" s="7" t="s">
        <v>264</v>
      </c>
      <c r="H216" s="7" t="s">
        <v>265</v>
      </c>
      <c r="I216" s="8">
        <v>3</v>
      </c>
      <c r="J216" s="8">
        <v>60273</v>
      </c>
    </row>
    <row r="217" spans="1:10">
      <c r="A217" s="7" t="s">
        <v>193</v>
      </c>
      <c r="B217" s="7" t="s">
        <v>194</v>
      </c>
      <c r="C217" s="7" t="s">
        <v>199</v>
      </c>
      <c r="D217" s="7" t="s">
        <v>200</v>
      </c>
      <c r="E217" s="7" t="s">
        <v>279</v>
      </c>
      <c r="F217" s="7" t="s">
        <v>280</v>
      </c>
      <c r="G217" s="7" t="s">
        <v>266</v>
      </c>
      <c r="H217" s="7" t="s">
        <v>267</v>
      </c>
      <c r="I217" s="8">
        <v>2</v>
      </c>
      <c r="J217" s="8">
        <v>23818</v>
      </c>
    </row>
    <row r="218" spans="1:10">
      <c r="A218" s="7" t="s">
        <v>193</v>
      </c>
      <c r="B218" s="7" t="s">
        <v>194</v>
      </c>
      <c r="C218" s="7" t="s">
        <v>201</v>
      </c>
      <c r="D218" s="7" t="s">
        <v>202</v>
      </c>
      <c r="E218" s="7" t="s">
        <v>273</v>
      </c>
      <c r="F218" s="7" t="s">
        <v>274</v>
      </c>
      <c r="G218" s="7" t="s">
        <v>275</v>
      </c>
      <c r="H218" s="7" t="s">
        <v>276</v>
      </c>
      <c r="I218" s="8">
        <v>33</v>
      </c>
      <c r="J218" s="8">
        <v>1539276</v>
      </c>
    </row>
    <row r="219" spans="1:10">
      <c r="A219" s="7" t="s">
        <v>193</v>
      </c>
      <c r="B219" s="7" t="s">
        <v>194</v>
      </c>
      <c r="C219" s="7" t="s">
        <v>201</v>
      </c>
      <c r="D219" s="7" t="s">
        <v>202</v>
      </c>
      <c r="E219" s="7" t="s">
        <v>273</v>
      </c>
      <c r="F219" s="7" t="s">
        <v>274</v>
      </c>
      <c r="G219" s="7" t="s">
        <v>277</v>
      </c>
      <c r="H219" s="7" t="s">
        <v>278</v>
      </c>
      <c r="I219" s="8">
        <v>33</v>
      </c>
      <c r="J219" s="8">
        <v>2478003</v>
      </c>
    </row>
    <row r="220" spans="1:10">
      <c r="A220" s="7" t="s">
        <v>193</v>
      </c>
      <c r="B220" s="7" t="s">
        <v>194</v>
      </c>
      <c r="C220" s="7" t="s">
        <v>201</v>
      </c>
      <c r="D220" s="7" t="s">
        <v>202</v>
      </c>
      <c r="E220" s="7" t="s">
        <v>279</v>
      </c>
      <c r="F220" s="7" t="s">
        <v>280</v>
      </c>
      <c r="G220" s="7" t="s">
        <v>258</v>
      </c>
      <c r="H220" s="7" t="s">
        <v>259</v>
      </c>
      <c r="I220" s="8">
        <v>1</v>
      </c>
      <c r="J220" s="8">
        <v>61545</v>
      </c>
    </row>
    <row r="221" spans="1:10">
      <c r="A221" s="7" t="s">
        <v>193</v>
      </c>
      <c r="B221" s="7" t="s">
        <v>194</v>
      </c>
      <c r="C221" s="7" t="s">
        <v>201</v>
      </c>
      <c r="D221" s="7" t="s">
        <v>202</v>
      </c>
      <c r="E221" s="7" t="s">
        <v>279</v>
      </c>
      <c r="F221" s="7" t="s">
        <v>280</v>
      </c>
      <c r="G221" s="7" t="s">
        <v>262</v>
      </c>
      <c r="H221" s="7" t="s">
        <v>263</v>
      </c>
      <c r="I221" s="8">
        <v>5</v>
      </c>
      <c r="J221" s="8">
        <v>152637</v>
      </c>
    </row>
    <row r="222" spans="1:10">
      <c r="A222" s="7" t="s">
        <v>193</v>
      </c>
      <c r="B222" s="7" t="s">
        <v>194</v>
      </c>
      <c r="C222" s="7" t="s">
        <v>201</v>
      </c>
      <c r="D222" s="7" t="s">
        <v>202</v>
      </c>
      <c r="E222" s="7" t="s">
        <v>279</v>
      </c>
      <c r="F222" s="7" t="s">
        <v>280</v>
      </c>
      <c r="G222" s="7" t="s">
        <v>264</v>
      </c>
      <c r="H222" s="7" t="s">
        <v>265</v>
      </c>
      <c r="I222" s="8">
        <v>1</v>
      </c>
      <c r="J222" s="8">
        <v>20091</v>
      </c>
    </row>
    <row r="223" spans="1:10">
      <c r="A223" s="7" t="s">
        <v>193</v>
      </c>
      <c r="B223" s="7" t="s">
        <v>194</v>
      </c>
      <c r="C223" s="7" t="s">
        <v>201</v>
      </c>
      <c r="D223" s="7" t="s">
        <v>202</v>
      </c>
      <c r="E223" s="7" t="s">
        <v>279</v>
      </c>
      <c r="F223" s="7" t="s">
        <v>280</v>
      </c>
      <c r="G223" s="7" t="s">
        <v>266</v>
      </c>
      <c r="H223" s="7" t="s">
        <v>267</v>
      </c>
      <c r="I223" s="8">
        <v>1</v>
      </c>
      <c r="J223" s="8">
        <v>11909</v>
      </c>
    </row>
    <row r="224" spans="1:10">
      <c r="A224" s="7" t="s">
        <v>203</v>
      </c>
      <c r="B224" s="7" t="s">
        <v>204</v>
      </c>
      <c r="C224" s="7" t="s">
        <v>205</v>
      </c>
      <c r="D224" s="7" t="s">
        <v>206</v>
      </c>
      <c r="E224" s="7" t="s">
        <v>273</v>
      </c>
      <c r="F224" s="7" t="s">
        <v>274</v>
      </c>
      <c r="G224" s="7" t="s">
        <v>275</v>
      </c>
      <c r="H224" s="7" t="s">
        <v>276</v>
      </c>
      <c r="I224" s="8">
        <v>6</v>
      </c>
      <c r="J224" s="8">
        <v>292364</v>
      </c>
    </row>
    <row r="225" spans="1:10">
      <c r="A225" s="7" t="s">
        <v>203</v>
      </c>
      <c r="B225" s="7" t="s">
        <v>204</v>
      </c>
      <c r="C225" s="7" t="s">
        <v>205</v>
      </c>
      <c r="D225" s="7" t="s">
        <v>206</v>
      </c>
      <c r="E225" s="7" t="s">
        <v>273</v>
      </c>
      <c r="F225" s="7" t="s">
        <v>274</v>
      </c>
      <c r="G225" s="7" t="s">
        <v>277</v>
      </c>
      <c r="H225" s="7" t="s">
        <v>278</v>
      </c>
      <c r="I225" s="8">
        <v>16</v>
      </c>
      <c r="J225" s="8">
        <v>1201456</v>
      </c>
    </row>
    <row r="226" spans="1:10">
      <c r="A226" s="7" t="s">
        <v>203</v>
      </c>
      <c r="B226" s="7" t="s">
        <v>204</v>
      </c>
      <c r="C226" s="7" t="s">
        <v>205</v>
      </c>
      <c r="D226" s="7" t="s">
        <v>206</v>
      </c>
      <c r="E226" s="7" t="s">
        <v>279</v>
      </c>
      <c r="F226" s="7" t="s">
        <v>280</v>
      </c>
      <c r="G226" s="7" t="s">
        <v>260</v>
      </c>
      <c r="H226" s="7" t="s">
        <v>261</v>
      </c>
      <c r="I226" s="8">
        <v>1</v>
      </c>
      <c r="J226" s="8">
        <v>122182</v>
      </c>
    </row>
    <row r="227" spans="1:10">
      <c r="A227" s="7" t="s">
        <v>203</v>
      </c>
      <c r="B227" s="7" t="s">
        <v>204</v>
      </c>
      <c r="C227" s="7" t="s">
        <v>205</v>
      </c>
      <c r="D227" s="7" t="s">
        <v>206</v>
      </c>
      <c r="E227" s="7" t="s">
        <v>279</v>
      </c>
      <c r="F227" s="7" t="s">
        <v>280</v>
      </c>
      <c r="G227" s="7" t="s">
        <v>262</v>
      </c>
      <c r="H227" s="7" t="s">
        <v>263</v>
      </c>
      <c r="I227" s="8">
        <v>11</v>
      </c>
      <c r="J227" s="8">
        <v>312637</v>
      </c>
    </row>
    <row r="228" spans="1:10">
      <c r="A228" s="7" t="s">
        <v>203</v>
      </c>
      <c r="B228" s="7" t="s">
        <v>204</v>
      </c>
      <c r="C228" s="7" t="s">
        <v>205</v>
      </c>
      <c r="D228" s="7" t="s">
        <v>206</v>
      </c>
      <c r="E228" s="7" t="s">
        <v>279</v>
      </c>
      <c r="F228" s="7" t="s">
        <v>280</v>
      </c>
      <c r="G228" s="7" t="s">
        <v>264</v>
      </c>
      <c r="H228" s="7" t="s">
        <v>265</v>
      </c>
      <c r="I228" s="8">
        <v>1</v>
      </c>
      <c r="J228" s="8">
        <v>20091</v>
      </c>
    </row>
    <row r="229" spans="1:10">
      <c r="A229" s="7" t="s">
        <v>203</v>
      </c>
      <c r="B229" s="7" t="s">
        <v>204</v>
      </c>
      <c r="C229" s="7" t="s">
        <v>205</v>
      </c>
      <c r="D229" s="7" t="s">
        <v>206</v>
      </c>
      <c r="E229" s="7" t="s">
        <v>279</v>
      </c>
      <c r="F229" s="7" t="s">
        <v>280</v>
      </c>
      <c r="G229" s="7" t="s">
        <v>266</v>
      </c>
      <c r="H229" s="7" t="s">
        <v>267</v>
      </c>
      <c r="I229" s="8">
        <v>2</v>
      </c>
      <c r="J229" s="8">
        <v>23818</v>
      </c>
    </row>
    <row r="230" spans="1:10">
      <c r="A230" s="7" t="s">
        <v>203</v>
      </c>
      <c r="B230" s="7" t="s">
        <v>204</v>
      </c>
      <c r="C230" s="7" t="s">
        <v>207</v>
      </c>
      <c r="D230" s="7" t="s">
        <v>208</v>
      </c>
      <c r="E230" s="7" t="s">
        <v>273</v>
      </c>
      <c r="F230" s="7" t="s">
        <v>274</v>
      </c>
      <c r="G230" s="7" t="s">
        <v>275</v>
      </c>
      <c r="H230" s="7" t="s">
        <v>276</v>
      </c>
      <c r="I230" s="8">
        <v>10</v>
      </c>
      <c r="J230" s="8">
        <v>483456</v>
      </c>
    </row>
    <row r="231" spans="1:10">
      <c r="A231" s="7" t="s">
        <v>203</v>
      </c>
      <c r="B231" s="7" t="s">
        <v>204</v>
      </c>
      <c r="C231" s="7" t="s">
        <v>207</v>
      </c>
      <c r="D231" s="7" t="s">
        <v>208</v>
      </c>
      <c r="E231" s="7" t="s">
        <v>273</v>
      </c>
      <c r="F231" s="7" t="s">
        <v>274</v>
      </c>
      <c r="G231" s="7" t="s">
        <v>277</v>
      </c>
      <c r="H231" s="7" t="s">
        <v>278</v>
      </c>
      <c r="I231" s="8">
        <v>23</v>
      </c>
      <c r="J231" s="8">
        <v>1727093</v>
      </c>
    </row>
    <row r="232" spans="1:10">
      <c r="A232" s="7" t="s">
        <v>203</v>
      </c>
      <c r="B232" s="7" t="s">
        <v>204</v>
      </c>
      <c r="C232" s="7" t="s">
        <v>207</v>
      </c>
      <c r="D232" s="7" t="s">
        <v>208</v>
      </c>
      <c r="E232" s="7" t="s">
        <v>279</v>
      </c>
      <c r="F232" s="7" t="s">
        <v>280</v>
      </c>
      <c r="G232" s="7" t="s">
        <v>262</v>
      </c>
      <c r="H232" s="7" t="s">
        <v>263</v>
      </c>
      <c r="I232" s="8">
        <v>2</v>
      </c>
      <c r="J232" s="8">
        <v>80910</v>
      </c>
    </row>
    <row r="233" spans="1:10">
      <c r="A233" s="7" t="s">
        <v>203</v>
      </c>
      <c r="B233" s="7" t="s">
        <v>204</v>
      </c>
      <c r="C233" s="7" t="s">
        <v>207</v>
      </c>
      <c r="D233" s="7" t="s">
        <v>208</v>
      </c>
      <c r="E233" s="7" t="s">
        <v>279</v>
      </c>
      <c r="F233" s="7" t="s">
        <v>280</v>
      </c>
      <c r="G233" s="7" t="s">
        <v>266</v>
      </c>
      <c r="H233" s="7" t="s">
        <v>267</v>
      </c>
      <c r="I233" s="8">
        <v>1</v>
      </c>
      <c r="J233" s="8">
        <v>11909</v>
      </c>
    </row>
    <row r="234" spans="1:10">
      <c r="A234" s="7" t="s">
        <v>203</v>
      </c>
      <c r="B234" s="7" t="s">
        <v>204</v>
      </c>
      <c r="C234" s="7" t="s">
        <v>209</v>
      </c>
      <c r="D234" s="7" t="s">
        <v>210</v>
      </c>
      <c r="E234" s="7" t="s">
        <v>273</v>
      </c>
      <c r="F234" s="7" t="s">
        <v>274</v>
      </c>
      <c r="G234" s="7" t="s">
        <v>275</v>
      </c>
      <c r="H234" s="7" t="s">
        <v>276</v>
      </c>
      <c r="I234" s="8">
        <v>11</v>
      </c>
      <c r="J234" s="8">
        <v>528364</v>
      </c>
    </row>
    <row r="235" spans="1:10">
      <c r="A235" s="7" t="s">
        <v>203</v>
      </c>
      <c r="B235" s="7" t="s">
        <v>204</v>
      </c>
      <c r="C235" s="7" t="s">
        <v>209</v>
      </c>
      <c r="D235" s="7" t="s">
        <v>210</v>
      </c>
      <c r="E235" s="7" t="s">
        <v>273</v>
      </c>
      <c r="F235" s="7" t="s">
        <v>274</v>
      </c>
      <c r="G235" s="7" t="s">
        <v>277</v>
      </c>
      <c r="H235" s="7" t="s">
        <v>278</v>
      </c>
      <c r="I235" s="8">
        <v>20</v>
      </c>
      <c r="J235" s="8">
        <v>1501821</v>
      </c>
    </row>
    <row r="236" spans="1:10">
      <c r="A236" s="7" t="s">
        <v>203</v>
      </c>
      <c r="B236" s="7" t="s">
        <v>204</v>
      </c>
      <c r="C236" s="7" t="s">
        <v>209</v>
      </c>
      <c r="D236" s="7" t="s">
        <v>210</v>
      </c>
      <c r="E236" s="7" t="s">
        <v>279</v>
      </c>
      <c r="F236" s="7" t="s">
        <v>280</v>
      </c>
      <c r="G236" s="7" t="s">
        <v>258</v>
      </c>
      <c r="H236" s="7" t="s">
        <v>259</v>
      </c>
      <c r="I236" s="8">
        <v>1</v>
      </c>
      <c r="J236" s="8">
        <v>37091</v>
      </c>
    </row>
    <row r="237" spans="1:10">
      <c r="A237" s="7" t="s">
        <v>203</v>
      </c>
      <c r="B237" s="7" t="s">
        <v>204</v>
      </c>
      <c r="C237" s="7" t="s">
        <v>209</v>
      </c>
      <c r="D237" s="7" t="s">
        <v>210</v>
      </c>
      <c r="E237" s="7" t="s">
        <v>279</v>
      </c>
      <c r="F237" s="7" t="s">
        <v>280</v>
      </c>
      <c r="G237" s="7" t="s">
        <v>262</v>
      </c>
      <c r="H237" s="7" t="s">
        <v>263</v>
      </c>
      <c r="I237" s="8">
        <v>4</v>
      </c>
      <c r="J237" s="8">
        <v>95636</v>
      </c>
    </row>
    <row r="238" spans="1:10">
      <c r="A238" s="7" t="s">
        <v>203</v>
      </c>
      <c r="B238" s="7" t="s">
        <v>204</v>
      </c>
      <c r="C238" s="7" t="s">
        <v>209</v>
      </c>
      <c r="D238" s="7" t="s">
        <v>210</v>
      </c>
      <c r="E238" s="7" t="s">
        <v>279</v>
      </c>
      <c r="F238" s="7" t="s">
        <v>280</v>
      </c>
      <c r="G238" s="7" t="s">
        <v>264</v>
      </c>
      <c r="H238" s="7" t="s">
        <v>265</v>
      </c>
      <c r="I238" s="8">
        <v>1</v>
      </c>
      <c r="J238" s="8">
        <v>20091</v>
      </c>
    </row>
    <row r="239" spans="1:10">
      <c r="A239" s="7" t="s">
        <v>203</v>
      </c>
      <c r="B239" s="7" t="s">
        <v>204</v>
      </c>
      <c r="C239" s="7" t="s">
        <v>209</v>
      </c>
      <c r="D239" s="7" t="s">
        <v>210</v>
      </c>
      <c r="E239" s="7" t="s">
        <v>279</v>
      </c>
      <c r="F239" s="7" t="s">
        <v>280</v>
      </c>
      <c r="G239" s="7" t="s">
        <v>266</v>
      </c>
      <c r="H239" s="7" t="s">
        <v>267</v>
      </c>
      <c r="I239" s="8">
        <v>5</v>
      </c>
      <c r="J239" s="8">
        <v>59545</v>
      </c>
    </row>
    <row r="240" spans="1:10">
      <c r="A240" s="7" t="s">
        <v>211</v>
      </c>
      <c r="B240" s="7" t="s">
        <v>212</v>
      </c>
      <c r="C240" s="7" t="s">
        <v>213</v>
      </c>
      <c r="D240" s="7" t="s">
        <v>214</v>
      </c>
      <c r="E240" s="7" t="s">
        <v>273</v>
      </c>
      <c r="F240" s="7" t="s">
        <v>274</v>
      </c>
      <c r="G240" s="7" t="s">
        <v>275</v>
      </c>
      <c r="H240" s="7" t="s">
        <v>276</v>
      </c>
      <c r="I240" s="8">
        <v>7</v>
      </c>
      <c r="J240" s="8">
        <v>325819</v>
      </c>
    </row>
    <row r="241" spans="1:10">
      <c r="A241" s="7" t="s">
        <v>211</v>
      </c>
      <c r="B241" s="7" t="s">
        <v>212</v>
      </c>
      <c r="C241" s="7" t="s">
        <v>213</v>
      </c>
      <c r="D241" s="7" t="s">
        <v>214</v>
      </c>
      <c r="E241" s="7" t="s">
        <v>273</v>
      </c>
      <c r="F241" s="7" t="s">
        <v>274</v>
      </c>
      <c r="G241" s="7" t="s">
        <v>277</v>
      </c>
      <c r="H241" s="7" t="s">
        <v>278</v>
      </c>
      <c r="I241" s="8">
        <v>18</v>
      </c>
      <c r="J241" s="8">
        <v>1351637</v>
      </c>
    </row>
    <row r="242" spans="1:10">
      <c r="A242" s="7" t="s">
        <v>211</v>
      </c>
      <c r="B242" s="7" t="s">
        <v>212</v>
      </c>
      <c r="C242" s="7" t="s">
        <v>213</v>
      </c>
      <c r="D242" s="7" t="s">
        <v>214</v>
      </c>
      <c r="E242" s="7" t="s">
        <v>279</v>
      </c>
      <c r="F242" s="7" t="s">
        <v>280</v>
      </c>
      <c r="G242" s="7" t="s">
        <v>260</v>
      </c>
      <c r="H242" s="7" t="s">
        <v>261</v>
      </c>
      <c r="I242" s="8">
        <v>1</v>
      </c>
      <c r="J242" s="8">
        <v>26182</v>
      </c>
    </row>
    <row r="243" spans="1:10">
      <c r="A243" s="7" t="s">
        <v>211</v>
      </c>
      <c r="B243" s="7" t="s">
        <v>212</v>
      </c>
      <c r="C243" s="7" t="s">
        <v>213</v>
      </c>
      <c r="D243" s="7" t="s">
        <v>214</v>
      </c>
      <c r="E243" s="7" t="s">
        <v>279</v>
      </c>
      <c r="F243" s="7" t="s">
        <v>280</v>
      </c>
      <c r="G243" s="7" t="s">
        <v>262</v>
      </c>
      <c r="H243" s="7" t="s">
        <v>263</v>
      </c>
      <c r="I243" s="8">
        <v>10</v>
      </c>
      <c r="J243" s="8">
        <v>388004</v>
      </c>
    </row>
    <row r="244" spans="1:10">
      <c r="A244" s="7" t="s">
        <v>211</v>
      </c>
      <c r="B244" s="7" t="s">
        <v>212</v>
      </c>
      <c r="C244" s="7" t="s">
        <v>215</v>
      </c>
      <c r="D244" s="7" t="s">
        <v>216</v>
      </c>
      <c r="E244" s="7" t="s">
        <v>273</v>
      </c>
      <c r="F244" s="7" t="s">
        <v>274</v>
      </c>
      <c r="G244" s="7" t="s">
        <v>275</v>
      </c>
      <c r="H244" s="7" t="s">
        <v>276</v>
      </c>
      <c r="I244" s="8">
        <v>15</v>
      </c>
      <c r="J244" s="8">
        <v>685090</v>
      </c>
    </row>
    <row r="245" spans="1:10">
      <c r="A245" s="7" t="s">
        <v>211</v>
      </c>
      <c r="B245" s="7" t="s">
        <v>212</v>
      </c>
      <c r="C245" s="7" t="s">
        <v>215</v>
      </c>
      <c r="D245" s="7" t="s">
        <v>216</v>
      </c>
      <c r="E245" s="7" t="s">
        <v>273</v>
      </c>
      <c r="F245" s="7" t="s">
        <v>274</v>
      </c>
      <c r="G245" s="7" t="s">
        <v>277</v>
      </c>
      <c r="H245" s="7" t="s">
        <v>278</v>
      </c>
      <c r="I245" s="8">
        <v>18</v>
      </c>
      <c r="J245" s="8">
        <v>1351638</v>
      </c>
    </row>
    <row r="246" spans="1:10">
      <c r="A246" s="7" t="s">
        <v>211</v>
      </c>
      <c r="B246" s="7" t="s">
        <v>212</v>
      </c>
      <c r="C246" s="7" t="s">
        <v>215</v>
      </c>
      <c r="D246" s="7" t="s">
        <v>216</v>
      </c>
      <c r="E246" s="7" t="s">
        <v>279</v>
      </c>
      <c r="F246" s="7" t="s">
        <v>280</v>
      </c>
      <c r="G246" s="7" t="s">
        <v>258</v>
      </c>
      <c r="H246" s="7" t="s">
        <v>259</v>
      </c>
      <c r="I246" s="8">
        <v>1</v>
      </c>
      <c r="J246" s="8">
        <v>37091</v>
      </c>
    </row>
    <row r="247" spans="1:10">
      <c r="A247" s="7" t="s">
        <v>211</v>
      </c>
      <c r="B247" s="7" t="s">
        <v>212</v>
      </c>
      <c r="C247" s="7" t="s">
        <v>215</v>
      </c>
      <c r="D247" s="7" t="s">
        <v>216</v>
      </c>
      <c r="E247" s="7" t="s">
        <v>279</v>
      </c>
      <c r="F247" s="7" t="s">
        <v>280</v>
      </c>
      <c r="G247" s="7" t="s">
        <v>262</v>
      </c>
      <c r="H247" s="7" t="s">
        <v>263</v>
      </c>
      <c r="I247" s="8">
        <v>4</v>
      </c>
      <c r="J247" s="8">
        <v>128728</v>
      </c>
    </row>
    <row r="248" spans="1:10">
      <c r="A248" s="7" t="s">
        <v>211</v>
      </c>
      <c r="B248" s="7" t="s">
        <v>212</v>
      </c>
      <c r="C248" s="7" t="s">
        <v>215</v>
      </c>
      <c r="D248" s="7" t="s">
        <v>216</v>
      </c>
      <c r="E248" s="7" t="s">
        <v>279</v>
      </c>
      <c r="F248" s="7" t="s">
        <v>280</v>
      </c>
      <c r="G248" s="7" t="s">
        <v>264</v>
      </c>
      <c r="H248" s="7" t="s">
        <v>265</v>
      </c>
      <c r="I248" s="8">
        <v>1</v>
      </c>
      <c r="J248" s="8">
        <v>20091</v>
      </c>
    </row>
    <row r="249" spans="1:10">
      <c r="A249" s="7" t="s">
        <v>211</v>
      </c>
      <c r="B249" s="7" t="s">
        <v>212</v>
      </c>
      <c r="C249" s="7" t="s">
        <v>217</v>
      </c>
      <c r="D249" s="7" t="s">
        <v>218</v>
      </c>
      <c r="E249" s="7" t="s">
        <v>273</v>
      </c>
      <c r="F249" s="7" t="s">
        <v>274</v>
      </c>
      <c r="G249" s="7" t="s">
        <v>275</v>
      </c>
      <c r="H249" s="7" t="s">
        <v>276</v>
      </c>
      <c r="I249" s="8">
        <v>19</v>
      </c>
      <c r="J249" s="8">
        <v>864729</v>
      </c>
    </row>
    <row r="250" spans="1:10">
      <c r="A250" s="7" t="s">
        <v>211</v>
      </c>
      <c r="B250" s="7" t="s">
        <v>212</v>
      </c>
      <c r="C250" s="7" t="s">
        <v>217</v>
      </c>
      <c r="D250" s="7" t="s">
        <v>218</v>
      </c>
      <c r="E250" s="7" t="s">
        <v>273</v>
      </c>
      <c r="F250" s="7" t="s">
        <v>274</v>
      </c>
      <c r="G250" s="7" t="s">
        <v>277</v>
      </c>
      <c r="H250" s="7" t="s">
        <v>278</v>
      </c>
      <c r="I250" s="8">
        <v>27</v>
      </c>
      <c r="J250" s="8">
        <v>2027458</v>
      </c>
    </row>
    <row r="251" spans="1:10">
      <c r="A251" s="7" t="s">
        <v>211</v>
      </c>
      <c r="B251" s="7" t="s">
        <v>212</v>
      </c>
      <c r="C251" s="7" t="s">
        <v>217</v>
      </c>
      <c r="D251" s="7" t="s">
        <v>218</v>
      </c>
      <c r="E251" s="7" t="s">
        <v>279</v>
      </c>
      <c r="F251" s="7" t="s">
        <v>280</v>
      </c>
      <c r="G251" s="7" t="s">
        <v>258</v>
      </c>
      <c r="H251" s="7" t="s">
        <v>259</v>
      </c>
      <c r="I251" s="8">
        <v>0</v>
      </c>
      <c r="J251" s="8">
        <v>-24454</v>
      </c>
    </row>
    <row r="252" spans="1:10">
      <c r="A252" s="7" t="s">
        <v>211</v>
      </c>
      <c r="B252" s="7" t="s">
        <v>212</v>
      </c>
      <c r="C252" s="7" t="s">
        <v>217</v>
      </c>
      <c r="D252" s="7" t="s">
        <v>218</v>
      </c>
      <c r="E252" s="7" t="s">
        <v>279</v>
      </c>
      <c r="F252" s="7" t="s">
        <v>280</v>
      </c>
      <c r="G252" s="7" t="s">
        <v>260</v>
      </c>
      <c r="H252" s="7" t="s">
        <v>261</v>
      </c>
      <c r="I252" s="8">
        <v>1</v>
      </c>
      <c r="J252" s="8">
        <v>23091</v>
      </c>
    </row>
    <row r="253" spans="1:10">
      <c r="A253" s="7" t="s">
        <v>211</v>
      </c>
      <c r="B253" s="7" t="s">
        <v>212</v>
      </c>
      <c r="C253" s="7" t="s">
        <v>217</v>
      </c>
      <c r="D253" s="7" t="s">
        <v>218</v>
      </c>
      <c r="E253" s="7" t="s">
        <v>279</v>
      </c>
      <c r="F253" s="7" t="s">
        <v>280</v>
      </c>
      <c r="G253" s="7" t="s">
        <v>262</v>
      </c>
      <c r="H253" s="7" t="s">
        <v>263</v>
      </c>
      <c r="I253" s="8">
        <v>6</v>
      </c>
      <c r="J253" s="8">
        <v>143454</v>
      </c>
    </row>
    <row r="254" spans="1:10">
      <c r="A254" s="7" t="s">
        <v>211</v>
      </c>
      <c r="B254" s="7" t="s">
        <v>212</v>
      </c>
      <c r="C254" s="7" t="s">
        <v>217</v>
      </c>
      <c r="D254" s="7" t="s">
        <v>218</v>
      </c>
      <c r="E254" s="7" t="s">
        <v>279</v>
      </c>
      <c r="F254" s="7" t="s">
        <v>280</v>
      </c>
      <c r="G254" s="7" t="s">
        <v>264</v>
      </c>
      <c r="H254" s="7" t="s">
        <v>265</v>
      </c>
      <c r="I254" s="8">
        <v>2</v>
      </c>
      <c r="J254" s="8">
        <v>40182</v>
      </c>
    </row>
    <row r="255" spans="1:10">
      <c r="A255" s="7" t="s">
        <v>211</v>
      </c>
      <c r="B255" s="7" t="s">
        <v>212</v>
      </c>
      <c r="C255" s="7" t="s">
        <v>217</v>
      </c>
      <c r="D255" s="7" t="s">
        <v>218</v>
      </c>
      <c r="E255" s="7" t="s">
        <v>279</v>
      </c>
      <c r="F255" s="7" t="s">
        <v>280</v>
      </c>
      <c r="G255" s="7" t="s">
        <v>266</v>
      </c>
      <c r="H255" s="7" t="s">
        <v>267</v>
      </c>
      <c r="I255" s="8">
        <v>5</v>
      </c>
      <c r="J255" s="8">
        <v>59545</v>
      </c>
    </row>
    <row r="256" spans="1:10">
      <c r="A256" s="7" t="s">
        <v>211</v>
      </c>
      <c r="B256" s="7" t="s">
        <v>212</v>
      </c>
      <c r="C256" s="7" t="s">
        <v>219</v>
      </c>
      <c r="D256" s="7" t="s">
        <v>220</v>
      </c>
      <c r="E256" s="7" t="s">
        <v>273</v>
      </c>
      <c r="F256" s="7" t="s">
        <v>274</v>
      </c>
      <c r="G256" s="7" t="s">
        <v>275</v>
      </c>
      <c r="H256" s="7" t="s">
        <v>276</v>
      </c>
      <c r="I256" s="8">
        <v>12</v>
      </c>
      <c r="J256" s="8">
        <v>561818</v>
      </c>
    </row>
    <row r="257" spans="1:10">
      <c r="A257" s="7" t="s">
        <v>211</v>
      </c>
      <c r="B257" s="7" t="s">
        <v>212</v>
      </c>
      <c r="C257" s="7" t="s">
        <v>219</v>
      </c>
      <c r="D257" s="7" t="s">
        <v>220</v>
      </c>
      <c r="E257" s="7" t="s">
        <v>273</v>
      </c>
      <c r="F257" s="7" t="s">
        <v>274</v>
      </c>
      <c r="G257" s="7" t="s">
        <v>277</v>
      </c>
      <c r="H257" s="7" t="s">
        <v>278</v>
      </c>
      <c r="I257" s="8">
        <v>14</v>
      </c>
      <c r="J257" s="8">
        <v>1051274</v>
      </c>
    </row>
    <row r="258" spans="1:10">
      <c r="A258" s="7" t="s">
        <v>211</v>
      </c>
      <c r="B258" s="7" t="s">
        <v>212</v>
      </c>
      <c r="C258" s="7" t="s">
        <v>219</v>
      </c>
      <c r="D258" s="7" t="s">
        <v>220</v>
      </c>
      <c r="E258" s="7" t="s">
        <v>279</v>
      </c>
      <c r="F258" s="7" t="s">
        <v>280</v>
      </c>
      <c r="G258" s="7" t="s">
        <v>262</v>
      </c>
      <c r="H258" s="7" t="s">
        <v>263</v>
      </c>
      <c r="I258" s="8">
        <v>6</v>
      </c>
      <c r="J258" s="8">
        <v>209638</v>
      </c>
    </row>
    <row r="259" spans="1:10">
      <c r="A259" s="7" t="s">
        <v>221</v>
      </c>
      <c r="B259" s="7" t="s">
        <v>222</v>
      </c>
      <c r="C259" s="7" t="s">
        <v>223</v>
      </c>
      <c r="D259" s="7" t="s">
        <v>224</v>
      </c>
      <c r="E259" s="7" t="s">
        <v>273</v>
      </c>
      <c r="F259" s="7" t="s">
        <v>274</v>
      </c>
      <c r="G259" s="7" t="s">
        <v>275</v>
      </c>
      <c r="H259" s="7" t="s">
        <v>276</v>
      </c>
      <c r="I259" s="8">
        <v>16</v>
      </c>
      <c r="J259" s="8">
        <v>718544</v>
      </c>
    </row>
    <row r="260" spans="1:10">
      <c r="A260" s="7" t="s">
        <v>221</v>
      </c>
      <c r="B260" s="7" t="s">
        <v>222</v>
      </c>
      <c r="C260" s="7" t="s">
        <v>223</v>
      </c>
      <c r="D260" s="7" t="s">
        <v>224</v>
      </c>
      <c r="E260" s="7" t="s">
        <v>273</v>
      </c>
      <c r="F260" s="7" t="s">
        <v>274</v>
      </c>
      <c r="G260" s="7" t="s">
        <v>277</v>
      </c>
      <c r="H260" s="7" t="s">
        <v>278</v>
      </c>
      <c r="I260" s="8">
        <v>17</v>
      </c>
      <c r="J260" s="8">
        <v>1276547</v>
      </c>
    </row>
    <row r="261" spans="1:10">
      <c r="A261" s="7" t="s">
        <v>221</v>
      </c>
      <c r="B261" s="7" t="s">
        <v>222</v>
      </c>
      <c r="C261" s="7" t="s">
        <v>223</v>
      </c>
      <c r="D261" s="7" t="s">
        <v>224</v>
      </c>
      <c r="E261" s="7" t="s">
        <v>279</v>
      </c>
      <c r="F261" s="7" t="s">
        <v>280</v>
      </c>
      <c r="G261" s="7" t="s">
        <v>260</v>
      </c>
      <c r="H261" s="7" t="s">
        <v>261</v>
      </c>
      <c r="I261" s="8">
        <v>1</v>
      </c>
      <c r="J261" s="8">
        <v>16182</v>
      </c>
    </row>
    <row r="262" spans="1:10">
      <c r="A262" s="7" t="s">
        <v>221</v>
      </c>
      <c r="B262" s="7" t="s">
        <v>222</v>
      </c>
      <c r="C262" s="7" t="s">
        <v>223</v>
      </c>
      <c r="D262" s="7" t="s">
        <v>224</v>
      </c>
      <c r="E262" s="7" t="s">
        <v>279</v>
      </c>
      <c r="F262" s="7" t="s">
        <v>280</v>
      </c>
      <c r="G262" s="7" t="s">
        <v>262</v>
      </c>
      <c r="H262" s="7" t="s">
        <v>263</v>
      </c>
      <c r="I262" s="8">
        <v>6</v>
      </c>
      <c r="J262" s="8">
        <v>143454</v>
      </c>
    </row>
    <row r="263" spans="1:10">
      <c r="A263" s="7" t="s">
        <v>221</v>
      </c>
      <c r="B263" s="7" t="s">
        <v>222</v>
      </c>
      <c r="C263" s="7" t="s">
        <v>223</v>
      </c>
      <c r="D263" s="7" t="s">
        <v>224</v>
      </c>
      <c r="E263" s="7" t="s">
        <v>279</v>
      </c>
      <c r="F263" s="7" t="s">
        <v>280</v>
      </c>
      <c r="G263" s="7" t="s">
        <v>264</v>
      </c>
      <c r="H263" s="7" t="s">
        <v>265</v>
      </c>
      <c r="I263" s="8">
        <v>3</v>
      </c>
      <c r="J263" s="8">
        <v>60273</v>
      </c>
    </row>
    <row r="264" spans="1:10">
      <c r="A264" s="7" t="s">
        <v>221</v>
      </c>
      <c r="B264" s="7" t="s">
        <v>222</v>
      </c>
      <c r="C264" s="7" t="s">
        <v>223</v>
      </c>
      <c r="D264" s="7" t="s">
        <v>224</v>
      </c>
      <c r="E264" s="7" t="s">
        <v>279</v>
      </c>
      <c r="F264" s="7" t="s">
        <v>280</v>
      </c>
      <c r="G264" s="7" t="s">
        <v>266</v>
      </c>
      <c r="H264" s="7" t="s">
        <v>267</v>
      </c>
      <c r="I264" s="8">
        <v>16</v>
      </c>
      <c r="J264" s="8">
        <v>190544</v>
      </c>
    </row>
    <row r="265" spans="1:10">
      <c r="A265" s="7" t="s">
        <v>221</v>
      </c>
      <c r="B265" s="7" t="s">
        <v>222</v>
      </c>
      <c r="C265" s="7" t="s">
        <v>225</v>
      </c>
      <c r="D265" s="7" t="s">
        <v>226</v>
      </c>
      <c r="E265" s="7" t="s">
        <v>273</v>
      </c>
      <c r="F265" s="7" t="s">
        <v>274</v>
      </c>
      <c r="G265" s="7" t="s">
        <v>275</v>
      </c>
      <c r="H265" s="7" t="s">
        <v>276</v>
      </c>
      <c r="I265" s="8">
        <v>16</v>
      </c>
      <c r="J265" s="8">
        <v>718544</v>
      </c>
    </row>
    <row r="266" spans="1:10">
      <c r="A266" s="7" t="s">
        <v>221</v>
      </c>
      <c r="B266" s="7" t="s">
        <v>222</v>
      </c>
      <c r="C266" s="7" t="s">
        <v>225</v>
      </c>
      <c r="D266" s="7" t="s">
        <v>226</v>
      </c>
      <c r="E266" s="7" t="s">
        <v>273</v>
      </c>
      <c r="F266" s="7" t="s">
        <v>274</v>
      </c>
      <c r="G266" s="7" t="s">
        <v>277</v>
      </c>
      <c r="H266" s="7" t="s">
        <v>278</v>
      </c>
      <c r="I266" s="8">
        <v>12</v>
      </c>
      <c r="J266" s="8">
        <v>901092</v>
      </c>
    </row>
    <row r="267" spans="1:10">
      <c r="A267" s="7" t="s">
        <v>221</v>
      </c>
      <c r="B267" s="7" t="s">
        <v>222</v>
      </c>
      <c r="C267" s="7" t="s">
        <v>225</v>
      </c>
      <c r="D267" s="7" t="s">
        <v>226</v>
      </c>
      <c r="E267" s="7" t="s">
        <v>279</v>
      </c>
      <c r="F267" s="7" t="s">
        <v>280</v>
      </c>
      <c r="G267" s="7" t="s">
        <v>260</v>
      </c>
      <c r="H267" s="7" t="s">
        <v>261</v>
      </c>
      <c r="I267" s="8">
        <v>1</v>
      </c>
      <c r="J267" s="8">
        <v>26182</v>
      </c>
    </row>
    <row r="268" spans="1:10">
      <c r="A268" s="7" t="s">
        <v>221</v>
      </c>
      <c r="B268" s="7" t="s">
        <v>222</v>
      </c>
      <c r="C268" s="7" t="s">
        <v>225</v>
      </c>
      <c r="D268" s="7" t="s">
        <v>226</v>
      </c>
      <c r="E268" s="7" t="s">
        <v>279</v>
      </c>
      <c r="F268" s="7" t="s">
        <v>280</v>
      </c>
      <c r="G268" s="7" t="s">
        <v>262</v>
      </c>
      <c r="H268" s="7" t="s">
        <v>263</v>
      </c>
      <c r="I268" s="8">
        <v>4</v>
      </c>
      <c r="J268" s="8">
        <v>95636</v>
      </c>
    </row>
    <row r="269" spans="1:10">
      <c r="A269" s="7" t="s">
        <v>221</v>
      </c>
      <c r="B269" s="7" t="s">
        <v>222</v>
      </c>
      <c r="C269" s="7" t="s">
        <v>225</v>
      </c>
      <c r="D269" s="7" t="s">
        <v>226</v>
      </c>
      <c r="E269" s="7" t="s">
        <v>279</v>
      </c>
      <c r="F269" s="7" t="s">
        <v>280</v>
      </c>
      <c r="G269" s="7" t="s">
        <v>264</v>
      </c>
      <c r="H269" s="7" t="s">
        <v>265</v>
      </c>
      <c r="I269" s="8">
        <v>2</v>
      </c>
      <c r="J269" s="8">
        <v>40182</v>
      </c>
    </row>
    <row r="270" spans="1:10">
      <c r="A270" s="7" t="s">
        <v>221</v>
      </c>
      <c r="B270" s="7" t="s">
        <v>222</v>
      </c>
      <c r="C270" s="7" t="s">
        <v>225</v>
      </c>
      <c r="D270" s="7" t="s">
        <v>226</v>
      </c>
      <c r="E270" s="7" t="s">
        <v>279</v>
      </c>
      <c r="F270" s="7" t="s">
        <v>280</v>
      </c>
      <c r="G270" s="7" t="s">
        <v>266</v>
      </c>
      <c r="H270" s="7" t="s">
        <v>267</v>
      </c>
      <c r="I270" s="8">
        <v>10</v>
      </c>
      <c r="J270" s="8">
        <v>78181</v>
      </c>
    </row>
    <row r="271" spans="1:10">
      <c r="A271" s="7" t="s">
        <v>227</v>
      </c>
      <c r="B271" s="7" t="s">
        <v>228</v>
      </c>
      <c r="C271" s="7" t="s">
        <v>231</v>
      </c>
      <c r="D271" s="7" t="s">
        <v>232</v>
      </c>
      <c r="E271" s="7" t="s">
        <v>273</v>
      </c>
      <c r="F271" s="7" t="s">
        <v>274</v>
      </c>
      <c r="G271" s="7" t="s">
        <v>275</v>
      </c>
      <c r="H271" s="7" t="s">
        <v>276</v>
      </c>
      <c r="I271" s="8">
        <v>8</v>
      </c>
      <c r="J271" s="8">
        <v>370727</v>
      </c>
    </row>
    <row r="272" spans="1:10">
      <c r="A272" s="7" t="s">
        <v>227</v>
      </c>
      <c r="B272" s="7" t="s">
        <v>228</v>
      </c>
      <c r="C272" s="7" t="s">
        <v>231</v>
      </c>
      <c r="D272" s="7" t="s">
        <v>232</v>
      </c>
      <c r="E272" s="7" t="s">
        <v>273</v>
      </c>
      <c r="F272" s="7" t="s">
        <v>274</v>
      </c>
      <c r="G272" s="7" t="s">
        <v>277</v>
      </c>
      <c r="H272" s="7" t="s">
        <v>278</v>
      </c>
      <c r="I272" s="8">
        <v>13</v>
      </c>
      <c r="J272" s="8">
        <v>976183</v>
      </c>
    </row>
    <row r="273" spans="1:10">
      <c r="A273" s="7" t="s">
        <v>227</v>
      </c>
      <c r="B273" s="7" t="s">
        <v>228</v>
      </c>
      <c r="C273" s="7" t="s">
        <v>231</v>
      </c>
      <c r="D273" s="7" t="s">
        <v>232</v>
      </c>
      <c r="E273" s="7" t="s">
        <v>279</v>
      </c>
      <c r="F273" s="7" t="s">
        <v>280</v>
      </c>
      <c r="G273" s="7" t="s">
        <v>260</v>
      </c>
      <c r="H273" s="7" t="s">
        <v>261</v>
      </c>
      <c r="I273" s="8">
        <v>2</v>
      </c>
      <c r="J273" s="8">
        <v>66727</v>
      </c>
    </row>
    <row r="274" spans="1:10">
      <c r="A274" s="7" t="s">
        <v>227</v>
      </c>
      <c r="B274" s="7" t="s">
        <v>228</v>
      </c>
      <c r="C274" s="7" t="s">
        <v>231</v>
      </c>
      <c r="D274" s="7" t="s">
        <v>232</v>
      </c>
      <c r="E274" s="7" t="s">
        <v>279</v>
      </c>
      <c r="F274" s="7" t="s">
        <v>280</v>
      </c>
      <c r="G274" s="7" t="s">
        <v>262</v>
      </c>
      <c r="H274" s="7" t="s">
        <v>263</v>
      </c>
      <c r="I274" s="8">
        <v>8</v>
      </c>
      <c r="J274" s="8">
        <v>257456</v>
      </c>
    </row>
    <row r="275" spans="1:10">
      <c r="A275" s="7" t="s">
        <v>227</v>
      </c>
      <c r="B275" s="7" t="s">
        <v>228</v>
      </c>
      <c r="C275" s="7" t="s">
        <v>231</v>
      </c>
      <c r="D275" s="7" t="s">
        <v>232</v>
      </c>
      <c r="E275" s="7" t="s">
        <v>279</v>
      </c>
      <c r="F275" s="7" t="s">
        <v>280</v>
      </c>
      <c r="G275" s="7" t="s">
        <v>264</v>
      </c>
      <c r="H275" s="7" t="s">
        <v>265</v>
      </c>
      <c r="I275" s="8">
        <v>1</v>
      </c>
      <c r="J275" s="8">
        <v>20091</v>
      </c>
    </row>
    <row r="276" spans="1:10">
      <c r="A276" s="7" t="s">
        <v>227</v>
      </c>
      <c r="B276" s="7" t="s">
        <v>228</v>
      </c>
      <c r="C276" s="7" t="s">
        <v>231</v>
      </c>
      <c r="D276" s="7" t="s">
        <v>232</v>
      </c>
      <c r="E276" s="7" t="s">
        <v>279</v>
      </c>
      <c r="F276" s="7" t="s">
        <v>280</v>
      </c>
      <c r="G276" s="7" t="s">
        <v>266</v>
      </c>
      <c r="H276" s="7" t="s">
        <v>267</v>
      </c>
      <c r="I276" s="8">
        <v>3</v>
      </c>
      <c r="J276" s="8">
        <v>35727</v>
      </c>
    </row>
    <row r="277" spans="1:10">
      <c r="A277" s="7" t="s">
        <v>227</v>
      </c>
      <c r="B277" s="7" t="s">
        <v>228</v>
      </c>
      <c r="C277" s="7" t="s">
        <v>233</v>
      </c>
      <c r="D277" s="7" t="s">
        <v>234</v>
      </c>
      <c r="E277" s="7" t="s">
        <v>273</v>
      </c>
      <c r="F277" s="7" t="s">
        <v>274</v>
      </c>
      <c r="G277" s="7" t="s">
        <v>275</v>
      </c>
      <c r="H277" s="7" t="s">
        <v>276</v>
      </c>
      <c r="I277" s="8">
        <v>18</v>
      </c>
      <c r="J277" s="8">
        <v>831271</v>
      </c>
    </row>
    <row r="278" spans="1:10">
      <c r="A278" s="7" t="s">
        <v>227</v>
      </c>
      <c r="B278" s="7" t="s">
        <v>228</v>
      </c>
      <c r="C278" s="7" t="s">
        <v>233</v>
      </c>
      <c r="D278" s="7" t="s">
        <v>234</v>
      </c>
      <c r="E278" s="7" t="s">
        <v>273</v>
      </c>
      <c r="F278" s="7" t="s">
        <v>274</v>
      </c>
      <c r="G278" s="7" t="s">
        <v>277</v>
      </c>
      <c r="H278" s="7" t="s">
        <v>278</v>
      </c>
      <c r="I278" s="8">
        <v>18</v>
      </c>
      <c r="J278" s="8">
        <v>1351637</v>
      </c>
    </row>
    <row r="279" spans="1:10">
      <c r="A279" s="7" t="s">
        <v>227</v>
      </c>
      <c r="B279" s="7" t="s">
        <v>228</v>
      </c>
      <c r="C279" s="7" t="s">
        <v>233</v>
      </c>
      <c r="D279" s="7" t="s">
        <v>234</v>
      </c>
      <c r="E279" s="7" t="s">
        <v>279</v>
      </c>
      <c r="F279" s="7" t="s">
        <v>280</v>
      </c>
      <c r="G279" s="7" t="s">
        <v>258</v>
      </c>
      <c r="H279" s="7" t="s">
        <v>259</v>
      </c>
      <c r="I279" s="8">
        <v>2</v>
      </c>
      <c r="J279" s="8">
        <v>42637</v>
      </c>
    </row>
    <row r="280" spans="1:10">
      <c r="A280" s="7" t="s">
        <v>227</v>
      </c>
      <c r="B280" s="7" t="s">
        <v>228</v>
      </c>
      <c r="C280" s="7" t="s">
        <v>233</v>
      </c>
      <c r="D280" s="7" t="s">
        <v>234</v>
      </c>
      <c r="E280" s="7" t="s">
        <v>279</v>
      </c>
      <c r="F280" s="7" t="s">
        <v>280</v>
      </c>
      <c r="G280" s="7" t="s">
        <v>260</v>
      </c>
      <c r="H280" s="7" t="s">
        <v>261</v>
      </c>
      <c r="I280" s="8">
        <v>2</v>
      </c>
      <c r="J280" s="8">
        <v>56727</v>
      </c>
    </row>
    <row r="281" spans="1:10">
      <c r="A281" s="7" t="s">
        <v>227</v>
      </c>
      <c r="B281" s="7" t="s">
        <v>228</v>
      </c>
      <c r="C281" s="7" t="s">
        <v>233</v>
      </c>
      <c r="D281" s="7" t="s">
        <v>234</v>
      </c>
      <c r="E281" s="7" t="s">
        <v>279</v>
      </c>
      <c r="F281" s="7" t="s">
        <v>280</v>
      </c>
      <c r="G281" s="7" t="s">
        <v>262</v>
      </c>
      <c r="H281" s="7" t="s">
        <v>263</v>
      </c>
      <c r="I281" s="8">
        <v>11</v>
      </c>
      <c r="J281" s="8">
        <v>378821</v>
      </c>
    </row>
    <row r="282" spans="1:10">
      <c r="A282" s="7" t="s">
        <v>227</v>
      </c>
      <c r="B282" s="7" t="s">
        <v>228</v>
      </c>
      <c r="C282" s="7" t="s">
        <v>233</v>
      </c>
      <c r="D282" s="7" t="s">
        <v>234</v>
      </c>
      <c r="E282" s="7" t="s">
        <v>279</v>
      </c>
      <c r="F282" s="7" t="s">
        <v>280</v>
      </c>
      <c r="G282" s="7" t="s">
        <v>264</v>
      </c>
      <c r="H282" s="7" t="s">
        <v>265</v>
      </c>
      <c r="I282" s="8">
        <v>1</v>
      </c>
      <c r="J282" s="8">
        <v>20091</v>
      </c>
    </row>
    <row r="283" spans="1:10">
      <c r="A283" s="7" t="s">
        <v>227</v>
      </c>
      <c r="B283" s="7" t="s">
        <v>228</v>
      </c>
      <c r="C283" s="7" t="s">
        <v>233</v>
      </c>
      <c r="D283" s="7" t="s">
        <v>234</v>
      </c>
      <c r="E283" s="7" t="s">
        <v>279</v>
      </c>
      <c r="F283" s="7" t="s">
        <v>280</v>
      </c>
      <c r="G283" s="7" t="s">
        <v>266</v>
      </c>
      <c r="H283" s="7" t="s">
        <v>267</v>
      </c>
      <c r="I283" s="8">
        <v>3</v>
      </c>
      <c r="J283" s="8">
        <v>35727</v>
      </c>
    </row>
    <row r="284" spans="1:10">
      <c r="A284" s="7" t="s">
        <v>227</v>
      </c>
      <c r="B284" s="7" t="s">
        <v>228</v>
      </c>
      <c r="C284" s="7" t="s">
        <v>235</v>
      </c>
      <c r="D284" s="7" t="s">
        <v>236</v>
      </c>
      <c r="E284" s="7" t="s">
        <v>273</v>
      </c>
      <c r="F284" s="7" t="s">
        <v>274</v>
      </c>
      <c r="G284" s="7" t="s">
        <v>275</v>
      </c>
      <c r="H284" s="7" t="s">
        <v>276</v>
      </c>
      <c r="I284" s="8">
        <v>19</v>
      </c>
      <c r="J284" s="8">
        <v>864726</v>
      </c>
    </row>
    <row r="285" spans="1:10">
      <c r="A285" s="7" t="s">
        <v>227</v>
      </c>
      <c r="B285" s="7" t="s">
        <v>228</v>
      </c>
      <c r="C285" s="7" t="s">
        <v>235</v>
      </c>
      <c r="D285" s="7" t="s">
        <v>236</v>
      </c>
      <c r="E285" s="7" t="s">
        <v>273</v>
      </c>
      <c r="F285" s="7" t="s">
        <v>274</v>
      </c>
      <c r="G285" s="7" t="s">
        <v>277</v>
      </c>
      <c r="H285" s="7" t="s">
        <v>278</v>
      </c>
      <c r="I285" s="8">
        <v>26</v>
      </c>
      <c r="J285" s="8">
        <v>1952364</v>
      </c>
    </row>
    <row r="286" spans="1:10">
      <c r="A286" s="7" t="s">
        <v>227</v>
      </c>
      <c r="B286" s="7" t="s">
        <v>228</v>
      </c>
      <c r="C286" s="7" t="s">
        <v>235</v>
      </c>
      <c r="D286" s="7" t="s">
        <v>236</v>
      </c>
      <c r="E286" s="7" t="s">
        <v>279</v>
      </c>
      <c r="F286" s="7" t="s">
        <v>280</v>
      </c>
      <c r="G286" s="7" t="s">
        <v>258</v>
      </c>
      <c r="H286" s="7" t="s">
        <v>259</v>
      </c>
      <c r="I286" s="8">
        <v>6</v>
      </c>
      <c r="J286" s="8">
        <v>180728</v>
      </c>
    </row>
    <row r="287" spans="1:10">
      <c r="A287" s="7" t="s">
        <v>227</v>
      </c>
      <c r="B287" s="7" t="s">
        <v>228</v>
      </c>
      <c r="C287" s="7" t="s">
        <v>235</v>
      </c>
      <c r="D287" s="7" t="s">
        <v>236</v>
      </c>
      <c r="E287" s="7" t="s">
        <v>279</v>
      </c>
      <c r="F287" s="7" t="s">
        <v>280</v>
      </c>
      <c r="G287" s="7" t="s">
        <v>260</v>
      </c>
      <c r="H287" s="7" t="s">
        <v>261</v>
      </c>
      <c r="I287" s="8">
        <v>5</v>
      </c>
      <c r="J287" s="8">
        <v>213090</v>
      </c>
    </row>
    <row r="288" spans="1:10">
      <c r="A288" s="7" t="s">
        <v>227</v>
      </c>
      <c r="B288" s="7" t="s">
        <v>228</v>
      </c>
      <c r="C288" s="7" t="s">
        <v>235</v>
      </c>
      <c r="D288" s="7" t="s">
        <v>236</v>
      </c>
      <c r="E288" s="7" t="s">
        <v>279</v>
      </c>
      <c r="F288" s="7" t="s">
        <v>280</v>
      </c>
      <c r="G288" s="7" t="s">
        <v>262</v>
      </c>
      <c r="H288" s="7" t="s">
        <v>263</v>
      </c>
      <c r="I288" s="8">
        <v>28</v>
      </c>
      <c r="J288" s="8">
        <v>967280</v>
      </c>
    </row>
    <row r="289" spans="1:10">
      <c r="A289" s="7" t="s">
        <v>227</v>
      </c>
      <c r="B289" s="7" t="s">
        <v>228</v>
      </c>
      <c r="C289" s="7" t="s">
        <v>235</v>
      </c>
      <c r="D289" s="7" t="s">
        <v>236</v>
      </c>
      <c r="E289" s="7" t="s">
        <v>279</v>
      </c>
      <c r="F289" s="7" t="s">
        <v>280</v>
      </c>
      <c r="G289" s="7" t="s">
        <v>266</v>
      </c>
      <c r="H289" s="7" t="s">
        <v>267</v>
      </c>
      <c r="I289" s="8">
        <v>1</v>
      </c>
      <c r="J289" s="8">
        <v>11909</v>
      </c>
    </row>
    <row r="290" spans="1:10">
      <c r="A290" s="7" t="s">
        <v>227</v>
      </c>
      <c r="B290" s="7" t="s">
        <v>228</v>
      </c>
      <c r="C290" s="7" t="s">
        <v>237</v>
      </c>
      <c r="D290" s="7" t="s">
        <v>238</v>
      </c>
      <c r="E290" s="7" t="s">
        <v>273</v>
      </c>
      <c r="F290" s="7" t="s">
        <v>274</v>
      </c>
      <c r="G290" s="7" t="s">
        <v>275</v>
      </c>
      <c r="H290" s="7" t="s">
        <v>276</v>
      </c>
      <c r="I290" s="8">
        <v>18</v>
      </c>
      <c r="J290" s="8">
        <v>819818</v>
      </c>
    </row>
    <row r="291" spans="1:10">
      <c r="A291" s="7" t="s">
        <v>227</v>
      </c>
      <c r="B291" s="7" t="s">
        <v>228</v>
      </c>
      <c r="C291" s="7" t="s">
        <v>237</v>
      </c>
      <c r="D291" s="7" t="s">
        <v>238</v>
      </c>
      <c r="E291" s="7" t="s">
        <v>273</v>
      </c>
      <c r="F291" s="7" t="s">
        <v>274</v>
      </c>
      <c r="G291" s="7" t="s">
        <v>277</v>
      </c>
      <c r="H291" s="7" t="s">
        <v>278</v>
      </c>
      <c r="I291" s="8">
        <v>29</v>
      </c>
      <c r="J291" s="8">
        <v>2177639</v>
      </c>
    </row>
    <row r="292" spans="1:10">
      <c r="A292" s="7" t="s">
        <v>227</v>
      </c>
      <c r="B292" s="7" t="s">
        <v>228</v>
      </c>
      <c r="C292" s="7" t="s">
        <v>237</v>
      </c>
      <c r="D292" s="7" t="s">
        <v>238</v>
      </c>
      <c r="E292" s="7" t="s">
        <v>279</v>
      </c>
      <c r="F292" s="7" t="s">
        <v>280</v>
      </c>
      <c r="G292" s="7" t="s">
        <v>258</v>
      </c>
      <c r="H292" s="7" t="s">
        <v>259</v>
      </c>
      <c r="I292" s="8">
        <v>1</v>
      </c>
      <c r="J292" s="8">
        <v>26818</v>
      </c>
    </row>
    <row r="293" spans="1:10">
      <c r="A293" s="7" t="s">
        <v>227</v>
      </c>
      <c r="B293" s="7" t="s">
        <v>228</v>
      </c>
      <c r="C293" s="7" t="s">
        <v>237</v>
      </c>
      <c r="D293" s="7" t="s">
        <v>238</v>
      </c>
      <c r="E293" s="7" t="s">
        <v>279</v>
      </c>
      <c r="F293" s="7" t="s">
        <v>280</v>
      </c>
      <c r="G293" s="7" t="s">
        <v>260</v>
      </c>
      <c r="H293" s="7" t="s">
        <v>261</v>
      </c>
      <c r="I293" s="8">
        <v>2</v>
      </c>
      <c r="J293" s="8">
        <v>66727</v>
      </c>
    </row>
    <row r="294" spans="1:10">
      <c r="A294" s="7" t="s">
        <v>227</v>
      </c>
      <c r="B294" s="7" t="s">
        <v>228</v>
      </c>
      <c r="C294" s="7" t="s">
        <v>237</v>
      </c>
      <c r="D294" s="7" t="s">
        <v>238</v>
      </c>
      <c r="E294" s="7" t="s">
        <v>279</v>
      </c>
      <c r="F294" s="7" t="s">
        <v>280</v>
      </c>
      <c r="G294" s="7" t="s">
        <v>262</v>
      </c>
      <c r="H294" s="7" t="s">
        <v>263</v>
      </c>
      <c r="I294" s="8">
        <v>16</v>
      </c>
      <c r="J294" s="8">
        <v>531458</v>
      </c>
    </row>
    <row r="295" spans="1:10">
      <c r="A295" s="7" t="s">
        <v>227</v>
      </c>
      <c r="B295" s="7" t="s">
        <v>228</v>
      </c>
      <c r="C295" s="7" t="s">
        <v>237</v>
      </c>
      <c r="D295" s="7" t="s">
        <v>238</v>
      </c>
      <c r="E295" s="7" t="s">
        <v>279</v>
      </c>
      <c r="F295" s="7" t="s">
        <v>280</v>
      </c>
      <c r="G295" s="7" t="s">
        <v>266</v>
      </c>
      <c r="H295" s="7" t="s">
        <v>267</v>
      </c>
      <c r="I295" s="8">
        <v>6</v>
      </c>
      <c r="J295" s="8">
        <v>71454</v>
      </c>
    </row>
    <row r="296" spans="1:10">
      <c r="A296" s="7" t="s">
        <v>227</v>
      </c>
      <c r="B296" s="7" t="s">
        <v>228</v>
      </c>
      <c r="C296" s="7" t="s">
        <v>239</v>
      </c>
      <c r="D296" s="7" t="s">
        <v>240</v>
      </c>
      <c r="E296" s="7" t="s">
        <v>273</v>
      </c>
      <c r="F296" s="7" t="s">
        <v>274</v>
      </c>
      <c r="G296" s="7" t="s">
        <v>275</v>
      </c>
      <c r="H296" s="7" t="s">
        <v>276</v>
      </c>
      <c r="I296" s="8">
        <v>21</v>
      </c>
      <c r="J296" s="8">
        <v>977455</v>
      </c>
    </row>
    <row r="297" spans="1:10">
      <c r="A297" s="7" t="s">
        <v>227</v>
      </c>
      <c r="B297" s="7" t="s">
        <v>228</v>
      </c>
      <c r="C297" s="7" t="s">
        <v>239</v>
      </c>
      <c r="D297" s="7" t="s">
        <v>240</v>
      </c>
      <c r="E297" s="7" t="s">
        <v>273</v>
      </c>
      <c r="F297" s="7" t="s">
        <v>274</v>
      </c>
      <c r="G297" s="7" t="s">
        <v>277</v>
      </c>
      <c r="H297" s="7" t="s">
        <v>278</v>
      </c>
      <c r="I297" s="8">
        <v>32</v>
      </c>
      <c r="J297" s="8">
        <v>2402914</v>
      </c>
    </row>
    <row r="298" spans="1:10">
      <c r="A298" s="7" t="s">
        <v>227</v>
      </c>
      <c r="B298" s="7" t="s">
        <v>228</v>
      </c>
      <c r="C298" s="7" t="s">
        <v>239</v>
      </c>
      <c r="D298" s="7" t="s">
        <v>240</v>
      </c>
      <c r="E298" s="7" t="s">
        <v>279</v>
      </c>
      <c r="F298" s="7" t="s">
        <v>280</v>
      </c>
      <c r="G298" s="7" t="s">
        <v>258</v>
      </c>
      <c r="H298" s="7" t="s">
        <v>259</v>
      </c>
      <c r="I298" s="8">
        <v>2</v>
      </c>
      <c r="J298" s="8">
        <v>74182</v>
      </c>
    </row>
    <row r="299" spans="1:10">
      <c r="A299" s="7" t="s">
        <v>227</v>
      </c>
      <c r="B299" s="7" t="s">
        <v>228</v>
      </c>
      <c r="C299" s="7" t="s">
        <v>239</v>
      </c>
      <c r="D299" s="7" t="s">
        <v>240</v>
      </c>
      <c r="E299" s="7" t="s">
        <v>279</v>
      </c>
      <c r="F299" s="7" t="s">
        <v>280</v>
      </c>
      <c r="G299" s="7" t="s">
        <v>260</v>
      </c>
      <c r="H299" s="7" t="s">
        <v>261</v>
      </c>
      <c r="I299" s="8">
        <v>1</v>
      </c>
      <c r="J299" s="8">
        <v>40545</v>
      </c>
    </row>
    <row r="300" spans="1:10">
      <c r="A300" s="7" t="s">
        <v>227</v>
      </c>
      <c r="B300" s="7" t="s">
        <v>228</v>
      </c>
      <c r="C300" s="7" t="s">
        <v>239</v>
      </c>
      <c r="D300" s="7" t="s">
        <v>240</v>
      </c>
      <c r="E300" s="7" t="s">
        <v>279</v>
      </c>
      <c r="F300" s="7" t="s">
        <v>280</v>
      </c>
      <c r="G300" s="7" t="s">
        <v>262</v>
      </c>
      <c r="H300" s="7" t="s">
        <v>263</v>
      </c>
      <c r="I300" s="8">
        <v>12</v>
      </c>
      <c r="J300" s="8">
        <v>386184</v>
      </c>
    </row>
    <row r="301" spans="1:10">
      <c r="A301" s="7" t="s">
        <v>227</v>
      </c>
      <c r="B301" s="7" t="s">
        <v>228</v>
      </c>
      <c r="C301" s="7" t="s">
        <v>239</v>
      </c>
      <c r="D301" s="7" t="s">
        <v>240</v>
      </c>
      <c r="E301" s="7" t="s">
        <v>279</v>
      </c>
      <c r="F301" s="7" t="s">
        <v>280</v>
      </c>
      <c r="G301" s="7" t="s">
        <v>264</v>
      </c>
      <c r="H301" s="7" t="s">
        <v>265</v>
      </c>
      <c r="I301" s="8">
        <v>2</v>
      </c>
      <c r="J301" s="8">
        <v>32818</v>
      </c>
    </row>
    <row r="302" spans="1:10">
      <c r="A302" s="7" t="s">
        <v>227</v>
      </c>
      <c r="B302" s="7" t="s">
        <v>228</v>
      </c>
      <c r="C302" s="7" t="s">
        <v>239</v>
      </c>
      <c r="D302" s="7" t="s">
        <v>240</v>
      </c>
      <c r="E302" s="7" t="s">
        <v>279</v>
      </c>
      <c r="F302" s="7" t="s">
        <v>280</v>
      </c>
      <c r="G302" s="7" t="s">
        <v>266</v>
      </c>
      <c r="H302" s="7" t="s">
        <v>267</v>
      </c>
      <c r="I302" s="8">
        <v>5</v>
      </c>
      <c r="J302" s="8">
        <v>59545</v>
      </c>
    </row>
    <row r="303" spans="1:10">
      <c r="A303" s="7" t="s">
        <v>227</v>
      </c>
      <c r="B303" s="7" t="s">
        <v>228</v>
      </c>
      <c r="C303" s="7" t="s">
        <v>241</v>
      </c>
      <c r="D303" s="7" t="s">
        <v>242</v>
      </c>
      <c r="E303" s="7" t="s">
        <v>273</v>
      </c>
      <c r="F303" s="7" t="s">
        <v>274</v>
      </c>
      <c r="G303" s="7" t="s">
        <v>275</v>
      </c>
      <c r="H303" s="7" t="s">
        <v>276</v>
      </c>
      <c r="I303" s="8">
        <v>26</v>
      </c>
      <c r="J303" s="8">
        <v>1179089</v>
      </c>
    </row>
    <row r="304" spans="1:10">
      <c r="A304" s="7" t="s">
        <v>227</v>
      </c>
      <c r="B304" s="7" t="s">
        <v>228</v>
      </c>
      <c r="C304" s="7" t="s">
        <v>241</v>
      </c>
      <c r="D304" s="7" t="s">
        <v>242</v>
      </c>
      <c r="E304" s="7" t="s">
        <v>273</v>
      </c>
      <c r="F304" s="7" t="s">
        <v>274</v>
      </c>
      <c r="G304" s="7" t="s">
        <v>277</v>
      </c>
      <c r="H304" s="7" t="s">
        <v>278</v>
      </c>
      <c r="I304" s="8">
        <v>42</v>
      </c>
      <c r="J304" s="8">
        <v>3153823</v>
      </c>
    </row>
    <row r="305" spans="1:10">
      <c r="A305" s="7" t="s">
        <v>227</v>
      </c>
      <c r="B305" s="7" t="s">
        <v>228</v>
      </c>
      <c r="C305" s="7" t="s">
        <v>241</v>
      </c>
      <c r="D305" s="7" t="s">
        <v>242</v>
      </c>
      <c r="E305" s="7" t="s">
        <v>279</v>
      </c>
      <c r="F305" s="7" t="s">
        <v>280</v>
      </c>
      <c r="G305" s="7" t="s">
        <v>258</v>
      </c>
      <c r="H305" s="7" t="s">
        <v>259</v>
      </c>
      <c r="I305" s="8">
        <v>2</v>
      </c>
      <c r="J305" s="8">
        <v>63909</v>
      </c>
    </row>
    <row r="306" spans="1:10">
      <c r="A306" s="7" t="s">
        <v>227</v>
      </c>
      <c r="B306" s="7" t="s">
        <v>228</v>
      </c>
      <c r="C306" s="7" t="s">
        <v>241</v>
      </c>
      <c r="D306" s="7" t="s">
        <v>242</v>
      </c>
      <c r="E306" s="7" t="s">
        <v>279</v>
      </c>
      <c r="F306" s="7" t="s">
        <v>280</v>
      </c>
      <c r="G306" s="7" t="s">
        <v>260</v>
      </c>
      <c r="H306" s="7" t="s">
        <v>261</v>
      </c>
      <c r="I306" s="8">
        <v>1</v>
      </c>
      <c r="J306" s="8">
        <v>40545</v>
      </c>
    </row>
    <row r="307" spans="1:10">
      <c r="A307" s="7" t="s">
        <v>227</v>
      </c>
      <c r="B307" s="7" t="s">
        <v>228</v>
      </c>
      <c r="C307" s="7" t="s">
        <v>241</v>
      </c>
      <c r="D307" s="7" t="s">
        <v>242</v>
      </c>
      <c r="E307" s="7" t="s">
        <v>279</v>
      </c>
      <c r="F307" s="7" t="s">
        <v>280</v>
      </c>
      <c r="G307" s="7" t="s">
        <v>262</v>
      </c>
      <c r="H307" s="7" t="s">
        <v>263</v>
      </c>
      <c r="I307" s="8">
        <v>8</v>
      </c>
      <c r="J307" s="8">
        <v>307094</v>
      </c>
    </row>
    <row r="308" spans="1:10">
      <c r="A308" s="7" t="s">
        <v>227</v>
      </c>
      <c r="B308" s="7" t="s">
        <v>228</v>
      </c>
      <c r="C308" s="7" t="s">
        <v>241</v>
      </c>
      <c r="D308" s="7" t="s">
        <v>242</v>
      </c>
      <c r="E308" s="7" t="s">
        <v>279</v>
      </c>
      <c r="F308" s="7" t="s">
        <v>280</v>
      </c>
      <c r="G308" s="7" t="s">
        <v>264</v>
      </c>
      <c r="H308" s="7" t="s">
        <v>265</v>
      </c>
      <c r="I308" s="8">
        <v>4</v>
      </c>
      <c r="J308" s="8">
        <v>80364</v>
      </c>
    </row>
    <row r="309" spans="1:10">
      <c r="A309" s="7" t="s">
        <v>227</v>
      </c>
      <c r="B309" s="7" t="s">
        <v>228</v>
      </c>
      <c r="C309" s="7" t="s">
        <v>241</v>
      </c>
      <c r="D309" s="7" t="s">
        <v>242</v>
      </c>
      <c r="E309" s="7" t="s">
        <v>279</v>
      </c>
      <c r="F309" s="7" t="s">
        <v>280</v>
      </c>
      <c r="G309" s="7" t="s">
        <v>266</v>
      </c>
      <c r="H309" s="7" t="s">
        <v>267</v>
      </c>
      <c r="I309" s="8">
        <v>5</v>
      </c>
      <c r="J309" s="8">
        <v>59545</v>
      </c>
    </row>
    <row r="310" spans="1:10">
      <c r="A310" s="7" t="s">
        <v>243</v>
      </c>
      <c r="B310" s="7" t="s">
        <v>244</v>
      </c>
      <c r="C310" s="7" t="s">
        <v>125</v>
      </c>
      <c r="D310" s="7" t="s">
        <v>126</v>
      </c>
      <c r="E310" s="7" t="s">
        <v>273</v>
      </c>
      <c r="F310" s="7" t="s">
        <v>274</v>
      </c>
      <c r="G310" s="7" t="s">
        <v>275</v>
      </c>
      <c r="H310" s="7" t="s">
        <v>276</v>
      </c>
      <c r="I310" s="8">
        <v>3</v>
      </c>
      <c r="J310" s="8">
        <v>26181</v>
      </c>
    </row>
    <row r="311" spans="1:10">
      <c r="A311" s="7" t="s">
        <v>243</v>
      </c>
      <c r="B311" s="7" t="s">
        <v>244</v>
      </c>
      <c r="C311" s="7" t="s">
        <v>125</v>
      </c>
      <c r="D311" s="7" t="s">
        <v>126</v>
      </c>
      <c r="E311" s="7" t="s">
        <v>273</v>
      </c>
      <c r="F311" s="7" t="s">
        <v>274</v>
      </c>
      <c r="G311" s="7" t="s">
        <v>277</v>
      </c>
      <c r="H311" s="7" t="s">
        <v>278</v>
      </c>
      <c r="I311" s="8">
        <v>4</v>
      </c>
      <c r="J311" s="8">
        <v>61092</v>
      </c>
    </row>
    <row r="312" spans="1:10">
      <c r="A312" s="7" t="s">
        <v>243</v>
      </c>
      <c r="B312" s="7" t="s">
        <v>244</v>
      </c>
      <c r="C312" s="7" t="s">
        <v>125</v>
      </c>
      <c r="D312" s="7" t="s">
        <v>126</v>
      </c>
      <c r="E312" s="7" t="s">
        <v>279</v>
      </c>
      <c r="F312" s="7" t="s">
        <v>280</v>
      </c>
      <c r="G312" s="7" t="s">
        <v>258</v>
      </c>
      <c r="H312" s="7" t="s">
        <v>259</v>
      </c>
      <c r="I312" s="8">
        <v>5</v>
      </c>
      <c r="J312" s="8">
        <v>229416.984513</v>
      </c>
    </row>
    <row r="313" spans="1:10">
      <c r="A313" s="7" t="s">
        <v>243</v>
      </c>
      <c r="B313" s="7" t="s">
        <v>244</v>
      </c>
      <c r="C313" s="7" t="s">
        <v>125</v>
      </c>
      <c r="D313" s="7" t="s">
        <v>126</v>
      </c>
      <c r="E313" s="7" t="s">
        <v>279</v>
      </c>
      <c r="F313" s="7" t="s">
        <v>280</v>
      </c>
      <c r="G313" s="7" t="s">
        <v>260</v>
      </c>
      <c r="H313" s="7" t="s">
        <v>261</v>
      </c>
      <c r="I313" s="8">
        <v>1</v>
      </c>
      <c r="J313" s="8">
        <v>8182</v>
      </c>
    </row>
    <row r="314" spans="1:10">
      <c r="A314" s="7" t="s">
        <v>243</v>
      </c>
      <c r="B314" s="7" t="s">
        <v>244</v>
      </c>
      <c r="C314" s="7" t="s">
        <v>125</v>
      </c>
      <c r="D314" s="7" t="s">
        <v>126</v>
      </c>
      <c r="E314" s="7" t="s">
        <v>279</v>
      </c>
      <c r="F314" s="7" t="s">
        <v>280</v>
      </c>
      <c r="G314" s="7" t="s">
        <v>262</v>
      </c>
      <c r="H314" s="7" t="s">
        <v>263</v>
      </c>
      <c r="I314" s="8">
        <v>15</v>
      </c>
      <c r="J314" s="8">
        <v>415641.32186600001</v>
      </c>
    </row>
    <row r="315" spans="1:10">
      <c r="A315" s="7" t="s">
        <v>243</v>
      </c>
      <c r="B315" s="7" t="s">
        <v>244</v>
      </c>
      <c r="C315" s="7" t="s">
        <v>245</v>
      </c>
      <c r="D315" s="7" t="s">
        <v>246</v>
      </c>
      <c r="E315" s="7" t="s">
        <v>273</v>
      </c>
      <c r="F315" s="7" t="s">
        <v>274</v>
      </c>
      <c r="G315" s="7" t="s">
        <v>275</v>
      </c>
      <c r="H315" s="7" t="s">
        <v>276</v>
      </c>
      <c r="I315" s="8">
        <v>6</v>
      </c>
      <c r="J315" s="8">
        <v>101271</v>
      </c>
    </row>
    <row r="316" spans="1:10">
      <c r="A316" s="7" t="s">
        <v>243</v>
      </c>
      <c r="B316" s="7" t="s">
        <v>244</v>
      </c>
      <c r="C316" s="7" t="s">
        <v>245</v>
      </c>
      <c r="D316" s="7" t="s">
        <v>246</v>
      </c>
      <c r="E316" s="7" t="s">
        <v>273</v>
      </c>
      <c r="F316" s="7" t="s">
        <v>274</v>
      </c>
      <c r="G316" s="7" t="s">
        <v>277</v>
      </c>
      <c r="H316" s="7" t="s">
        <v>278</v>
      </c>
      <c r="I316" s="8">
        <v>7</v>
      </c>
      <c r="J316" s="8">
        <v>339273</v>
      </c>
    </row>
    <row r="317" spans="1:10">
      <c r="A317" s="7" t="s">
        <v>243</v>
      </c>
      <c r="B317" s="7" t="s">
        <v>244</v>
      </c>
      <c r="C317" s="7" t="s">
        <v>245</v>
      </c>
      <c r="D317" s="7" t="s">
        <v>246</v>
      </c>
      <c r="E317" s="7" t="s">
        <v>279</v>
      </c>
      <c r="F317" s="7" t="s">
        <v>280</v>
      </c>
      <c r="G317" s="7" t="s">
        <v>260</v>
      </c>
      <c r="H317" s="7" t="s">
        <v>261</v>
      </c>
      <c r="I317" s="8">
        <v>2</v>
      </c>
      <c r="J317" s="8">
        <v>136818</v>
      </c>
    </row>
    <row r="318" spans="1:10">
      <c r="A318" s="7" t="s">
        <v>243</v>
      </c>
      <c r="B318" s="7" t="s">
        <v>244</v>
      </c>
      <c r="C318" s="7" t="s">
        <v>245</v>
      </c>
      <c r="D318" s="7" t="s">
        <v>246</v>
      </c>
      <c r="E318" s="7" t="s">
        <v>279</v>
      </c>
      <c r="F318" s="7" t="s">
        <v>280</v>
      </c>
      <c r="G318" s="7" t="s">
        <v>262</v>
      </c>
      <c r="H318" s="7" t="s">
        <v>263</v>
      </c>
      <c r="I318" s="8">
        <v>0</v>
      </c>
      <c r="J318" s="8">
        <v>0</v>
      </c>
    </row>
    <row r="319" spans="1:10">
      <c r="A319" s="7" t="s">
        <v>243</v>
      </c>
      <c r="B319" s="7" t="s">
        <v>244</v>
      </c>
      <c r="C319" s="7" t="s">
        <v>245</v>
      </c>
      <c r="D319" s="7" t="s">
        <v>246</v>
      </c>
      <c r="E319" s="7" t="s">
        <v>279</v>
      </c>
      <c r="F319" s="7" t="s">
        <v>280</v>
      </c>
      <c r="G319" s="7" t="s">
        <v>266</v>
      </c>
      <c r="H319" s="7" t="s">
        <v>267</v>
      </c>
      <c r="I319" s="8">
        <v>2</v>
      </c>
      <c r="J319" s="8">
        <v>12455</v>
      </c>
    </row>
  </sheetData>
  <phoneticPr fontId="3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34164-FCDF-2F40-BFB1-FAAA53254A2F}">
  <sheetPr codeName="工作表5"/>
  <dimension ref="A1:AC99"/>
  <sheetViews>
    <sheetView workbookViewId="0">
      <selection activeCell="F1" sqref="F1:F1048576 G1:G1048576 I1:I1048576 J1:J1048576 O1:O1048576 Q1:Q1048576 T1:T1048576 W1:W1048576 Z1:Z1048576 AC1:AC1048576"/>
    </sheetView>
  </sheetViews>
  <sheetFormatPr baseColWidth="10" defaultRowHeight="15"/>
  <cols>
    <col min="3" max="4" width="10.83203125" style="13"/>
    <col min="5" max="5" width="13.6640625" style="14" bestFit="1" customWidth="1"/>
    <col min="6" max="6" width="10.83203125" style="10"/>
    <col min="7" max="7" width="13.6640625" style="10" bestFit="1" customWidth="1"/>
    <col min="8" max="8" width="10.83203125" style="10"/>
    <col min="9" max="9" width="15.83203125" style="10" customWidth="1"/>
    <col min="10" max="10" width="20" style="10" customWidth="1"/>
    <col min="11" max="11" width="17.83203125" customWidth="1"/>
    <col min="13" max="13" width="14" customWidth="1"/>
    <col min="14" max="14" width="15.1640625" customWidth="1"/>
    <col min="15" max="15" width="16.1640625" style="10" customWidth="1"/>
    <col min="17" max="17" width="10.83203125" style="10"/>
    <col min="20" max="20" width="10.83203125" style="10"/>
    <col min="23" max="23" width="10.83203125" style="10"/>
    <col min="26" max="26" width="10.83203125" style="10"/>
    <col min="29" max="29" width="10.83203125" style="10"/>
  </cols>
  <sheetData>
    <row r="1" spans="1:29">
      <c r="A1" s="6" t="s">
        <v>247</v>
      </c>
      <c r="B1" s="6" t="s">
        <v>268</v>
      </c>
      <c r="C1" s="12" t="s">
        <v>10</v>
      </c>
      <c r="D1" s="13" t="s">
        <v>11</v>
      </c>
      <c r="E1" s="14" t="s">
        <v>286</v>
      </c>
      <c r="F1" s="10" t="s">
        <v>13</v>
      </c>
      <c r="G1" s="10" t="s">
        <v>269</v>
      </c>
      <c r="H1" s="10" t="s">
        <v>15</v>
      </c>
      <c r="I1" s="10" t="s">
        <v>281</v>
      </c>
      <c r="J1" s="10" t="s">
        <v>16</v>
      </c>
      <c r="K1" t="s">
        <v>17</v>
      </c>
      <c r="L1" t="s">
        <v>18</v>
      </c>
      <c r="M1" t="s">
        <v>23</v>
      </c>
      <c r="N1" t="s">
        <v>24</v>
      </c>
      <c r="O1" s="10" t="s">
        <v>25</v>
      </c>
      <c r="P1" t="s">
        <v>56</v>
      </c>
      <c r="Q1" s="10" t="s">
        <v>31</v>
      </c>
      <c r="R1" t="s">
        <v>29</v>
      </c>
      <c r="S1" t="s">
        <v>30</v>
      </c>
      <c r="T1" s="10" t="s">
        <v>32</v>
      </c>
      <c r="U1" t="s">
        <v>33</v>
      </c>
      <c r="V1" t="s">
        <v>34</v>
      </c>
      <c r="W1" s="10" t="s">
        <v>35</v>
      </c>
      <c r="X1" t="s">
        <v>37</v>
      </c>
      <c r="Y1" t="s">
        <v>38</v>
      </c>
      <c r="Z1" s="10" t="s">
        <v>39</v>
      </c>
      <c r="AA1" t="s">
        <v>40</v>
      </c>
      <c r="AB1" t="s">
        <v>41</v>
      </c>
      <c r="AC1" s="10" t="s">
        <v>42</v>
      </c>
    </row>
    <row r="2" spans="1:29">
      <c r="A2" s="7" t="s">
        <v>61</v>
      </c>
      <c r="B2" t="s">
        <v>288</v>
      </c>
      <c r="C2" s="13">
        <v>90</v>
      </c>
      <c r="D2" s="13">
        <v>72</v>
      </c>
      <c r="E2" s="13">
        <v>40.008482990293984</v>
      </c>
      <c r="F2" s="10">
        <v>0.44453869989215539</v>
      </c>
      <c r="G2" s="10">
        <v>9.7354785912089969</v>
      </c>
      <c r="H2">
        <v>7.3999999999999996E-2</v>
      </c>
      <c r="I2" s="10">
        <v>0.24333535949290588</v>
      </c>
      <c r="J2" s="10">
        <v>3.2883156688230528</v>
      </c>
      <c r="K2">
        <v>13</v>
      </c>
      <c r="L2">
        <v>20</v>
      </c>
      <c r="M2">
        <v>14</v>
      </c>
      <c r="N2">
        <v>120</v>
      </c>
      <c r="O2" s="10">
        <v>0.11666666666666667</v>
      </c>
      <c r="P2">
        <v>3</v>
      </c>
      <c r="Q2" s="10">
        <v>0.21428571428571427</v>
      </c>
      <c r="R2">
        <v>93</v>
      </c>
      <c r="S2">
        <v>19</v>
      </c>
      <c r="T2" s="10">
        <v>0.20430107526881722</v>
      </c>
      <c r="U2">
        <v>62</v>
      </c>
      <c r="V2">
        <v>4</v>
      </c>
      <c r="W2" s="10">
        <v>6.4516129032258063E-2</v>
      </c>
      <c r="X2">
        <v>35</v>
      </c>
      <c r="Y2">
        <v>6</v>
      </c>
      <c r="Z2" s="10">
        <v>0.17142857142857143</v>
      </c>
      <c r="AA2">
        <v>203</v>
      </c>
      <c r="AB2">
        <v>17</v>
      </c>
      <c r="AC2" s="10">
        <v>8.3743842364532015E-2</v>
      </c>
    </row>
    <row r="3" spans="1:29">
      <c r="A3" s="7" t="s">
        <v>113</v>
      </c>
      <c r="B3" t="s">
        <v>290</v>
      </c>
      <c r="C3" s="13">
        <v>90</v>
      </c>
      <c r="D3" s="13">
        <v>72</v>
      </c>
      <c r="E3" s="13">
        <v>27.917200604350004</v>
      </c>
      <c r="F3" s="10">
        <v>0.31019111782611114</v>
      </c>
      <c r="G3" s="10">
        <v>4.8982740969650003</v>
      </c>
      <c r="H3">
        <v>7.3999999999999996E-2</v>
      </c>
      <c r="I3" s="10">
        <v>0.17545720885072411</v>
      </c>
      <c r="J3" s="10">
        <v>2.3710433628476233</v>
      </c>
      <c r="K3">
        <v>14</v>
      </c>
      <c r="L3">
        <v>20</v>
      </c>
      <c r="M3">
        <v>14</v>
      </c>
      <c r="N3">
        <v>120</v>
      </c>
      <c r="O3" s="10">
        <v>0.11666666666666667</v>
      </c>
      <c r="P3">
        <v>1</v>
      </c>
      <c r="Q3" s="10">
        <v>7.1428571428571425E-2</v>
      </c>
      <c r="R3">
        <v>74</v>
      </c>
      <c r="S3">
        <v>24</v>
      </c>
      <c r="T3" s="10">
        <v>0.32432432432432434</v>
      </c>
      <c r="U3">
        <v>37</v>
      </c>
      <c r="V3">
        <v>5</v>
      </c>
      <c r="W3" s="10">
        <v>0.13513513513513514</v>
      </c>
      <c r="X3">
        <v>18</v>
      </c>
      <c r="Y3">
        <v>3</v>
      </c>
      <c r="Z3" s="10">
        <v>0.16666666666666666</v>
      </c>
      <c r="AA3">
        <v>153</v>
      </c>
      <c r="AB3">
        <v>19</v>
      </c>
      <c r="AC3" s="10">
        <v>0.12418300653594772</v>
      </c>
    </row>
    <row r="4" spans="1:29">
      <c r="A4" s="7" t="s">
        <v>127</v>
      </c>
      <c r="B4" t="s">
        <v>292</v>
      </c>
      <c r="C4" s="13">
        <v>90</v>
      </c>
      <c r="D4" s="13">
        <v>72</v>
      </c>
      <c r="E4" s="13">
        <v>18.29282798517</v>
      </c>
      <c r="F4" s="10">
        <v>0.20325364427966666</v>
      </c>
      <c r="G4" s="10">
        <v>1.9652473126200003</v>
      </c>
      <c r="H4">
        <v>7.3999999999999996E-2</v>
      </c>
      <c r="I4" s="10">
        <v>0.10743266783097873</v>
      </c>
      <c r="J4" s="10">
        <v>1.4517928085267395</v>
      </c>
      <c r="K4">
        <v>16</v>
      </c>
      <c r="L4">
        <v>20</v>
      </c>
      <c r="M4">
        <v>12</v>
      </c>
      <c r="N4">
        <v>120</v>
      </c>
      <c r="O4" s="10">
        <v>0.1</v>
      </c>
      <c r="Q4" s="10">
        <v>0</v>
      </c>
      <c r="R4">
        <v>46</v>
      </c>
      <c r="S4">
        <v>20</v>
      </c>
      <c r="T4" s="10">
        <v>0.43478260869565216</v>
      </c>
      <c r="U4">
        <v>19</v>
      </c>
      <c r="V4">
        <v>1</v>
      </c>
      <c r="W4" s="10">
        <v>5.2631578947368418E-2</v>
      </c>
      <c r="X4">
        <v>13</v>
      </c>
      <c r="Y4">
        <v>1</v>
      </c>
      <c r="Z4" s="10">
        <v>7.6923076923076927E-2</v>
      </c>
      <c r="AA4">
        <v>109</v>
      </c>
      <c r="AB4">
        <v>12</v>
      </c>
      <c r="AC4" s="10">
        <v>0.11009174311926606</v>
      </c>
    </row>
    <row r="5" spans="1:29">
      <c r="A5" s="7" t="s">
        <v>135</v>
      </c>
      <c r="B5" t="s">
        <v>294</v>
      </c>
      <c r="C5" s="13">
        <v>90</v>
      </c>
      <c r="D5" s="13">
        <v>72</v>
      </c>
      <c r="E5" s="13">
        <v>14.629872772359004</v>
      </c>
      <c r="F5" s="10">
        <v>0.16255414191510004</v>
      </c>
      <c r="G5" s="10">
        <v>2.7833930048900002</v>
      </c>
      <c r="H5">
        <v>7.3999999999999996E-2</v>
      </c>
      <c r="I5" s="10">
        <v>0.19025408137169944</v>
      </c>
      <c r="J5" s="10">
        <v>2.5710010996175603</v>
      </c>
      <c r="K5">
        <v>17</v>
      </c>
      <c r="L5">
        <v>20</v>
      </c>
      <c r="M5">
        <v>5</v>
      </c>
      <c r="N5">
        <v>120</v>
      </c>
      <c r="O5" s="10">
        <v>4.1666666666666664E-2</v>
      </c>
      <c r="P5">
        <v>4</v>
      </c>
      <c r="Q5" s="10">
        <v>0.8</v>
      </c>
      <c r="R5">
        <v>43</v>
      </c>
      <c r="S5">
        <v>11</v>
      </c>
      <c r="T5" s="10">
        <v>0.2558139534883721</v>
      </c>
      <c r="U5">
        <v>23</v>
      </c>
      <c r="V5">
        <v>3</v>
      </c>
      <c r="W5" s="10">
        <v>0.13043478260869565</v>
      </c>
      <c r="X5">
        <v>6</v>
      </c>
      <c r="Y5">
        <v>2</v>
      </c>
      <c r="Z5" s="10">
        <v>0.33333333333333331</v>
      </c>
      <c r="AA5">
        <v>85</v>
      </c>
      <c r="AB5">
        <v>17</v>
      </c>
      <c r="AC5" s="10">
        <v>0.2</v>
      </c>
    </row>
    <row r="6" spans="1:29">
      <c r="A6" s="7" t="s">
        <v>141</v>
      </c>
      <c r="B6" t="s">
        <v>296</v>
      </c>
      <c r="C6" s="13">
        <v>90</v>
      </c>
      <c r="D6" s="13">
        <v>72</v>
      </c>
      <c r="E6" s="13">
        <v>26.917509479505014</v>
      </c>
      <c r="F6" s="10">
        <v>0.29908343866116682</v>
      </c>
      <c r="G6" s="10">
        <v>5.3264749150459991</v>
      </c>
      <c r="H6">
        <v>7.3999999999999996E-2</v>
      </c>
      <c r="I6" s="10">
        <v>0.19788141689340077</v>
      </c>
      <c r="J6" s="10">
        <v>2.6740732012621726</v>
      </c>
      <c r="K6">
        <v>18</v>
      </c>
      <c r="L6">
        <v>20</v>
      </c>
      <c r="M6">
        <v>10</v>
      </c>
      <c r="N6">
        <v>120</v>
      </c>
      <c r="O6" s="10">
        <v>8.3333333333333329E-2</v>
      </c>
      <c r="Q6" s="10">
        <v>0</v>
      </c>
      <c r="R6">
        <v>107</v>
      </c>
      <c r="S6">
        <v>6</v>
      </c>
      <c r="T6" s="10">
        <v>5.6074766355140186E-2</v>
      </c>
      <c r="U6">
        <v>39</v>
      </c>
      <c r="V6">
        <v>2</v>
      </c>
      <c r="W6" s="10">
        <v>5.128205128205128E-2</v>
      </c>
      <c r="X6">
        <v>5</v>
      </c>
      <c r="Y6">
        <v>2</v>
      </c>
      <c r="Z6" s="10">
        <v>0.4</v>
      </c>
      <c r="AA6">
        <v>155</v>
      </c>
      <c r="AB6">
        <v>3</v>
      </c>
      <c r="AC6" s="10">
        <v>1.935483870967742E-2</v>
      </c>
    </row>
    <row r="7" spans="1:29">
      <c r="A7" s="7" t="s">
        <v>151</v>
      </c>
      <c r="B7" t="s">
        <v>298</v>
      </c>
      <c r="C7" s="13">
        <v>90</v>
      </c>
      <c r="D7" s="13">
        <v>72</v>
      </c>
      <c r="E7" s="13">
        <v>47.056096053755994</v>
      </c>
      <c r="F7" s="10">
        <v>0.52284551170839988</v>
      </c>
      <c r="G7" s="10">
        <v>8.4496245953260001</v>
      </c>
      <c r="H7">
        <v>7.3999999999999996E-2</v>
      </c>
      <c r="I7" s="10">
        <v>0.17956493002890228</v>
      </c>
      <c r="J7" s="10">
        <v>2.4265531084986796</v>
      </c>
      <c r="K7">
        <v>19</v>
      </c>
      <c r="L7">
        <v>20</v>
      </c>
      <c r="M7">
        <v>21</v>
      </c>
      <c r="N7">
        <v>120</v>
      </c>
      <c r="O7" s="10">
        <v>0.17499999999999999</v>
      </c>
      <c r="P7">
        <v>5</v>
      </c>
      <c r="Q7" s="10">
        <v>0.23809523809523808</v>
      </c>
      <c r="R7">
        <v>157</v>
      </c>
      <c r="S7">
        <v>50</v>
      </c>
      <c r="T7" s="10">
        <v>0.31847133757961782</v>
      </c>
      <c r="U7">
        <v>60</v>
      </c>
      <c r="V7">
        <v>7</v>
      </c>
      <c r="W7" s="10">
        <v>0.11666666666666667</v>
      </c>
      <c r="X7">
        <v>30</v>
      </c>
      <c r="Y7">
        <v>6</v>
      </c>
      <c r="Z7" s="10">
        <v>0.2</v>
      </c>
      <c r="AA7">
        <v>231</v>
      </c>
      <c r="AB7">
        <v>29</v>
      </c>
      <c r="AC7" s="10">
        <v>0.12554112554112554</v>
      </c>
    </row>
    <row r="8" spans="1:29">
      <c r="A8" s="7" t="s">
        <v>163</v>
      </c>
      <c r="B8" t="s">
        <v>300</v>
      </c>
      <c r="C8" s="13">
        <v>90</v>
      </c>
      <c r="D8" s="13">
        <v>72</v>
      </c>
      <c r="E8" s="13">
        <v>27.661899673110995</v>
      </c>
      <c r="F8" s="10">
        <v>0.30735444081234436</v>
      </c>
      <c r="G8" s="10">
        <v>4.8713034621330014</v>
      </c>
      <c r="H8">
        <v>7.3999999999999996E-2</v>
      </c>
      <c r="I8" s="10">
        <v>0.17610155194323826</v>
      </c>
      <c r="J8" s="10">
        <v>2.3797507019356523</v>
      </c>
      <c r="K8">
        <v>20</v>
      </c>
      <c r="L8">
        <v>20</v>
      </c>
      <c r="M8">
        <v>12</v>
      </c>
      <c r="N8">
        <v>120</v>
      </c>
      <c r="O8" s="10">
        <v>0.1</v>
      </c>
      <c r="P8">
        <v>3</v>
      </c>
      <c r="Q8" s="10">
        <v>0.25</v>
      </c>
      <c r="R8">
        <v>112</v>
      </c>
      <c r="S8">
        <v>34</v>
      </c>
      <c r="T8" s="10">
        <v>0.30357142857142855</v>
      </c>
      <c r="U8">
        <v>44</v>
      </c>
      <c r="V8">
        <v>2</v>
      </c>
      <c r="W8" s="10">
        <v>4.5454545454545456E-2</v>
      </c>
      <c r="X8">
        <v>16</v>
      </c>
      <c r="Z8" s="10">
        <v>0</v>
      </c>
      <c r="AA8">
        <v>150</v>
      </c>
      <c r="AB8">
        <v>13</v>
      </c>
      <c r="AC8" s="10">
        <v>8.666666666666667E-2</v>
      </c>
    </row>
    <row r="9" spans="1:29">
      <c r="A9" s="7" t="s">
        <v>173</v>
      </c>
      <c r="B9" t="s">
        <v>302</v>
      </c>
      <c r="C9" s="13">
        <v>90</v>
      </c>
      <c r="D9" s="13">
        <v>72</v>
      </c>
      <c r="E9" s="13">
        <v>46.615043286725012</v>
      </c>
      <c r="F9" s="10">
        <v>0.5179449254080557</v>
      </c>
      <c r="G9" s="10">
        <v>8.8267474567690005</v>
      </c>
      <c r="H9">
        <v>7.3999999999999996E-2</v>
      </c>
      <c r="I9" s="10">
        <v>0.18935405470882988</v>
      </c>
      <c r="J9" s="10">
        <v>2.55883857714635</v>
      </c>
      <c r="K9">
        <v>21</v>
      </c>
      <c r="L9">
        <v>20</v>
      </c>
      <c r="M9">
        <v>18</v>
      </c>
      <c r="N9">
        <v>120</v>
      </c>
      <c r="O9" s="10">
        <v>0.15</v>
      </c>
      <c r="P9">
        <v>6</v>
      </c>
      <c r="Q9" s="10">
        <v>0.33333333333333331</v>
      </c>
      <c r="R9">
        <v>138</v>
      </c>
      <c r="S9">
        <v>38</v>
      </c>
      <c r="T9" s="10">
        <v>0.27536231884057971</v>
      </c>
      <c r="U9">
        <v>96</v>
      </c>
      <c r="V9">
        <v>7</v>
      </c>
      <c r="W9" s="10">
        <v>7.2916666666666671E-2</v>
      </c>
      <c r="X9">
        <v>33</v>
      </c>
      <c r="Y9">
        <v>5</v>
      </c>
      <c r="Z9" s="10">
        <v>0.15151515151515152</v>
      </c>
      <c r="AA9">
        <v>271</v>
      </c>
      <c r="AB9">
        <v>12</v>
      </c>
      <c r="AC9" s="10">
        <v>4.4280442804428041E-2</v>
      </c>
    </row>
    <row r="10" spans="1:29">
      <c r="A10" s="7" t="s">
        <v>185</v>
      </c>
      <c r="B10" t="s">
        <v>304</v>
      </c>
      <c r="C10" s="13">
        <v>90</v>
      </c>
      <c r="D10" s="13">
        <v>72</v>
      </c>
      <c r="E10" s="13">
        <v>25.689699396062998</v>
      </c>
      <c r="F10" s="10">
        <v>0.28544110440069997</v>
      </c>
      <c r="G10" s="10">
        <v>4.5077937825899994</v>
      </c>
      <c r="H10">
        <v>7.3999999999999996E-2</v>
      </c>
      <c r="I10" s="10">
        <v>0.17547086531035191</v>
      </c>
      <c r="J10" s="10">
        <v>2.3712279095993503</v>
      </c>
      <c r="K10">
        <v>22</v>
      </c>
      <c r="L10">
        <v>20</v>
      </c>
      <c r="M10">
        <v>19</v>
      </c>
      <c r="N10">
        <v>120</v>
      </c>
      <c r="O10" s="10">
        <v>0.15833333333333333</v>
      </c>
      <c r="P10">
        <v>5</v>
      </c>
      <c r="Q10" s="10">
        <v>0.26315789473684209</v>
      </c>
      <c r="R10">
        <v>81</v>
      </c>
      <c r="S10">
        <v>15</v>
      </c>
      <c r="T10" s="10">
        <v>0.18518518518518517</v>
      </c>
      <c r="U10">
        <v>28</v>
      </c>
      <c r="V10">
        <v>2</v>
      </c>
      <c r="W10" s="10">
        <v>7.1428571428571425E-2</v>
      </c>
      <c r="X10">
        <v>22</v>
      </c>
      <c r="Y10">
        <v>2</v>
      </c>
      <c r="Z10" s="10">
        <v>9.0909090909090912E-2</v>
      </c>
      <c r="AA10">
        <v>105</v>
      </c>
      <c r="AB10">
        <v>2</v>
      </c>
      <c r="AC10" s="10">
        <v>1.9047619047619049E-2</v>
      </c>
    </row>
    <row r="11" spans="1:29">
      <c r="A11" s="7" t="s">
        <v>193</v>
      </c>
      <c r="B11" t="s">
        <v>306</v>
      </c>
      <c r="C11" s="13">
        <v>90</v>
      </c>
      <c r="D11" s="13">
        <v>72</v>
      </c>
      <c r="E11" s="13">
        <v>54.810155318355008</v>
      </c>
      <c r="F11" s="10">
        <v>0.60900172575950007</v>
      </c>
      <c r="G11" s="10">
        <v>14.243655755550998</v>
      </c>
      <c r="H11">
        <v>7.3999999999999996E-2</v>
      </c>
      <c r="I11" s="10">
        <v>0.25987256691427463</v>
      </c>
      <c r="J11" s="10">
        <v>3.5117914447874949</v>
      </c>
      <c r="K11">
        <v>23</v>
      </c>
      <c r="L11">
        <v>20</v>
      </c>
      <c r="M11">
        <v>20</v>
      </c>
      <c r="N11">
        <v>120</v>
      </c>
      <c r="O11" s="10">
        <v>0.16666666666666666</v>
      </c>
      <c r="P11">
        <v>6</v>
      </c>
      <c r="Q11" s="10">
        <v>0.3</v>
      </c>
      <c r="R11">
        <v>154</v>
      </c>
      <c r="S11">
        <v>50</v>
      </c>
      <c r="T11" s="10">
        <v>0.32467532467532467</v>
      </c>
      <c r="U11">
        <v>108</v>
      </c>
      <c r="V11">
        <v>9</v>
      </c>
      <c r="W11" s="10">
        <v>8.3333333333333329E-2</v>
      </c>
      <c r="X11">
        <v>26</v>
      </c>
      <c r="Y11">
        <v>6</v>
      </c>
      <c r="Z11" s="10">
        <v>0.23076923076923078</v>
      </c>
      <c r="AA11">
        <v>269</v>
      </c>
      <c r="AB11">
        <v>13</v>
      </c>
      <c r="AC11" s="10">
        <v>4.8327137546468404E-2</v>
      </c>
    </row>
    <row r="12" spans="1:29">
      <c r="A12" s="7" t="s">
        <v>203</v>
      </c>
      <c r="B12" t="s">
        <v>308</v>
      </c>
      <c r="C12" s="13">
        <v>90</v>
      </c>
      <c r="D12" s="13">
        <v>72</v>
      </c>
      <c r="E12" s="13">
        <v>17.666973661388994</v>
      </c>
      <c r="F12" s="10">
        <v>0.19629970734876659</v>
      </c>
      <c r="G12" s="10">
        <v>3.4317386702329999</v>
      </c>
      <c r="H12">
        <v>7.3999999999999996E-2</v>
      </c>
      <c r="I12" s="10">
        <v>0.19424598326837567</v>
      </c>
      <c r="J12" s="10">
        <v>2.6249457198429145</v>
      </c>
      <c r="K12">
        <v>24</v>
      </c>
      <c r="L12">
        <v>20</v>
      </c>
      <c r="M12">
        <v>9</v>
      </c>
      <c r="N12">
        <v>120</v>
      </c>
      <c r="O12" s="10">
        <v>7.4999999999999997E-2</v>
      </c>
      <c r="P12">
        <v>1</v>
      </c>
      <c r="Q12" s="10">
        <v>0.1111111111111111</v>
      </c>
      <c r="R12">
        <v>56</v>
      </c>
      <c r="S12">
        <v>17</v>
      </c>
      <c r="T12" s="10">
        <v>0.30357142857142855</v>
      </c>
      <c r="U12">
        <v>19</v>
      </c>
      <c r="V12">
        <v>2</v>
      </c>
      <c r="W12" s="10">
        <v>0.10526315789473684</v>
      </c>
      <c r="X12">
        <v>10</v>
      </c>
      <c r="Y12">
        <v>1</v>
      </c>
      <c r="Z12" s="10">
        <v>0.1</v>
      </c>
      <c r="AA12">
        <v>86</v>
      </c>
      <c r="AB12">
        <v>8</v>
      </c>
      <c r="AC12" s="10">
        <v>9.3023255813953487E-2</v>
      </c>
    </row>
    <row r="13" spans="1:29">
      <c r="A13" s="7" t="s">
        <v>211</v>
      </c>
      <c r="B13" t="s">
        <v>310</v>
      </c>
      <c r="C13" s="13">
        <v>90</v>
      </c>
      <c r="D13" s="13">
        <v>72</v>
      </c>
      <c r="E13" s="13">
        <v>23.563020262123008</v>
      </c>
      <c r="F13" s="10">
        <v>0.26181133624581121</v>
      </c>
      <c r="G13" s="10">
        <v>4.6580090849009999</v>
      </c>
      <c r="H13">
        <v>7.3999999999999996E-2</v>
      </c>
      <c r="I13" s="10">
        <v>0.19768302335964283</v>
      </c>
      <c r="J13" s="10">
        <v>2.6713922075627412</v>
      </c>
      <c r="K13">
        <v>25</v>
      </c>
      <c r="L13">
        <v>20</v>
      </c>
      <c r="M13">
        <v>3</v>
      </c>
      <c r="N13">
        <v>120</v>
      </c>
      <c r="O13" s="10">
        <v>2.5000000000000001E-2</v>
      </c>
      <c r="P13">
        <v>2</v>
      </c>
      <c r="Q13" s="10">
        <v>0.66666666666666663</v>
      </c>
      <c r="R13">
        <v>85</v>
      </c>
      <c r="S13">
        <v>26</v>
      </c>
      <c r="T13" s="10">
        <v>0.30588235294117649</v>
      </c>
      <c r="U13">
        <v>37</v>
      </c>
      <c r="V13">
        <v>3</v>
      </c>
      <c r="W13" s="10">
        <v>8.1081081081081086E-2</v>
      </c>
      <c r="X13">
        <v>17</v>
      </c>
      <c r="Y13">
        <v>1</v>
      </c>
      <c r="Z13" s="10">
        <v>5.8823529411764705E-2</v>
      </c>
      <c r="AA13">
        <v>130</v>
      </c>
      <c r="AB13">
        <v>5</v>
      </c>
      <c r="AC13" s="10">
        <v>3.8461538461538464E-2</v>
      </c>
    </row>
    <row r="14" spans="1:29">
      <c r="A14" s="7" t="s">
        <v>221</v>
      </c>
      <c r="B14" t="s">
        <v>312</v>
      </c>
      <c r="C14" s="13">
        <v>90</v>
      </c>
      <c r="D14" s="13">
        <v>72</v>
      </c>
      <c r="E14" s="13">
        <v>9.9503431687569996</v>
      </c>
      <c r="F14" s="10">
        <v>0.11055936854174445</v>
      </c>
      <c r="G14" s="10">
        <v>1.6208280606130001</v>
      </c>
      <c r="H14">
        <v>7.3999999999999996E-2</v>
      </c>
      <c r="I14" s="10">
        <v>0.16289167450045591</v>
      </c>
      <c r="J14" s="10">
        <v>2.2012388446007556</v>
      </c>
      <c r="K14">
        <v>26</v>
      </c>
      <c r="L14">
        <v>20</v>
      </c>
      <c r="M14">
        <v>7</v>
      </c>
      <c r="N14">
        <v>120</v>
      </c>
      <c r="O14" s="10">
        <v>5.8333333333333334E-2</v>
      </c>
      <c r="P14">
        <v>2</v>
      </c>
      <c r="Q14" s="10">
        <v>0.2857142857142857</v>
      </c>
      <c r="R14">
        <v>35</v>
      </c>
      <c r="S14">
        <v>10</v>
      </c>
      <c r="T14" s="10">
        <v>0.2857142857142857</v>
      </c>
      <c r="U14">
        <v>18</v>
      </c>
      <c r="V14">
        <v>5</v>
      </c>
      <c r="W14" s="10">
        <v>0.27777777777777779</v>
      </c>
      <c r="X14">
        <v>1</v>
      </c>
      <c r="Z14" s="10">
        <v>0</v>
      </c>
      <c r="AA14">
        <v>61</v>
      </c>
      <c r="AB14">
        <v>26</v>
      </c>
      <c r="AC14" s="10">
        <v>0.42622950819672129</v>
      </c>
    </row>
    <row r="15" spans="1:29">
      <c r="A15" s="7" t="s">
        <v>227</v>
      </c>
      <c r="B15" t="s">
        <v>314</v>
      </c>
      <c r="C15" s="13">
        <v>90</v>
      </c>
      <c r="D15" s="13">
        <v>72</v>
      </c>
      <c r="E15" s="13">
        <v>64.001603703206001</v>
      </c>
      <c r="F15" s="10">
        <v>0.71112893003562228</v>
      </c>
      <c r="G15" s="10">
        <v>13.985737790064999</v>
      </c>
      <c r="H15">
        <v>7.3999999999999996E-2</v>
      </c>
      <c r="I15" s="10">
        <v>0.21852167728360247</v>
      </c>
      <c r="J15" s="10">
        <v>2.9529956389676011</v>
      </c>
      <c r="K15">
        <v>27</v>
      </c>
      <c r="L15">
        <v>20</v>
      </c>
      <c r="M15">
        <v>30</v>
      </c>
      <c r="N15">
        <v>120</v>
      </c>
      <c r="O15" s="10">
        <v>0.25</v>
      </c>
      <c r="P15">
        <v>13</v>
      </c>
      <c r="Q15" s="10">
        <v>0.43333333333333335</v>
      </c>
      <c r="R15">
        <v>207</v>
      </c>
      <c r="S15">
        <v>83</v>
      </c>
      <c r="T15" s="10">
        <v>0.40096618357487923</v>
      </c>
      <c r="U15">
        <v>118</v>
      </c>
      <c r="V15">
        <v>8</v>
      </c>
      <c r="W15" s="10">
        <v>6.7796610169491525E-2</v>
      </c>
      <c r="X15">
        <v>48</v>
      </c>
      <c r="Y15">
        <v>13</v>
      </c>
      <c r="Z15" s="10">
        <v>0.27083333333333331</v>
      </c>
      <c r="AA15">
        <v>270</v>
      </c>
      <c r="AB15">
        <v>23</v>
      </c>
      <c r="AC15" s="10">
        <v>8.5185185185185183E-2</v>
      </c>
    </row>
    <row r="16" spans="1:29">
      <c r="A16" s="7" t="s">
        <v>243</v>
      </c>
      <c r="B16" t="s">
        <v>316</v>
      </c>
      <c r="C16" s="13">
        <v>90</v>
      </c>
      <c r="D16" s="13">
        <v>72</v>
      </c>
      <c r="E16" s="13">
        <v>4.0576920607389999</v>
      </c>
      <c r="F16" s="10">
        <v>4.5085467341544443E-2</v>
      </c>
      <c r="G16" s="10">
        <v>0.59904721783400006</v>
      </c>
      <c r="H16">
        <v>7.3999999999999996E-2</v>
      </c>
      <c r="I16" s="10">
        <v>0.14763249868815811</v>
      </c>
      <c r="J16" s="10">
        <v>1.9950337660561908</v>
      </c>
      <c r="K16">
        <v>28</v>
      </c>
      <c r="L16">
        <v>20</v>
      </c>
      <c r="M16">
        <v>15</v>
      </c>
      <c r="N16">
        <v>120</v>
      </c>
      <c r="O16" s="10">
        <v>0.125</v>
      </c>
      <c r="P16">
        <v>3</v>
      </c>
      <c r="Q16" s="10">
        <v>0.2</v>
      </c>
      <c r="R16">
        <v>40</v>
      </c>
      <c r="S16">
        <v>15</v>
      </c>
      <c r="T16" s="10">
        <v>0.375</v>
      </c>
      <c r="U16">
        <v>5</v>
      </c>
      <c r="W16" s="10">
        <v>0</v>
      </c>
      <c r="X16">
        <v>7</v>
      </c>
      <c r="Y16">
        <v>5</v>
      </c>
      <c r="Z16" s="10">
        <v>0.7142857142857143</v>
      </c>
      <c r="AA16">
        <v>20</v>
      </c>
      <c r="AB16">
        <v>2</v>
      </c>
      <c r="AC16" s="10">
        <v>0.1</v>
      </c>
    </row>
    <row r="17" spans="2:8">
      <c r="B17" t="s">
        <v>287</v>
      </c>
      <c r="C17" s="13">
        <v>1350</v>
      </c>
      <c r="D17" s="13">
        <v>1080</v>
      </c>
      <c r="E17" s="13">
        <v>448.83842041590202</v>
      </c>
      <c r="F17" s="10">
        <v>0.33247290401177926</v>
      </c>
      <c r="H17"/>
    </row>
    <row r="18" spans="2:8">
      <c r="E18" s="13"/>
      <c r="H18"/>
    </row>
    <row r="19" spans="2:8">
      <c r="E19" s="13"/>
      <c r="H19"/>
    </row>
    <row r="20" spans="2:8">
      <c r="E20" s="13"/>
      <c r="H20"/>
    </row>
    <row r="21" spans="2:8">
      <c r="E21" s="13"/>
      <c r="H21"/>
    </row>
    <row r="22" spans="2:8">
      <c r="E22" s="13"/>
      <c r="H22"/>
    </row>
    <row r="23" spans="2:8">
      <c r="E23" s="13"/>
      <c r="H23"/>
    </row>
    <row r="24" spans="2:8">
      <c r="E24" s="13"/>
      <c r="H24"/>
    </row>
    <row r="25" spans="2:8">
      <c r="E25" s="13"/>
      <c r="H25"/>
    </row>
    <row r="26" spans="2:8">
      <c r="E26" s="13"/>
      <c r="H26"/>
    </row>
    <row r="27" spans="2:8">
      <c r="E27" s="13"/>
      <c r="H27"/>
    </row>
    <row r="28" spans="2:8">
      <c r="E28" s="13"/>
      <c r="H28"/>
    </row>
    <row r="29" spans="2:8">
      <c r="E29" s="13"/>
      <c r="H29"/>
    </row>
    <row r="30" spans="2:8">
      <c r="E30" s="13"/>
      <c r="H30"/>
    </row>
    <row r="31" spans="2:8">
      <c r="E31" s="13"/>
      <c r="H31"/>
    </row>
    <row r="32" spans="2:8">
      <c r="E32" s="13"/>
      <c r="H32"/>
    </row>
    <row r="33" spans="5:8">
      <c r="E33" s="13"/>
      <c r="H33"/>
    </row>
    <row r="34" spans="5:8">
      <c r="E34" s="13"/>
      <c r="H34"/>
    </row>
    <row r="35" spans="5:8">
      <c r="E35" s="13"/>
      <c r="H35"/>
    </row>
    <row r="36" spans="5:8">
      <c r="E36" s="13"/>
      <c r="H36"/>
    </row>
    <row r="37" spans="5:8">
      <c r="E37" s="13"/>
      <c r="H37"/>
    </row>
    <row r="38" spans="5:8">
      <c r="E38" s="13"/>
      <c r="H38"/>
    </row>
    <row r="39" spans="5:8">
      <c r="E39" s="13"/>
      <c r="H39"/>
    </row>
    <row r="40" spans="5:8">
      <c r="E40" s="13"/>
      <c r="H40"/>
    </row>
    <row r="41" spans="5:8">
      <c r="E41" s="13"/>
      <c r="H41"/>
    </row>
    <row r="42" spans="5:8">
      <c r="E42" s="13"/>
      <c r="H42"/>
    </row>
    <row r="43" spans="5:8">
      <c r="E43" s="13"/>
      <c r="H43"/>
    </row>
    <row r="44" spans="5:8">
      <c r="E44" s="13"/>
      <c r="H44"/>
    </row>
    <row r="45" spans="5:8">
      <c r="E45" s="13"/>
      <c r="H45"/>
    </row>
    <row r="46" spans="5:8">
      <c r="E46" s="13"/>
      <c r="H46"/>
    </row>
    <row r="47" spans="5:8">
      <c r="E47" s="13"/>
      <c r="H47"/>
    </row>
    <row r="48" spans="5:8">
      <c r="E48" s="13"/>
      <c r="H48"/>
    </row>
    <row r="49" spans="5:8">
      <c r="E49" s="13"/>
      <c r="H49"/>
    </row>
    <row r="50" spans="5:8">
      <c r="E50" s="13"/>
      <c r="H50"/>
    </row>
    <row r="51" spans="5:8">
      <c r="E51" s="13"/>
      <c r="H51"/>
    </row>
    <row r="52" spans="5:8">
      <c r="E52" s="13"/>
      <c r="H52"/>
    </row>
    <row r="53" spans="5:8">
      <c r="E53" s="13"/>
      <c r="H53"/>
    </row>
    <row r="54" spans="5:8">
      <c r="E54" s="13"/>
      <c r="H54"/>
    </row>
    <row r="55" spans="5:8">
      <c r="E55" s="13"/>
      <c r="H55"/>
    </row>
    <row r="56" spans="5:8">
      <c r="E56" s="13"/>
      <c r="H56"/>
    </row>
    <row r="57" spans="5:8">
      <c r="E57" s="13"/>
      <c r="H57"/>
    </row>
    <row r="58" spans="5:8">
      <c r="E58" s="13"/>
      <c r="H58"/>
    </row>
    <row r="59" spans="5:8">
      <c r="E59" s="13"/>
      <c r="H59"/>
    </row>
    <row r="60" spans="5:8">
      <c r="E60" s="13"/>
      <c r="H60"/>
    </row>
    <row r="61" spans="5:8">
      <c r="E61" s="13"/>
      <c r="H61"/>
    </row>
    <row r="62" spans="5:8">
      <c r="E62" s="13"/>
      <c r="H62"/>
    </row>
    <row r="63" spans="5:8">
      <c r="E63" s="13"/>
      <c r="H63"/>
    </row>
    <row r="64" spans="5:8">
      <c r="E64" s="13"/>
      <c r="H64"/>
    </row>
    <row r="65" spans="5:8">
      <c r="E65" s="13"/>
      <c r="H65"/>
    </row>
    <row r="66" spans="5:8">
      <c r="E66" s="13"/>
      <c r="H66"/>
    </row>
    <row r="67" spans="5:8">
      <c r="E67" s="13"/>
      <c r="H67"/>
    </row>
    <row r="68" spans="5:8">
      <c r="E68" s="13"/>
      <c r="H68"/>
    </row>
    <row r="69" spans="5:8">
      <c r="E69" s="13"/>
      <c r="H69"/>
    </row>
    <row r="70" spans="5:8">
      <c r="E70" s="13"/>
      <c r="H70"/>
    </row>
    <row r="71" spans="5:8">
      <c r="E71" s="13"/>
      <c r="H71"/>
    </row>
    <row r="72" spans="5:8">
      <c r="E72" s="13"/>
      <c r="H72"/>
    </row>
    <row r="73" spans="5:8">
      <c r="E73" s="13"/>
      <c r="H73"/>
    </row>
    <row r="74" spans="5:8">
      <c r="E74" s="13"/>
      <c r="H74"/>
    </row>
    <row r="75" spans="5:8">
      <c r="E75" s="13"/>
      <c r="H75"/>
    </row>
    <row r="76" spans="5:8">
      <c r="E76" s="13"/>
      <c r="H76"/>
    </row>
    <row r="77" spans="5:8">
      <c r="E77" s="13"/>
      <c r="H77"/>
    </row>
    <row r="78" spans="5:8">
      <c r="E78" s="13"/>
      <c r="H78"/>
    </row>
    <row r="79" spans="5:8">
      <c r="E79" s="13"/>
      <c r="H79"/>
    </row>
    <row r="80" spans="5:8">
      <c r="E80" s="13"/>
      <c r="H80"/>
    </row>
    <row r="81" spans="5:8">
      <c r="E81" s="13"/>
      <c r="H81"/>
    </row>
    <row r="82" spans="5:8">
      <c r="E82" s="13"/>
      <c r="H82"/>
    </row>
    <row r="83" spans="5:8">
      <c r="E83" s="13"/>
      <c r="H83"/>
    </row>
    <row r="84" spans="5:8">
      <c r="E84" s="13"/>
      <c r="H84"/>
    </row>
    <row r="85" spans="5:8">
      <c r="E85" s="13"/>
      <c r="H85"/>
    </row>
    <row r="86" spans="5:8">
      <c r="E86" s="13"/>
      <c r="H86"/>
    </row>
    <row r="87" spans="5:8">
      <c r="E87" s="13"/>
      <c r="H87"/>
    </row>
    <row r="88" spans="5:8">
      <c r="E88" s="13"/>
      <c r="H88"/>
    </row>
    <row r="89" spans="5:8">
      <c r="E89" s="13"/>
      <c r="H89"/>
    </row>
    <row r="90" spans="5:8">
      <c r="E90" s="13"/>
      <c r="H90"/>
    </row>
    <row r="91" spans="5:8">
      <c r="E91" s="13"/>
      <c r="H91"/>
    </row>
    <row r="92" spans="5:8">
      <c r="E92" s="13"/>
      <c r="H92"/>
    </row>
    <row r="93" spans="5:8">
      <c r="E93" s="13"/>
      <c r="H93"/>
    </row>
    <row r="94" spans="5:8">
      <c r="E94" s="13"/>
      <c r="H94"/>
    </row>
    <row r="95" spans="5:8">
      <c r="E95" s="13"/>
      <c r="H95"/>
    </row>
    <row r="96" spans="5:8">
      <c r="E96" s="13"/>
      <c r="H96"/>
    </row>
    <row r="97" spans="5:8">
      <c r="E97" s="13"/>
      <c r="H97"/>
    </row>
    <row r="98" spans="5:8">
      <c r="E98" s="13"/>
      <c r="H98"/>
    </row>
    <row r="99" spans="5:8">
      <c r="E99" s="13"/>
      <c r="H99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8057-2F56-DC4E-BBEC-68462F8AEBD9}">
  <sheetPr codeName="工作表7"/>
  <dimension ref="A1:AZ63"/>
  <sheetViews>
    <sheetView tabSelected="1" workbookViewId="0">
      <selection activeCell="M16" sqref="M16"/>
    </sheetView>
  </sheetViews>
  <sheetFormatPr baseColWidth="10" defaultRowHeight="15"/>
  <cols>
    <col min="5" max="6" width="10.83203125" style="13"/>
    <col min="7" max="7" width="10.83203125" style="10"/>
    <col min="10" max="10" width="10.83203125" style="10"/>
  </cols>
  <sheetData>
    <row r="1" spans="1:52">
      <c r="A1" t="s">
        <v>52</v>
      </c>
      <c r="B1" t="s">
        <v>53</v>
      </c>
      <c r="C1" s="6" t="s">
        <v>283</v>
      </c>
      <c r="D1" t="s">
        <v>327</v>
      </c>
      <c r="E1" s="14" t="s">
        <v>20</v>
      </c>
      <c r="F1" s="13" t="s">
        <v>21</v>
      </c>
      <c r="G1" s="10" t="s">
        <v>57</v>
      </c>
      <c r="H1" t="s">
        <v>58</v>
      </c>
      <c r="I1" t="s">
        <v>59</v>
      </c>
      <c r="J1" s="10" t="s">
        <v>60</v>
      </c>
    </row>
    <row r="2" spans="1:52">
      <c r="A2" t="s">
        <v>61</v>
      </c>
      <c r="B2" t="s">
        <v>62</v>
      </c>
      <c r="C2" s="7" t="s">
        <v>63</v>
      </c>
      <c r="D2" t="s">
        <v>64</v>
      </c>
      <c r="E2" s="13">
        <v>31.224646999999997</v>
      </c>
      <c r="F2" s="13">
        <v>4.4826869999999994</v>
      </c>
      <c r="G2" s="10">
        <v>0.14356245564601577</v>
      </c>
      <c r="H2">
        <v>23</v>
      </c>
      <c r="I2">
        <v>11</v>
      </c>
      <c r="J2" s="10">
        <v>0.47826086956521741</v>
      </c>
    </row>
    <row r="3" spans="1:52">
      <c r="A3" t="s">
        <v>61</v>
      </c>
      <c r="B3" t="s">
        <v>62</v>
      </c>
      <c r="C3" s="7" t="s">
        <v>93</v>
      </c>
      <c r="D3" t="s">
        <v>94</v>
      </c>
      <c r="E3" s="13">
        <v>31.369570999999997</v>
      </c>
      <c r="F3" s="13">
        <v>4.290640999999999</v>
      </c>
      <c r="G3" s="10">
        <v>0.13677716536193624</v>
      </c>
      <c r="H3">
        <v>24</v>
      </c>
      <c r="I3">
        <v>3</v>
      </c>
      <c r="J3" s="10">
        <v>0.125</v>
      </c>
    </row>
    <row r="4" spans="1:52">
      <c r="A4" t="s">
        <v>61</v>
      </c>
      <c r="B4" t="s">
        <v>62</v>
      </c>
      <c r="C4" s="7" t="s">
        <v>103</v>
      </c>
      <c r="D4" t="s">
        <v>104</v>
      </c>
      <c r="E4" s="13">
        <v>62.827263000000002</v>
      </c>
      <c r="F4" s="13">
        <v>8.6428129999999985</v>
      </c>
      <c r="G4" s="10">
        <v>0.13756469066621602</v>
      </c>
      <c r="H4">
        <v>43</v>
      </c>
      <c r="I4">
        <v>6</v>
      </c>
      <c r="J4" s="10">
        <v>0.13953488372093023</v>
      </c>
    </row>
    <row r="5" spans="1:52">
      <c r="A5" t="s">
        <v>61</v>
      </c>
      <c r="B5" t="s">
        <v>62</v>
      </c>
      <c r="C5" s="7" t="s">
        <v>105</v>
      </c>
      <c r="D5" t="s">
        <v>106</v>
      </c>
      <c r="E5" s="13">
        <v>41.749877000000005</v>
      </c>
      <c r="F5" s="13">
        <v>6.9813419999999997</v>
      </c>
      <c r="G5" s="10">
        <v>0.16721826509812229</v>
      </c>
      <c r="H5">
        <v>29</v>
      </c>
      <c r="I5">
        <v>5</v>
      </c>
      <c r="J5" s="10">
        <v>0.17241379310344829</v>
      </c>
    </row>
    <row r="6" spans="1:52">
      <c r="A6" t="s">
        <v>61</v>
      </c>
      <c r="B6" t="s">
        <v>62</v>
      </c>
      <c r="C6" s="7" t="s">
        <v>109</v>
      </c>
      <c r="D6" t="s">
        <v>110</v>
      </c>
      <c r="E6" s="13">
        <v>56.063138000000009</v>
      </c>
      <c r="F6" s="13">
        <v>8.0300770000000004</v>
      </c>
      <c r="G6" s="10">
        <v>0.14323274234132236</v>
      </c>
      <c r="H6">
        <v>48</v>
      </c>
      <c r="I6">
        <v>12</v>
      </c>
      <c r="J6" s="10">
        <v>0.25</v>
      </c>
    </row>
    <row r="7" spans="1:52">
      <c r="A7" t="s">
        <v>61</v>
      </c>
      <c r="B7" t="s">
        <v>62</v>
      </c>
      <c r="C7" s="7" t="s">
        <v>111</v>
      </c>
      <c r="D7" t="s">
        <v>112</v>
      </c>
      <c r="E7" s="13">
        <v>45.928587999999991</v>
      </c>
      <c r="F7" s="13">
        <v>7.5809210000000009</v>
      </c>
      <c r="G7" s="10">
        <v>0.16505887357129295</v>
      </c>
      <c r="H7">
        <v>37</v>
      </c>
      <c r="I7">
        <v>12</v>
      </c>
      <c r="J7" s="10">
        <v>0.32432432432432434</v>
      </c>
    </row>
    <row r="8" spans="1:52">
      <c r="A8" t="s">
        <v>113</v>
      </c>
      <c r="B8" t="s">
        <v>114</v>
      </c>
      <c r="C8" s="7" t="s">
        <v>115</v>
      </c>
      <c r="D8" t="s">
        <v>116</v>
      </c>
      <c r="E8" s="13">
        <v>4.0418180000000001</v>
      </c>
      <c r="F8" s="13">
        <v>0.41332100000000005</v>
      </c>
      <c r="G8" s="10">
        <v>0.10226116069550881</v>
      </c>
      <c r="H8">
        <v>2</v>
      </c>
      <c r="I8">
        <v>1</v>
      </c>
      <c r="J8" s="10">
        <v>0.5</v>
      </c>
    </row>
    <row r="9" spans="1:52">
      <c r="A9" t="s">
        <v>113</v>
      </c>
      <c r="B9" t="s">
        <v>114</v>
      </c>
      <c r="C9" s="7" t="s">
        <v>117</v>
      </c>
      <c r="D9" t="s">
        <v>118</v>
      </c>
      <c r="E9" s="13">
        <v>54.995101999999996</v>
      </c>
      <c r="F9" s="13">
        <v>7.9640759999999995</v>
      </c>
      <c r="G9" s="10">
        <v>0.14481427818790119</v>
      </c>
      <c r="H9">
        <v>41</v>
      </c>
      <c r="I9">
        <v>19</v>
      </c>
      <c r="J9" s="10">
        <v>0.46341463414634149</v>
      </c>
    </row>
    <row r="10" spans="1:52">
      <c r="A10" t="s">
        <v>113</v>
      </c>
      <c r="B10" t="s">
        <v>114</v>
      </c>
      <c r="C10" s="7" t="s">
        <v>119</v>
      </c>
      <c r="D10" t="s">
        <v>120</v>
      </c>
      <c r="E10" s="13">
        <v>45.832806000000012</v>
      </c>
      <c r="F10" s="13">
        <v>6.8009379999999995</v>
      </c>
      <c r="G10" s="10">
        <v>0.14838580906436316</v>
      </c>
      <c r="H10">
        <v>41</v>
      </c>
      <c r="I10">
        <v>12</v>
      </c>
      <c r="J10" s="10">
        <v>0.29268292682926828</v>
      </c>
    </row>
    <row r="11" spans="1:52">
      <c r="A11" t="s">
        <v>113</v>
      </c>
      <c r="B11" t="s">
        <v>114</v>
      </c>
      <c r="C11" s="7" t="s">
        <v>121</v>
      </c>
      <c r="D11" t="s">
        <v>122</v>
      </c>
      <c r="E11" s="13">
        <v>61.795580999999999</v>
      </c>
      <c r="F11" s="13">
        <v>8.4853420000000011</v>
      </c>
      <c r="G11" s="10">
        <v>0.13731308716071464</v>
      </c>
      <c r="H11">
        <v>40</v>
      </c>
      <c r="I11">
        <v>14</v>
      </c>
      <c r="J11" s="10">
        <v>0.35</v>
      </c>
    </row>
    <row r="12" spans="1:52">
      <c r="A12" t="s">
        <v>113</v>
      </c>
      <c r="B12" t="s">
        <v>114</v>
      </c>
      <c r="C12" s="7" t="s">
        <v>123</v>
      </c>
      <c r="D12" t="s">
        <v>124</v>
      </c>
      <c r="E12" s="13">
        <v>24.928903999999999</v>
      </c>
      <c r="F12" s="13">
        <v>4.2535229999999995</v>
      </c>
      <c r="G12" s="10">
        <v>0.17062615348031343</v>
      </c>
      <c r="H12">
        <v>19</v>
      </c>
      <c r="I12">
        <v>6</v>
      </c>
      <c r="J12" s="10">
        <v>0.31578947368421051</v>
      </c>
    </row>
    <row r="13" spans="1:52" s="10" customFormat="1">
      <c r="A13" t="s">
        <v>127</v>
      </c>
      <c r="B13" t="s">
        <v>128</v>
      </c>
      <c r="C13" s="7" t="s">
        <v>129</v>
      </c>
      <c r="D13" t="s">
        <v>130</v>
      </c>
      <c r="E13" s="13">
        <v>45.384180000000001</v>
      </c>
      <c r="F13" s="13">
        <v>6.3442539999999985</v>
      </c>
      <c r="G13" s="10">
        <v>0.13978998849378788</v>
      </c>
      <c r="H13">
        <v>36</v>
      </c>
      <c r="I13">
        <v>17</v>
      </c>
      <c r="J13" s="10">
        <v>0.47222222222222221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>
      <c r="A14" t="s">
        <v>127</v>
      </c>
      <c r="B14" t="s">
        <v>128</v>
      </c>
      <c r="C14" s="7" t="s">
        <v>131</v>
      </c>
      <c r="D14" t="s">
        <v>132</v>
      </c>
      <c r="E14" s="13">
        <v>42.319250999999994</v>
      </c>
      <c r="F14" s="13">
        <v>5.1759740000000001</v>
      </c>
      <c r="G14" s="10">
        <v>0.12230778848141714</v>
      </c>
      <c r="H14">
        <v>25</v>
      </c>
      <c r="I14">
        <v>12</v>
      </c>
      <c r="J14" s="10">
        <v>0.48</v>
      </c>
    </row>
    <row r="15" spans="1:52">
      <c r="A15" t="s">
        <v>127</v>
      </c>
      <c r="B15" t="s">
        <v>128</v>
      </c>
      <c r="C15" s="7" t="s">
        <v>133</v>
      </c>
      <c r="D15" t="s">
        <v>134</v>
      </c>
      <c r="E15" s="13">
        <v>44.206454000000008</v>
      </c>
      <c r="F15" s="13">
        <v>6.7725989999999996</v>
      </c>
      <c r="G15" s="10">
        <v>0.15320385118426369</v>
      </c>
      <c r="H15">
        <v>29</v>
      </c>
      <c r="I15">
        <v>5</v>
      </c>
      <c r="J15" s="10">
        <v>0.17241379310344829</v>
      </c>
    </row>
    <row r="16" spans="1:52">
      <c r="A16" t="s">
        <v>135</v>
      </c>
      <c r="B16" t="s">
        <v>136</v>
      </c>
      <c r="C16" s="7" t="s">
        <v>137</v>
      </c>
      <c r="D16" t="s">
        <v>138</v>
      </c>
      <c r="E16" s="13">
        <v>33.297643999999998</v>
      </c>
      <c r="F16" s="13">
        <v>4.9469129999999994</v>
      </c>
      <c r="G16" s="10">
        <v>0.14856645713432456</v>
      </c>
      <c r="H16">
        <v>25</v>
      </c>
      <c r="I16">
        <v>15</v>
      </c>
      <c r="J16" s="10">
        <v>0.6</v>
      </c>
    </row>
    <row r="17" spans="1:10">
      <c r="A17" t="s">
        <v>135</v>
      </c>
      <c r="B17" t="s">
        <v>136</v>
      </c>
      <c r="C17" s="7" t="s">
        <v>139</v>
      </c>
      <c r="D17" t="s">
        <v>140</v>
      </c>
      <c r="E17" s="13">
        <v>47.150667999999989</v>
      </c>
      <c r="F17" s="13">
        <v>6.8420470000000009</v>
      </c>
      <c r="G17" s="10">
        <v>0.14511028772699472</v>
      </c>
      <c r="H17">
        <v>40</v>
      </c>
      <c r="I17">
        <v>17</v>
      </c>
      <c r="J17" s="10">
        <v>0.42499999999999999</v>
      </c>
    </row>
    <row r="18" spans="1:10">
      <c r="A18" t="s">
        <v>135</v>
      </c>
      <c r="B18" t="s">
        <v>136</v>
      </c>
      <c r="C18" s="7" t="s">
        <v>328</v>
      </c>
      <c r="D18" t="s">
        <v>329</v>
      </c>
      <c r="E18" s="13">
        <v>15.805835000000004</v>
      </c>
      <c r="F18" s="13">
        <v>2.840913</v>
      </c>
      <c r="G18" s="10">
        <v>0.17973824223775584</v>
      </c>
      <c r="H18">
        <v>12</v>
      </c>
      <c r="I18">
        <v>5</v>
      </c>
      <c r="J18" s="10">
        <v>0.41666666666666669</v>
      </c>
    </row>
    <row r="19" spans="1:10">
      <c r="A19" t="s">
        <v>141</v>
      </c>
      <c r="B19" t="s">
        <v>142</v>
      </c>
      <c r="C19" s="7" t="s">
        <v>143</v>
      </c>
      <c r="D19" t="s">
        <v>144</v>
      </c>
      <c r="E19" s="13">
        <v>48.612814000000014</v>
      </c>
      <c r="F19" s="13">
        <v>6.4676039999999988</v>
      </c>
      <c r="G19" s="10">
        <v>0.13304319309719442</v>
      </c>
      <c r="H19">
        <v>44</v>
      </c>
      <c r="I19">
        <v>2</v>
      </c>
      <c r="J19" s="10">
        <v>4.5454545454545456E-2</v>
      </c>
    </row>
    <row r="20" spans="1:10">
      <c r="A20" t="s">
        <v>141</v>
      </c>
      <c r="B20" t="s">
        <v>142</v>
      </c>
      <c r="C20" s="7" t="s">
        <v>145</v>
      </c>
      <c r="D20" t="s">
        <v>146</v>
      </c>
      <c r="E20" s="13">
        <v>50.284902000000002</v>
      </c>
      <c r="F20" s="13">
        <v>7.5088869999999996</v>
      </c>
      <c r="G20" s="10">
        <v>0.14932686952437532</v>
      </c>
      <c r="H20">
        <v>39</v>
      </c>
      <c r="I20">
        <v>4</v>
      </c>
      <c r="J20" s="10">
        <v>0.10256410256410256</v>
      </c>
    </row>
    <row r="21" spans="1:10">
      <c r="A21" t="s">
        <v>141</v>
      </c>
      <c r="B21" t="s">
        <v>142</v>
      </c>
      <c r="C21" s="7" t="s">
        <v>147</v>
      </c>
      <c r="D21" t="s">
        <v>148</v>
      </c>
      <c r="E21" s="13">
        <v>40.542277000000013</v>
      </c>
      <c r="F21" s="13">
        <v>6.2531029999999994</v>
      </c>
      <c r="G21" s="10">
        <v>0.15423660096841618</v>
      </c>
      <c r="H21">
        <v>34</v>
      </c>
      <c r="I21">
        <v>4</v>
      </c>
      <c r="J21" s="10">
        <v>0.11764705882352941</v>
      </c>
    </row>
    <row r="22" spans="1:10">
      <c r="A22" t="s">
        <v>141</v>
      </c>
      <c r="B22" t="s">
        <v>142</v>
      </c>
      <c r="C22" s="7" t="s">
        <v>149</v>
      </c>
      <c r="D22" t="s">
        <v>150</v>
      </c>
      <c r="E22" s="13">
        <v>46.169592000000002</v>
      </c>
      <c r="F22" s="13">
        <v>6.6879150000000003</v>
      </c>
      <c r="G22" s="10">
        <v>0.14485540612964481</v>
      </c>
      <c r="H22">
        <v>44</v>
      </c>
      <c r="I22">
        <v>3</v>
      </c>
      <c r="J22" s="10">
        <v>6.8181818181818177E-2</v>
      </c>
    </row>
    <row r="23" spans="1:10">
      <c r="A23" t="s">
        <v>151</v>
      </c>
      <c r="B23" t="s">
        <v>152</v>
      </c>
      <c r="C23" s="7" t="s">
        <v>153</v>
      </c>
      <c r="D23" t="s">
        <v>154</v>
      </c>
      <c r="E23" s="13">
        <v>1.9755259999999994</v>
      </c>
      <c r="F23" s="13">
        <v>4.0800000000007497E-4</v>
      </c>
      <c r="G23" s="10">
        <v>2.0652727425509717E-4</v>
      </c>
      <c r="H23">
        <v>2</v>
      </c>
      <c r="J23" s="10">
        <v>0</v>
      </c>
    </row>
    <row r="24" spans="1:10">
      <c r="A24" t="s">
        <v>151</v>
      </c>
      <c r="B24" t="s">
        <v>152</v>
      </c>
      <c r="C24" s="7" t="s">
        <v>155</v>
      </c>
      <c r="D24" t="s">
        <v>156</v>
      </c>
      <c r="E24" s="13">
        <v>67.732769999999988</v>
      </c>
      <c r="F24" s="13">
        <v>9.8141610000000004</v>
      </c>
      <c r="G24" s="10">
        <v>0.1448953143360297</v>
      </c>
      <c r="H24">
        <v>55</v>
      </c>
      <c r="I24">
        <v>23</v>
      </c>
      <c r="J24" s="10">
        <v>0.41818181818181815</v>
      </c>
    </row>
    <row r="25" spans="1:10">
      <c r="A25" t="s">
        <v>151</v>
      </c>
      <c r="B25" t="s">
        <v>152</v>
      </c>
      <c r="C25" s="7" t="s">
        <v>157</v>
      </c>
      <c r="D25" t="s">
        <v>158</v>
      </c>
      <c r="E25" s="13">
        <v>100.52895599999998</v>
      </c>
      <c r="F25" s="13">
        <v>13.23338</v>
      </c>
      <c r="G25" s="10">
        <v>0.13163749556893839</v>
      </c>
      <c r="H25">
        <v>74</v>
      </c>
      <c r="I25">
        <v>21</v>
      </c>
      <c r="J25" s="10">
        <v>0.28378378378378377</v>
      </c>
    </row>
    <row r="26" spans="1:10">
      <c r="A26" t="s">
        <v>151</v>
      </c>
      <c r="B26" t="s">
        <v>152</v>
      </c>
      <c r="C26" s="7" t="s">
        <v>159</v>
      </c>
      <c r="D26" t="s">
        <v>160</v>
      </c>
      <c r="E26" s="13">
        <v>97.528639000000013</v>
      </c>
      <c r="F26" s="13">
        <v>13.327856999999998</v>
      </c>
      <c r="G26" s="10">
        <v>0.13665582885863911</v>
      </c>
      <c r="H26">
        <v>80</v>
      </c>
      <c r="I26">
        <v>32</v>
      </c>
      <c r="J26" s="10">
        <v>0.4</v>
      </c>
    </row>
    <row r="27" spans="1:10">
      <c r="A27" t="s">
        <v>151</v>
      </c>
      <c r="B27" t="s">
        <v>152</v>
      </c>
      <c r="C27" s="7" t="s">
        <v>161</v>
      </c>
      <c r="D27" t="s">
        <v>162</v>
      </c>
      <c r="E27" s="13">
        <v>72.491591</v>
      </c>
      <c r="F27" s="13">
        <v>10.680289000000002</v>
      </c>
      <c r="G27" s="10">
        <v>0.14733141944698114</v>
      </c>
      <c r="H27">
        <v>57</v>
      </c>
      <c r="I27">
        <v>21</v>
      </c>
      <c r="J27" s="10">
        <v>0.36842105263157893</v>
      </c>
    </row>
    <row r="28" spans="1:10">
      <c r="A28" t="s">
        <v>163</v>
      </c>
      <c r="B28" t="s">
        <v>164</v>
      </c>
      <c r="C28" s="7" t="s">
        <v>165</v>
      </c>
      <c r="D28" t="s">
        <v>166</v>
      </c>
      <c r="E28" s="13">
        <v>50.576271000000006</v>
      </c>
      <c r="F28" s="13">
        <v>6.9914720000000008</v>
      </c>
      <c r="G28" s="10">
        <v>0.13823620962486538</v>
      </c>
      <c r="H28">
        <v>42</v>
      </c>
      <c r="I28">
        <v>11</v>
      </c>
      <c r="J28" s="10">
        <v>0.26190476190476192</v>
      </c>
    </row>
    <row r="29" spans="1:10">
      <c r="A29" t="s">
        <v>163</v>
      </c>
      <c r="B29" t="s">
        <v>164</v>
      </c>
      <c r="C29" s="7" t="s">
        <v>167</v>
      </c>
      <c r="D29" t="s">
        <v>168</v>
      </c>
      <c r="E29" s="13">
        <v>64.973556000000002</v>
      </c>
      <c r="F29" s="13">
        <v>8.5069140000000001</v>
      </c>
      <c r="G29" s="10">
        <v>0.13092886589122504</v>
      </c>
      <c r="H29">
        <v>54</v>
      </c>
      <c r="I29">
        <v>26</v>
      </c>
      <c r="J29" s="10">
        <v>0.48148148148148145</v>
      </c>
    </row>
    <row r="30" spans="1:10">
      <c r="A30" t="s">
        <v>163</v>
      </c>
      <c r="B30" t="s">
        <v>164</v>
      </c>
      <c r="C30" s="7" t="s">
        <v>169</v>
      </c>
      <c r="D30" t="s">
        <v>170</v>
      </c>
      <c r="E30" s="13">
        <v>40.071279000000004</v>
      </c>
      <c r="F30" s="13">
        <v>5.6566329999999994</v>
      </c>
      <c r="G30" s="10">
        <v>0.14116427379320731</v>
      </c>
      <c r="H30">
        <v>38</v>
      </c>
      <c r="I30">
        <v>8</v>
      </c>
      <c r="J30" s="10">
        <v>0.21052631578947367</v>
      </c>
    </row>
    <row r="31" spans="1:10">
      <c r="A31" t="s">
        <v>163</v>
      </c>
      <c r="B31" t="s">
        <v>164</v>
      </c>
      <c r="C31" s="7" t="s">
        <v>171</v>
      </c>
      <c r="D31" t="s">
        <v>172</v>
      </c>
      <c r="E31" s="13">
        <v>49.742381999999992</v>
      </c>
      <c r="F31" s="13">
        <v>6.5068820000000009</v>
      </c>
      <c r="G31" s="10">
        <v>0.1308116286027477</v>
      </c>
      <c r="H31">
        <v>50</v>
      </c>
      <c r="I31">
        <v>7</v>
      </c>
      <c r="J31" s="10">
        <v>0.14000000000000001</v>
      </c>
    </row>
    <row r="32" spans="1:10">
      <c r="A32" t="s">
        <v>173</v>
      </c>
      <c r="B32" t="s">
        <v>174</v>
      </c>
      <c r="C32" s="7" t="s">
        <v>175</v>
      </c>
      <c r="D32" t="s">
        <v>176</v>
      </c>
      <c r="E32" s="13">
        <v>4.1898720000000003</v>
      </c>
      <c r="F32" s="13">
        <v>0.27823900000000001</v>
      </c>
      <c r="G32" s="10">
        <v>6.6407517938495489E-2</v>
      </c>
      <c r="H32">
        <v>3</v>
      </c>
      <c r="J32" s="10">
        <v>0</v>
      </c>
    </row>
    <row r="33" spans="1:10">
      <c r="A33" t="s">
        <v>173</v>
      </c>
      <c r="B33" t="s">
        <v>174</v>
      </c>
      <c r="C33" s="7" t="s">
        <v>177</v>
      </c>
      <c r="D33" t="s">
        <v>178</v>
      </c>
      <c r="E33" s="13">
        <v>86.853805000000023</v>
      </c>
      <c r="F33" s="13">
        <v>13.381534000000002</v>
      </c>
      <c r="G33" s="10">
        <v>0.15406963460034939</v>
      </c>
      <c r="H33">
        <v>68</v>
      </c>
      <c r="I33">
        <v>11</v>
      </c>
      <c r="J33" s="10">
        <v>0.16176470588235295</v>
      </c>
    </row>
    <row r="34" spans="1:10">
      <c r="A34" t="s">
        <v>173</v>
      </c>
      <c r="B34" t="s">
        <v>174</v>
      </c>
      <c r="C34" s="7" t="s">
        <v>179</v>
      </c>
      <c r="D34" t="s">
        <v>180</v>
      </c>
      <c r="E34" s="13">
        <v>53.89279299999999</v>
      </c>
      <c r="F34" s="13">
        <v>7.386099999999999</v>
      </c>
      <c r="G34" s="10">
        <v>0.13705172044061625</v>
      </c>
      <c r="H34">
        <v>45</v>
      </c>
      <c r="I34">
        <v>9</v>
      </c>
      <c r="J34" s="10">
        <v>0.2</v>
      </c>
    </row>
    <row r="35" spans="1:10">
      <c r="A35" t="s">
        <v>173</v>
      </c>
      <c r="B35" t="s">
        <v>174</v>
      </c>
      <c r="C35" s="7" t="s">
        <v>181</v>
      </c>
      <c r="D35" t="s">
        <v>182</v>
      </c>
      <c r="E35" s="13">
        <v>90.619076000000007</v>
      </c>
      <c r="F35" s="13">
        <v>12.335587</v>
      </c>
      <c r="G35" s="10">
        <v>0.13612572037260676</v>
      </c>
      <c r="H35">
        <v>82</v>
      </c>
      <c r="I35">
        <v>18</v>
      </c>
      <c r="J35" s="10">
        <v>0.21951219512195122</v>
      </c>
    </row>
    <row r="36" spans="1:10">
      <c r="A36" t="s">
        <v>173</v>
      </c>
      <c r="B36" t="s">
        <v>174</v>
      </c>
      <c r="C36" s="7" t="s">
        <v>183</v>
      </c>
      <c r="D36" t="s">
        <v>184</v>
      </c>
      <c r="E36" s="13">
        <v>91.651088000000016</v>
      </c>
      <c r="F36" s="13">
        <v>13.233583000000001</v>
      </c>
      <c r="G36" s="10">
        <v>0.14439089910203792</v>
      </c>
      <c r="H36">
        <v>87</v>
      </c>
      <c r="I36">
        <v>30</v>
      </c>
      <c r="J36" s="10">
        <v>0.34482758620689657</v>
      </c>
    </row>
    <row r="37" spans="1:10">
      <c r="A37" t="s">
        <v>185</v>
      </c>
      <c r="B37" t="s">
        <v>186</v>
      </c>
      <c r="C37" s="7" t="s">
        <v>330</v>
      </c>
      <c r="D37" t="s">
        <v>331</v>
      </c>
      <c r="E37" s="13">
        <v>2.2727000000000001E-2</v>
      </c>
      <c r="F37" s="13">
        <v>5.7270000000000003E-3</v>
      </c>
      <c r="G37" s="10">
        <v>0.25199102389228673</v>
      </c>
    </row>
    <row r="38" spans="1:10">
      <c r="A38" t="s">
        <v>185</v>
      </c>
      <c r="B38" t="s">
        <v>186</v>
      </c>
      <c r="C38" s="7" t="s">
        <v>187</v>
      </c>
      <c r="D38" t="s">
        <v>188</v>
      </c>
      <c r="E38" s="13">
        <v>85.756012999999996</v>
      </c>
      <c r="F38" s="13">
        <v>10.108955</v>
      </c>
      <c r="G38" s="10">
        <v>0.11788042198277106</v>
      </c>
      <c r="H38">
        <v>54</v>
      </c>
      <c r="I38">
        <v>14</v>
      </c>
      <c r="J38" s="10">
        <v>0.25925925925925924</v>
      </c>
    </row>
    <row r="39" spans="1:10">
      <c r="A39" t="s">
        <v>185</v>
      </c>
      <c r="B39" t="s">
        <v>186</v>
      </c>
      <c r="C39" s="7" t="s">
        <v>189</v>
      </c>
      <c r="D39" t="s">
        <v>190</v>
      </c>
      <c r="E39" s="13">
        <v>61.102997000000002</v>
      </c>
      <c r="F39" s="13">
        <v>7.6123419999999999</v>
      </c>
      <c r="G39" s="10">
        <v>0.12458213792688433</v>
      </c>
      <c r="H39">
        <v>51</v>
      </c>
      <c r="I39">
        <v>3</v>
      </c>
      <c r="J39" s="10">
        <v>5.8823529411764705E-2</v>
      </c>
    </row>
    <row r="40" spans="1:10">
      <c r="A40" t="s">
        <v>185</v>
      </c>
      <c r="B40" t="s">
        <v>186</v>
      </c>
      <c r="C40" s="7" t="s">
        <v>191</v>
      </c>
      <c r="D40" t="s">
        <v>192</v>
      </c>
      <c r="E40" s="13">
        <v>57.499614000000008</v>
      </c>
      <c r="F40" s="13">
        <v>7.9626729999999988</v>
      </c>
      <c r="G40" s="10">
        <v>0.13848219920224156</v>
      </c>
      <c r="H40">
        <v>45</v>
      </c>
      <c r="I40">
        <v>9</v>
      </c>
      <c r="J40" s="10">
        <v>0.2</v>
      </c>
    </row>
    <row r="41" spans="1:10">
      <c r="A41" t="s">
        <v>193</v>
      </c>
      <c r="B41" t="s">
        <v>194</v>
      </c>
      <c r="C41" s="7" t="s">
        <v>332</v>
      </c>
      <c r="D41" t="s">
        <v>333</v>
      </c>
      <c r="E41" s="13">
        <v>0.20527299999999998</v>
      </c>
      <c r="F41" s="13">
        <v>5.5872999999999999E-2</v>
      </c>
      <c r="G41" s="10">
        <v>0.27218874377049102</v>
      </c>
    </row>
    <row r="42" spans="1:10">
      <c r="A42" t="s">
        <v>193</v>
      </c>
      <c r="B42" t="s">
        <v>194</v>
      </c>
      <c r="C42" s="7" t="s">
        <v>195</v>
      </c>
      <c r="D42" t="s">
        <v>196</v>
      </c>
      <c r="E42" s="13">
        <v>82.483992000000001</v>
      </c>
      <c r="F42" s="13">
        <v>12.371761000000001</v>
      </c>
      <c r="G42" s="10">
        <v>0.14998984287763378</v>
      </c>
      <c r="H42">
        <v>66</v>
      </c>
      <c r="I42">
        <v>17</v>
      </c>
      <c r="J42" s="10">
        <v>0.25757575757575757</v>
      </c>
    </row>
    <row r="43" spans="1:10">
      <c r="A43" t="s">
        <v>193</v>
      </c>
      <c r="B43" t="s">
        <v>194</v>
      </c>
      <c r="C43" s="7" t="s">
        <v>197</v>
      </c>
      <c r="D43" t="s">
        <v>198</v>
      </c>
      <c r="E43" s="13">
        <v>108.86408299999998</v>
      </c>
      <c r="F43" s="13">
        <v>16.033559000000004</v>
      </c>
      <c r="G43" s="10">
        <v>0.14728052226371122</v>
      </c>
      <c r="H43">
        <v>87</v>
      </c>
      <c r="I43">
        <v>42</v>
      </c>
      <c r="J43" s="10">
        <v>0.48275862068965519</v>
      </c>
    </row>
    <row r="44" spans="1:10">
      <c r="A44" t="s">
        <v>193</v>
      </c>
      <c r="B44" t="s">
        <v>194</v>
      </c>
      <c r="C44" s="7" t="s">
        <v>199</v>
      </c>
      <c r="D44" t="s">
        <v>200</v>
      </c>
      <c r="E44" s="13">
        <v>99.585404999999994</v>
      </c>
      <c r="F44" s="13">
        <v>13.895074000000001</v>
      </c>
      <c r="G44" s="10">
        <v>0.13952922117452857</v>
      </c>
      <c r="H44">
        <v>88</v>
      </c>
      <c r="I44">
        <v>17</v>
      </c>
      <c r="J44" s="10">
        <v>0.19318181818181818</v>
      </c>
    </row>
    <row r="45" spans="1:10">
      <c r="A45" t="s">
        <v>193</v>
      </c>
      <c r="B45" t="s">
        <v>194</v>
      </c>
      <c r="C45" s="7" t="s">
        <v>201</v>
      </c>
      <c r="D45" t="s">
        <v>202</v>
      </c>
      <c r="E45" s="13">
        <v>80.691496999999984</v>
      </c>
      <c r="F45" s="13">
        <v>12.453887</v>
      </c>
      <c r="G45" s="10">
        <v>0.15433952105263338</v>
      </c>
      <c r="H45">
        <v>67</v>
      </c>
      <c r="I45">
        <v>8</v>
      </c>
      <c r="J45" s="10">
        <v>0.11940298507462686</v>
      </c>
    </row>
    <row r="46" spans="1:10">
      <c r="A46" t="s">
        <v>203</v>
      </c>
      <c r="B46" t="s">
        <v>204</v>
      </c>
      <c r="C46" s="7" t="s">
        <v>205</v>
      </c>
      <c r="D46" t="s">
        <v>206</v>
      </c>
      <c r="E46" s="13">
        <v>38.935734999999994</v>
      </c>
      <c r="F46" s="13">
        <v>5.649661</v>
      </c>
      <c r="G46" s="10">
        <v>0.14510220495388107</v>
      </c>
      <c r="H46">
        <v>26</v>
      </c>
      <c r="I46">
        <v>15</v>
      </c>
      <c r="J46" s="10">
        <v>0.57692307692307687</v>
      </c>
    </row>
    <row r="47" spans="1:10">
      <c r="A47" t="s">
        <v>203</v>
      </c>
      <c r="B47" t="s">
        <v>204</v>
      </c>
      <c r="C47" s="7" t="s">
        <v>207</v>
      </c>
      <c r="D47" t="s">
        <v>208</v>
      </c>
      <c r="E47" s="13">
        <v>46.78666599999999</v>
      </c>
      <c r="F47" s="13">
        <v>6.2200430000000004</v>
      </c>
      <c r="G47" s="10">
        <v>0.13294477960878859</v>
      </c>
      <c r="H47">
        <v>37</v>
      </c>
      <c r="I47">
        <v>3</v>
      </c>
      <c r="J47" s="10">
        <v>8.1081081081081086E-2</v>
      </c>
    </row>
    <row r="48" spans="1:10">
      <c r="A48" t="s">
        <v>203</v>
      </c>
      <c r="B48" t="s">
        <v>204</v>
      </c>
      <c r="C48" s="7" t="s">
        <v>209</v>
      </c>
      <c r="D48" t="s">
        <v>210</v>
      </c>
      <c r="E48" s="13">
        <v>38.492014999999995</v>
      </c>
      <c r="F48" s="13">
        <v>5.7972679999999999</v>
      </c>
      <c r="G48" s="10">
        <v>0.15060962643810671</v>
      </c>
      <c r="H48">
        <v>31</v>
      </c>
      <c r="I48">
        <v>11</v>
      </c>
      <c r="J48" s="10">
        <v>0.35483870967741937</v>
      </c>
    </row>
    <row r="49" spans="1:10">
      <c r="A49" t="s">
        <v>211</v>
      </c>
      <c r="B49" t="s">
        <v>212</v>
      </c>
      <c r="C49" s="7" t="s">
        <v>213</v>
      </c>
      <c r="D49" t="s">
        <v>214</v>
      </c>
      <c r="E49" s="13">
        <v>46.839358999999995</v>
      </c>
      <c r="F49" s="13">
        <v>5.6955429999999989</v>
      </c>
      <c r="G49" s="10">
        <v>0.12159737284192979</v>
      </c>
      <c r="H49">
        <v>38</v>
      </c>
      <c r="I49">
        <v>11</v>
      </c>
      <c r="J49" s="10">
        <v>0.28947368421052633</v>
      </c>
    </row>
    <row r="50" spans="1:10">
      <c r="A50" t="s">
        <v>211</v>
      </c>
      <c r="B50" t="s">
        <v>212</v>
      </c>
      <c r="C50" s="7" t="s">
        <v>215</v>
      </c>
      <c r="D50" t="s">
        <v>216</v>
      </c>
      <c r="E50" s="13">
        <v>33.643702000000012</v>
      </c>
      <c r="F50" s="13">
        <v>5.0685470000000006</v>
      </c>
      <c r="G50" s="10">
        <v>0.1506536646888621</v>
      </c>
      <c r="H50">
        <v>32</v>
      </c>
      <c r="I50">
        <v>6</v>
      </c>
      <c r="J50" s="10">
        <v>0.1875</v>
      </c>
    </row>
    <row r="51" spans="1:10">
      <c r="A51" t="s">
        <v>211</v>
      </c>
      <c r="B51" t="s">
        <v>212</v>
      </c>
      <c r="C51" s="7" t="s">
        <v>217</v>
      </c>
      <c r="D51" t="s">
        <v>218</v>
      </c>
      <c r="E51" s="13">
        <v>48.766970000000001</v>
      </c>
      <c r="F51" s="13">
        <v>7.591715999999999</v>
      </c>
      <c r="G51" s="10">
        <v>0.15567331741135443</v>
      </c>
      <c r="H51">
        <v>35</v>
      </c>
      <c r="I51">
        <v>14</v>
      </c>
      <c r="J51" s="10">
        <v>0.4</v>
      </c>
    </row>
    <row r="52" spans="1:10">
      <c r="A52" t="s">
        <v>211</v>
      </c>
      <c r="B52" t="s">
        <v>212</v>
      </c>
      <c r="C52" s="7" t="s">
        <v>219</v>
      </c>
      <c r="D52" t="s">
        <v>220</v>
      </c>
      <c r="E52" s="13">
        <v>38.292272000000004</v>
      </c>
      <c r="F52" s="13">
        <v>5.2072129999999985</v>
      </c>
      <c r="G52" s="10">
        <v>0.13598600260647886</v>
      </c>
      <c r="H52">
        <v>37</v>
      </c>
      <c r="I52">
        <v>6</v>
      </c>
      <c r="J52" s="10">
        <v>0.16216216216216217</v>
      </c>
    </row>
    <row r="53" spans="1:10">
      <c r="A53" t="s">
        <v>221</v>
      </c>
      <c r="B53" t="s">
        <v>222</v>
      </c>
      <c r="C53" s="7" t="s">
        <v>223</v>
      </c>
      <c r="D53" t="s">
        <v>224</v>
      </c>
      <c r="E53" s="13">
        <v>32.462551999999988</v>
      </c>
      <c r="F53" s="13">
        <v>4.8127949999999986</v>
      </c>
      <c r="G53" s="10">
        <v>0.14825682836025955</v>
      </c>
      <c r="H53">
        <v>27</v>
      </c>
      <c r="I53">
        <v>26</v>
      </c>
      <c r="J53" s="10">
        <v>0.96296296296296291</v>
      </c>
    </row>
    <row r="54" spans="1:10">
      <c r="A54" t="s">
        <v>221</v>
      </c>
      <c r="B54" t="s">
        <v>222</v>
      </c>
      <c r="C54" s="7" t="s">
        <v>225</v>
      </c>
      <c r="D54" t="s">
        <v>226</v>
      </c>
      <c r="E54" s="13">
        <v>38.801836999999992</v>
      </c>
      <c r="F54" s="13">
        <v>5.1375490000000008</v>
      </c>
      <c r="G54" s="10">
        <v>0.13240478794857063</v>
      </c>
      <c r="H54">
        <v>34</v>
      </c>
      <c r="I54">
        <v>17</v>
      </c>
      <c r="J54" s="10">
        <v>0.5</v>
      </c>
    </row>
    <row r="55" spans="1:10">
      <c r="A55" t="s">
        <v>227</v>
      </c>
      <c r="B55" t="s">
        <v>228</v>
      </c>
      <c r="C55" s="7" t="s">
        <v>229</v>
      </c>
      <c r="D55" t="s">
        <v>230</v>
      </c>
      <c r="E55" s="13">
        <v>2.2727000000000001E-2</v>
      </c>
      <c r="F55" s="13">
        <v>5.7270000000000003E-3</v>
      </c>
      <c r="G55" s="10">
        <v>0.25199102389228673</v>
      </c>
    </row>
    <row r="56" spans="1:10">
      <c r="A56" t="s">
        <v>227</v>
      </c>
      <c r="B56" t="s">
        <v>228</v>
      </c>
      <c r="C56" s="7" t="s">
        <v>231</v>
      </c>
      <c r="D56" t="s">
        <v>232</v>
      </c>
      <c r="E56" s="13">
        <v>57.754537999999997</v>
      </c>
      <c r="F56" s="13">
        <v>7.2969740000000005</v>
      </c>
      <c r="G56" s="10">
        <v>0.12634459996892367</v>
      </c>
      <c r="H56">
        <v>57</v>
      </c>
      <c r="I56">
        <v>14</v>
      </c>
      <c r="J56" s="10">
        <v>0.24561403508771928</v>
      </c>
    </row>
    <row r="57" spans="1:10">
      <c r="A57" t="s">
        <v>227</v>
      </c>
      <c r="B57" t="s">
        <v>228</v>
      </c>
      <c r="C57" s="7" t="s">
        <v>233</v>
      </c>
      <c r="D57" t="s">
        <v>234</v>
      </c>
      <c r="E57" s="13">
        <v>76.584877000000006</v>
      </c>
      <c r="F57" s="13">
        <v>9.5168140000000019</v>
      </c>
      <c r="G57" s="10">
        <v>0.12426492504518877</v>
      </c>
      <c r="H57">
        <v>56</v>
      </c>
      <c r="I57">
        <v>19</v>
      </c>
      <c r="J57" s="10">
        <v>0.3392857142857143</v>
      </c>
    </row>
    <row r="58" spans="1:10">
      <c r="A58" t="s">
        <v>227</v>
      </c>
      <c r="B58" t="s">
        <v>228</v>
      </c>
      <c r="C58" s="7" t="s">
        <v>235</v>
      </c>
      <c r="D58" t="s">
        <v>236</v>
      </c>
      <c r="E58" s="13">
        <v>102.31037099999998</v>
      </c>
      <c r="F58" s="13">
        <v>12.878648000000002</v>
      </c>
      <c r="G58" s="10">
        <v>0.12587822597183237</v>
      </c>
      <c r="H58">
        <v>73</v>
      </c>
      <c r="I58">
        <v>40</v>
      </c>
      <c r="J58" s="10">
        <v>0.54794520547945202</v>
      </c>
    </row>
    <row r="59" spans="1:10">
      <c r="A59" t="s">
        <v>227</v>
      </c>
      <c r="B59" t="s">
        <v>228</v>
      </c>
      <c r="C59" s="7" t="s">
        <v>237</v>
      </c>
      <c r="D59" t="s">
        <v>238</v>
      </c>
      <c r="E59" s="13">
        <v>81.84008200000001</v>
      </c>
      <c r="F59" s="13">
        <v>11.169245</v>
      </c>
      <c r="G59" s="10">
        <v>0.13647646394098187</v>
      </c>
      <c r="H59">
        <v>74</v>
      </c>
      <c r="I59">
        <v>25</v>
      </c>
      <c r="J59" s="10">
        <v>0.33783783783783783</v>
      </c>
    </row>
    <row r="60" spans="1:10">
      <c r="A60" t="s">
        <v>227</v>
      </c>
      <c r="B60" t="s">
        <v>228</v>
      </c>
      <c r="C60" s="7" t="s">
        <v>239</v>
      </c>
      <c r="D60" t="s">
        <v>240</v>
      </c>
      <c r="E60" s="13">
        <v>79.964650999999989</v>
      </c>
      <c r="F60" s="13">
        <v>11.416686000000002</v>
      </c>
      <c r="G60" s="10">
        <v>0.14277166044281245</v>
      </c>
      <c r="H60">
        <v>77</v>
      </c>
      <c r="I60">
        <v>22</v>
      </c>
      <c r="J60" s="10">
        <v>0.2857142857142857</v>
      </c>
    </row>
    <row r="61" spans="1:10">
      <c r="A61" t="s">
        <v>227</v>
      </c>
      <c r="B61" t="s">
        <v>228</v>
      </c>
      <c r="C61" s="7" t="s">
        <v>241</v>
      </c>
      <c r="D61" t="s">
        <v>242</v>
      </c>
      <c r="E61" s="13">
        <v>80.695857999999973</v>
      </c>
      <c r="F61" s="13">
        <v>11.717508</v>
      </c>
      <c r="G61" s="10">
        <v>0.1452058171312833</v>
      </c>
      <c r="H61">
        <v>66</v>
      </c>
      <c r="I61">
        <v>20</v>
      </c>
      <c r="J61" s="10">
        <v>0.30303030303030304</v>
      </c>
    </row>
    <row r="62" spans="1:10">
      <c r="A62" t="s">
        <v>243</v>
      </c>
      <c r="B62" t="s">
        <v>244</v>
      </c>
      <c r="C62" s="7" t="s">
        <v>125</v>
      </c>
      <c r="D62" t="s">
        <v>126</v>
      </c>
      <c r="E62" s="13">
        <v>11.38851</v>
      </c>
      <c r="F62" s="13">
        <v>0.52222900000000005</v>
      </c>
      <c r="G62" s="10">
        <v>4.5855779202020289E-2</v>
      </c>
      <c r="H62">
        <v>17</v>
      </c>
      <c r="I62">
        <v>21</v>
      </c>
      <c r="J62" s="10">
        <v>1.2352941176470589</v>
      </c>
    </row>
    <row r="63" spans="1:10">
      <c r="A63" t="s">
        <v>243</v>
      </c>
      <c r="B63" t="s">
        <v>244</v>
      </c>
      <c r="C63" s="7" t="s">
        <v>245</v>
      </c>
      <c r="D63" t="s">
        <v>246</v>
      </c>
      <c r="E63" s="13">
        <v>72.403288000000003</v>
      </c>
      <c r="F63" s="13">
        <v>3.5354619999999999</v>
      </c>
      <c r="G63" s="10">
        <v>4.8830130476947398E-2</v>
      </c>
      <c r="H63">
        <v>50</v>
      </c>
      <c r="I63">
        <v>4</v>
      </c>
      <c r="J63" s="10">
        <v>0.08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A112B-D2DB-F24B-AEFB-DF150353DAC7}">
  <sheetPr codeName="工作表6"/>
  <dimension ref="A1:AV110"/>
  <sheetViews>
    <sheetView workbookViewId="0">
      <selection activeCell="A2" sqref="A2"/>
    </sheetView>
  </sheetViews>
  <sheetFormatPr baseColWidth="10" defaultRowHeight="15"/>
  <sheetData>
    <row r="1" spans="1:48">
      <c r="A1" t="s">
        <v>318</v>
      </c>
      <c r="D1" t="s">
        <v>321</v>
      </c>
      <c r="E1" s="10">
        <v>1</v>
      </c>
      <c r="M1" t="s">
        <v>319</v>
      </c>
    </row>
    <row r="2" spans="1:48">
      <c r="A2" t="s">
        <v>323</v>
      </c>
    </row>
    <row r="13" spans="1:48" s="15" customFormat="1">
      <c r="A13" s="23">
        <v>0.33247290401177926</v>
      </c>
      <c r="B13" s="23"/>
      <c r="C13" s="23"/>
      <c r="D13" s="23">
        <v>0.44453869989215539</v>
      </c>
      <c r="E13" s="23"/>
      <c r="F13" s="23"/>
      <c r="G13" s="23">
        <v>0.31019111782611114</v>
      </c>
      <c r="H13" s="23"/>
      <c r="I13" s="23"/>
      <c r="J13" s="23">
        <v>0.20325364427966666</v>
      </c>
      <c r="K13" s="23"/>
      <c r="L13" s="23"/>
      <c r="M13" s="23">
        <v>0.16255414191510004</v>
      </c>
      <c r="N13" s="23"/>
      <c r="O13" s="23"/>
      <c r="P13" s="23">
        <v>0.29908343866116682</v>
      </c>
      <c r="Q13" s="23"/>
      <c r="R13" s="23"/>
      <c r="S13" s="23">
        <v>0.52284551170839988</v>
      </c>
      <c r="T13" s="23"/>
      <c r="U13" s="23"/>
      <c r="V13" s="23">
        <v>0.30735444081234436</v>
      </c>
      <c r="W13" s="23"/>
      <c r="X13" s="23"/>
      <c r="Y13" s="23">
        <v>0.5179449254080557</v>
      </c>
      <c r="Z13" s="23"/>
      <c r="AA13" s="23"/>
      <c r="AB13" s="23">
        <v>0.28544110440069997</v>
      </c>
      <c r="AC13" s="23"/>
      <c r="AD13" s="23"/>
      <c r="AE13" s="23">
        <v>0.60900172575950007</v>
      </c>
      <c r="AF13" s="23"/>
      <c r="AG13" s="23"/>
      <c r="AH13" s="23">
        <v>0.19629970734876659</v>
      </c>
      <c r="AI13" s="23"/>
      <c r="AJ13" s="23"/>
      <c r="AK13" s="23">
        <v>0.26181133624581121</v>
      </c>
      <c r="AL13" s="23"/>
      <c r="AM13" s="23"/>
      <c r="AN13" s="23">
        <v>0.11055936854174445</v>
      </c>
      <c r="AO13" s="23"/>
      <c r="AP13" s="23"/>
      <c r="AQ13" s="23">
        <v>0.71112893003562228</v>
      </c>
      <c r="AR13" s="23"/>
      <c r="AS13" s="23"/>
      <c r="AT13" s="23">
        <v>4.5085467341544443E-2</v>
      </c>
      <c r="AU13" s="23"/>
      <c r="AV13" s="23"/>
    </row>
    <row r="15" spans="1:48">
      <c r="A15" t="s">
        <v>320</v>
      </c>
      <c r="D15" s="10">
        <v>7.3999999999999996E-2</v>
      </c>
    </row>
    <row r="32" spans="1:3">
      <c r="A32" t="s">
        <v>322</v>
      </c>
      <c r="C32" t="s">
        <v>323</v>
      </c>
    </row>
    <row r="47" spans="1:1">
      <c r="A47" t="s">
        <v>324</v>
      </c>
    </row>
    <row r="66" spans="1:1">
      <c r="A66" t="s">
        <v>325</v>
      </c>
    </row>
    <row r="110" spans="1:1">
      <c r="A110" t="s">
        <v>326</v>
      </c>
    </row>
  </sheetData>
  <mergeCells count="16">
    <mergeCell ref="P13:R13"/>
    <mergeCell ref="A13:C13"/>
    <mergeCell ref="D13:F13"/>
    <mergeCell ref="G13:I13"/>
    <mergeCell ref="J13:L13"/>
    <mergeCell ref="M13:O13"/>
    <mergeCell ref="AK13:AM13"/>
    <mergeCell ref="AN13:AP13"/>
    <mergeCell ref="AQ13:AS13"/>
    <mergeCell ref="AT13:AV13"/>
    <mergeCell ref="S13:U13"/>
    <mergeCell ref="V13:X13"/>
    <mergeCell ref="Y13:AA13"/>
    <mergeCell ref="AB13:AD13"/>
    <mergeCell ref="AE13:AG13"/>
    <mergeCell ref="AH13:AJ13"/>
  </mergeCells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7B4D-EDDC-7646-B1F7-BC61B9CCFCE3}">
  <sheetPr codeName="工作表9"/>
  <dimension ref="A1:M26"/>
  <sheetViews>
    <sheetView workbookViewId="0">
      <selection activeCell="G31" sqref="G31"/>
    </sheetView>
  </sheetViews>
  <sheetFormatPr baseColWidth="10" defaultRowHeight="15"/>
  <sheetData>
    <row r="1" spans="1:3">
      <c r="A1" t="s">
        <v>52</v>
      </c>
    </row>
    <row r="2" spans="1:3">
      <c r="A2" t="s">
        <v>61</v>
      </c>
      <c r="B2">
        <v>6</v>
      </c>
      <c r="C2" t="str">
        <f>VLOOKUP(A2,target!A:B,2,FALSE)</f>
        <v>A</v>
      </c>
    </row>
    <row r="3" spans="1:3">
      <c r="A3" t="s">
        <v>113</v>
      </c>
      <c r="B3">
        <v>5</v>
      </c>
      <c r="C3" t="str">
        <f>VLOOKUP(A3,target!A:B,2,FALSE)</f>
        <v>B</v>
      </c>
    </row>
    <row r="4" spans="1:3">
      <c r="A4" t="s">
        <v>127</v>
      </c>
      <c r="B4">
        <v>3</v>
      </c>
      <c r="C4" t="str">
        <f>VLOOKUP(A4,target!A:B,2,FALSE)</f>
        <v>C</v>
      </c>
    </row>
    <row r="5" spans="1:3">
      <c r="A5" t="s">
        <v>135</v>
      </c>
      <c r="B5">
        <v>3</v>
      </c>
      <c r="C5" t="str">
        <f>VLOOKUP(A5,target!A:B,2,FALSE)</f>
        <v>D</v>
      </c>
    </row>
    <row r="6" spans="1:3">
      <c r="A6" t="s">
        <v>141</v>
      </c>
      <c r="B6">
        <v>4</v>
      </c>
      <c r="C6" t="str">
        <f>VLOOKUP(A6,target!A:B,2,FALSE)</f>
        <v>E</v>
      </c>
    </row>
    <row r="7" spans="1:3">
      <c r="A7" t="s">
        <v>151</v>
      </c>
      <c r="B7">
        <v>5</v>
      </c>
      <c r="C7" t="str">
        <f>VLOOKUP(A7,target!A:B,2,FALSE)</f>
        <v>F</v>
      </c>
    </row>
    <row r="8" spans="1:3">
      <c r="A8" t="s">
        <v>163</v>
      </c>
      <c r="B8">
        <v>4</v>
      </c>
      <c r="C8" t="str">
        <f>VLOOKUP(A8,target!A:B,2,FALSE)</f>
        <v>G</v>
      </c>
    </row>
    <row r="9" spans="1:3">
      <c r="A9" t="s">
        <v>173</v>
      </c>
      <c r="B9">
        <v>5</v>
      </c>
      <c r="C9" t="str">
        <f>VLOOKUP(A9,target!A:B,2,FALSE)</f>
        <v>H</v>
      </c>
    </row>
    <row r="10" spans="1:3">
      <c r="A10" t="s">
        <v>185</v>
      </c>
      <c r="B10">
        <v>4</v>
      </c>
      <c r="C10" t="str">
        <f>VLOOKUP(A10,target!A:B,2,FALSE)</f>
        <v>I</v>
      </c>
    </row>
    <row r="11" spans="1:3">
      <c r="A11" t="s">
        <v>193</v>
      </c>
      <c r="B11">
        <v>5</v>
      </c>
      <c r="C11" t="str">
        <f>VLOOKUP(A11,target!A:B,2,FALSE)</f>
        <v>J</v>
      </c>
    </row>
    <row r="12" spans="1:3">
      <c r="A12" t="s">
        <v>203</v>
      </c>
      <c r="B12">
        <v>3</v>
      </c>
      <c r="C12" t="str">
        <f>VLOOKUP(A12,target!A:B,2,FALSE)</f>
        <v>K</v>
      </c>
    </row>
    <row r="13" spans="1:3">
      <c r="A13" t="s">
        <v>211</v>
      </c>
      <c r="B13">
        <v>4</v>
      </c>
      <c r="C13" t="str">
        <f>VLOOKUP(A13,target!A:B,2,FALSE)</f>
        <v>L</v>
      </c>
    </row>
    <row r="14" spans="1:3">
      <c r="A14" t="s">
        <v>221</v>
      </c>
      <c r="B14">
        <v>2</v>
      </c>
      <c r="C14" t="str">
        <f>VLOOKUP(A14,target!A:B,2,FALSE)</f>
        <v>M</v>
      </c>
    </row>
    <row r="15" spans="1:3">
      <c r="A15" t="s">
        <v>227</v>
      </c>
      <c r="B15">
        <v>7</v>
      </c>
      <c r="C15" t="str">
        <f>VLOOKUP(A15,target!A:B,2,FALSE)</f>
        <v>N</v>
      </c>
    </row>
    <row r="16" spans="1:3">
      <c r="A16" t="s">
        <v>243</v>
      </c>
      <c r="B16">
        <v>2</v>
      </c>
      <c r="C16" t="str">
        <f>VLOOKUP(A16,target!A:B,2,FALSE)</f>
        <v>O</v>
      </c>
    </row>
    <row r="26" spans="13:13">
      <c r="M26" s="1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3</vt:i4>
      </vt:variant>
    </vt:vector>
  </HeadingPairs>
  <TitlesOfParts>
    <vt:vector size="11" baseType="lpstr">
      <vt:lpstr>工作表1</vt:lpstr>
      <vt:lpstr>target</vt:lpstr>
      <vt:lpstr>A_SalesData</vt:lpstr>
      <vt:lpstr>B_ACPP+Data</vt:lpstr>
      <vt:lpstr>Shop_data_summary</vt:lpstr>
      <vt:lpstr>Staff_data_summary</vt:lpstr>
      <vt:lpstr>Chart</vt:lpstr>
      <vt:lpstr>testoo</vt:lpstr>
      <vt:lpstr>Shop_data_summary!Extract</vt:lpstr>
      <vt:lpstr>Staff_data_summary!Extract</vt:lpstr>
      <vt:lpstr>testoo!Extract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2020-04-22T07:18:46Z</dcterms:created>
  <dcterms:modified xsi:type="dcterms:W3CDTF">2020-05-08T03:35:56Z</dcterms:modified>
</cp:coreProperties>
</file>