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0" codeName="{B1BEFC71-4687-E4F5-767E-874F2C42665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teve/Documents/VBA_Project/Kor/"/>
    </mc:Choice>
  </mc:AlternateContent>
  <xr:revisionPtr revIDLastSave="0" documentId="13_ncr:1_{2C98FE31-9978-BC4D-B1A4-8D7E63A6E014}" xr6:coauthVersionLast="45" xr6:coauthVersionMax="45" xr10:uidLastSave="{00000000-0000-0000-0000-000000000000}"/>
  <bookViews>
    <workbookView xWindow="3780" yWindow="3340" windowWidth="27460" windowHeight="16560" activeTab="1" xr2:uid="{55CAC0E3-4DA2-8245-A7B7-AC00881F3B8E}"/>
  </bookViews>
  <sheets>
    <sheet name="target" sheetId="1" r:id="rId1"/>
    <sheet name="A_SalesData" sheetId="2" r:id="rId2"/>
    <sheet name="B_ACPP+Data" sheetId="3" r:id="rId3"/>
    <sheet name="Shop_data_summary" sheetId="4" r:id="rId4"/>
    <sheet name="Chart" sheetId="14" r:id="rId5"/>
    <sheet name="Staff_data_summary" sheetId="5" r:id="rId6"/>
    <sheet name="testoo" sheetId="7" state="hidden" r:id="rId7"/>
  </sheets>
  <definedNames>
    <definedName name="_xlnm._FilterDatabase" localSheetId="1" hidden="1">A_SalesData!$C$10:$C$255</definedName>
    <definedName name="_xlnm._FilterDatabase" localSheetId="5" hidden="1">Staff_data_summary!$A$1:$A$15</definedName>
    <definedName name="_xlnm.Extract" localSheetId="3">Shop_data_summary!$A$1</definedName>
    <definedName name="_xlnm.Extract" localSheetId="5">Staff_data_summary!$C$1</definedName>
    <definedName name="_xlnm.Extract" localSheetId="6">testoo!$A$1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" i="7" l="1"/>
  <c r="C2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Steve</author>
  </authors>
  <commentList>
    <comment ref="I1" authorId="0" shapeId="0" xr:uid="{B7B5DBDF-2988-1244-A73E-BDE4C1BC8166}">
      <text>
        <r>
          <rPr>
            <b/>
            <sz val="10"/>
            <color rgb="FF000000"/>
            <rFont val="Microsoft JhengHei UI"/>
            <charset val="136"/>
          </rPr>
          <t>Steve:</t>
        </r>
        <r>
          <rPr>
            <sz val="10"/>
            <color rgb="FF000000"/>
            <rFont val="Microsoft JhengHei UI"/>
            <charset val="136"/>
          </rPr>
          <t xml:space="preserve">
</t>
        </r>
        <r>
          <rPr>
            <sz val="10"/>
            <color rgb="FF000000"/>
            <rFont val="Microsoft JhengHei UI"/>
            <charset val="136"/>
          </rPr>
          <t>輸入前面單位的阿拉伯數字</t>
        </r>
        <r>
          <rPr>
            <sz val="10"/>
            <color rgb="FF000000"/>
            <rFont val="新細明體"/>
            <family val="1"/>
            <charset val="136"/>
          </rPr>
          <t xml:space="preserve">
</t>
        </r>
      </text>
    </comment>
    <comment ref="A2" authorId="0" shapeId="0" xr:uid="{6508A936-B1F3-6642-9CAA-70B30873283A}">
      <text>
        <r>
          <rPr>
            <b/>
            <sz val="10"/>
            <color rgb="FF000000"/>
            <rFont val="Microsoft JhengHei UI"/>
            <charset val="136"/>
          </rPr>
          <t>Steve:</t>
        </r>
        <r>
          <rPr>
            <sz val="10"/>
            <color rgb="FF000000"/>
            <rFont val="Microsoft JhengHei UI"/>
            <charset val="136"/>
          </rPr>
          <t xml:space="preserve">
</t>
        </r>
        <r>
          <rPr>
            <sz val="10"/>
            <color rgb="FF000000"/>
            <rFont val="Microsoft JhengHei UI"/>
            <charset val="136"/>
          </rPr>
          <t>代碼必須是文字格式</t>
        </r>
        <r>
          <rPr>
            <sz val="10"/>
            <color rgb="FF000000"/>
            <rFont val="新細明體"/>
            <family val="1"/>
            <charset val="136"/>
          </rPr>
          <t xml:space="preserve">
</t>
        </r>
      </text>
    </comment>
    <comment ref="B2" authorId="0" shapeId="0" xr:uid="{60200424-D0AA-1C43-9C39-81B414F3AF1B}">
      <text>
        <r>
          <rPr>
            <b/>
            <sz val="10"/>
            <color rgb="FF000000"/>
            <rFont val="Microsoft JhengHei UI"/>
            <charset val="136"/>
          </rPr>
          <t>Steve:</t>
        </r>
        <r>
          <rPr>
            <sz val="10"/>
            <color rgb="FF000000"/>
            <rFont val="Microsoft JhengHei UI"/>
            <charset val="136"/>
          </rPr>
          <t xml:space="preserve">
</t>
        </r>
        <r>
          <rPr>
            <sz val="10"/>
            <color rgb="FF000000"/>
            <rFont val="Microsoft JhengHei UI"/>
            <charset val="136"/>
          </rPr>
          <t>圖表門市的名稱可在這</t>
        </r>
        <r>
          <rPr>
            <sz val="10"/>
            <color rgb="FF000000"/>
            <rFont val="新細明體"/>
            <family val="1"/>
            <charset val="136"/>
          </rPr>
          <t xml:space="preserve">
</t>
        </r>
        <r>
          <rPr>
            <sz val="10"/>
            <color rgb="FF000000"/>
            <rFont val="Microsoft JhengHei UI"/>
            <charset val="136"/>
          </rPr>
          <t>自行變更</t>
        </r>
      </text>
    </comment>
    <comment ref="C2" authorId="0" shapeId="0" xr:uid="{0C5A1C72-2EDC-2844-8288-F1B54EBEFD2C}">
      <text>
        <r>
          <rPr>
            <b/>
            <sz val="10"/>
            <color rgb="FF000000"/>
            <rFont val="Microsoft JhengHei UI"/>
            <charset val="136"/>
          </rPr>
          <t>Steve:</t>
        </r>
        <r>
          <rPr>
            <sz val="10"/>
            <color rgb="FF000000"/>
            <rFont val="Microsoft JhengHei UI"/>
            <charset val="136"/>
          </rPr>
          <t xml:space="preserve">
</t>
        </r>
        <r>
          <rPr>
            <sz val="10"/>
            <color rgb="FF000000"/>
            <rFont val="Microsoft JhengHei UI"/>
            <charset val="136"/>
          </rPr>
          <t>必須以Ｈ</t>
        </r>
        <r>
          <rPr>
            <sz val="10"/>
            <color rgb="FF000000"/>
            <rFont val="新細明體"/>
            <family val="1"/>
            <charset val="136"/>
          </rPr>
          <t>1</t>
        </r>
        <r>
          <rPr>
            <sz val="10"/>
            <color rgb="FF000000"/>
            <rFont val="Microsoft JhengHei UI"/>
            <charset val="136"/>
          </rPr>
          <t>欄位為單位</t>
        </r>
        <r>
          <rPr>
            <sz val="10"/>
            <color rgb="FF000000"/>
            <rFont val="新細明體"/>
            <family val="1"/>
            <charset val="136"/>
          </rPr>
          <t xml:space="preserve">
</t>
        </r>
        <r>
          <rPr>
            <sz val="10"/>
            <color rgb="FF000000"/>
            <rFont val="新細明體"/>
            <family val="1"/>
            <charset val="136"/>
          </rPr>
          <t xml:space="preserve">ex. unit is K .1,000,000  = 1000
</t>
        </r>
      </text>
    </comment>
  </commentList>
</comments>
</file>

<file path=xl/sharedStrings.xml><?xml version="1.0" encoding="utf-8"?>
<sst xmlns="http://schemas.openxmlformats.org/spreadsheetml/2006/main" count="2256" uniqueCount="193">
  <si>
    <t>Margin Target</t>
    <phoneticPr fontId="2" type="noConversion"/>
  </si>
  <si>
    <t>3PP Attach rate Target</t>
    <phoneticPr fontId="2" type="noConversion"/>
  </si>
  <si>
    <t>unit:</t>
    <phoneticPr fontId="2" type="noConversion"/>
  </si>
  <si>
    <t>K206</t>
  </si>
  <si>
    <t>중동점</t>
    <phoneticPr fontId="2" type="noConversion"/>
  </si>
  <si>
    <t>K208</t>
  </si>
  <si>
    <t>압구정</t>
    <phoneticPr fontId="2" type="noConversion"/>
  </si>
  <si>
    <t>K212</t>
  </si>
  <si>
    <t>일산점</t>
    <phoneticPr fontId="2" type="noConversion"/>
  </si>
  <si>
    <t>K213</t>
  </si>
  <si>
    <t>송도점</t>
    <phoneticPr fontId="2" type="noConversion"/>
  </si>
  <si>
    <t>[:  ].QTy</t>
  </si>
  <si>
    <t>3001</t>
  </si>
  <si>
    <t>APL主機(APL본체</t>
  </si>
  <si>
    <t>4004</t>
  </si>
  <si>
    <t>iPhone</t>
  </si>
  <si>
    <t>4002</t>
  </si>
  <si>
    <t>NoteBook</t>
  </si>
  <si>
    <t>4005</t>
  </si>
  <si>
    <t>iPad</t>
  </si>
  <si>
    <t>4006</t>
  </si>
  <si>
    <t>iPad Mini</t>
  </si>
  <si>
    <t>4038</t>
  </si>
  <si>
    <t>Apple Watch</t>
  </si>
  <si>
    <t>4041</t>
  </si>
  <si>
    <t>iPad Pro</t>
  </si>
  <si>
    <t>3002</t>
  </si>
  <si>
    <t>APL週邊配件(APL주변기기</t>
  </si>
  <si>
    <t>4007</t>
  </si>
  <si>
    <t>CPU週邊配件CPU주변기기</t>
  </si>
  <si>
    <t>4009</t>
  </si>
  <si>
    <t>iPhone週邊配件iPhone주변기기</t>
  </si>
  <si>
    <t>4010</t>
  </si>
  <si>
    <t>iPad週邊配件iPad주변기기</t>
  </si>
  <si>
    <t>3003</t>
  </si>
  <si>
    <t>3PP週邊配件(3PP주변기기</t>
  </si>
  <si>
    <t>4014</t>
  </si>
  <si>
    <t>耳機이어폰</t>
  </si>
  <si>
    <t>4039</t>
  </si>
  <si>
    <t>Apple Watch 周边配件Apple Watch 주변기기</t>
  </si>
  <si>
    <t>3006</t>
  </si>
  <si>
    <t>其他收入기타수익</t>
  </si>
  <si>
    <t>4021</t>
  </si>
  <si>
    <t>5087</t>
  </si>
  <si>
    <t>AirPods</t>
  </si>
  <si>
    <t>6248</t>
  </si>
  <si>
    <t>Airpods Pro</t>
  </si>
  <si>
    <t>Target</t>
    <phoneticPr fontId="2" type="noConversion"/>
  </si>
  <si>
    <t>Target80%</t>
    <phoneticPr fontId="2" type="noConversion"/>
  </si>
  <si>
    <t>get%</t>
    <phoneticPr fontId="2" type="noConversion"/>
  </si>
  <si>
    <t>3pp</t>
    <phoneticPr fontId="2" type="noConversion"/>
  </si>
  <si>
    <t>3ppTarget</t>
    <phoneticPr fontId="2" type="noConversion"/>
  </si>
  <si>
    <t>get3ppAttTargtRate</t>
    <phoneticPr fontId="2" type="noConversion"/>
  </si>
  <si>
    <t>iPad</t>
    <phoneticPr fontId="2" type="noConversion"/>
  </si>
  <si>
    <t>watch</t>
    <phoneticPr fontId="2" type="noConversion"/>
  </si>
  <si>
    <t>iPhone</t>
    <phoneticPr fontId="2" type="noConversion"/>
  </si>
  <si>
    <t>airpod</t>
    <phoneticPr fontId="2" type="noConversion"/>
  </si>
  <si>
    <t>TotalSales</t>
    <phoneticPr fontId="2" type="noConversion"/>
  </si>
  <si>
    <t>Total</t>
  </si>
  <si>
    <t>Margin Target</t>
  </si>
  <si>
    <t>Target</t>
  </si>
  <si>
    <t>3PP Attach Rate</t>
  </si>
  <si>
    <t>Apple (Unit: pcs)</t>
  </si>
  <si>
    <t>Personal Performance</t>
  </si>
  <si>
    <t>CPU (Unit: psc)</t>
  </si>
  <si>
    <t>Apple Care + Attach % Perfornance</t>
  </si>
  <si>
    <t>Personal performnce to sell Apple Care+ (Attach%)</t>
  </si>
  <si>
    <t>K</t>
    <phoneticPr fontId="2" type="noConversion"/>
  </si>
  <si>
    <t>003</t>
    <phoneticPr fontId="2" type="noConversion"/>
  </si>
  <si>
    <t>A</t>
    <phoneticPr fontId="2" type="noConversion"/>
  </si>
  <si>
    <t>004</t>
    <phoneticPr fontId="2" type="noConversion"/>
  </si>
  <si>
    <t>B</t>
    <phoneticPr fontId="2" type="noConversion"/>
  </si>
  <si>
    <t>C</t>
    <phoneticPr fontId="2" type="noConversion"/>
  </si>
  <si>
    <t>002</t>
    <phoneticPr fontId="2" type="noConversion"/>
  </si>
  <si>
    <t>4017</t>
  </si>
  <si>
    <t>其他週邊配件기타주변기기</t>
  </si>
  <si>
    <t/>
  </si>
  <si>
    <t>4001</t>
  </si>
  <si>
    <t>Desktop</t>
  </si>
  <si>
    <t>4013</t>
  </si>
  <si>
    <t>Speakers</t>
  </si>
  <si>
    <t>C</t>
  </si>
  <si>
    <t>B</t>
  </si>
  <si>
    <t>Unit: K</t>
  </si>
  <si>
    <t>003</t>
  </si>
  <si>
    <t>004</t>
  </si>
  <si>
    <t>門市代碼</t>
    <phoneticPr fontId="2" type="noConversion"/>
  </si>
  <si>
    <t>門市名稱</t>
    <phoneticPr fontId="2" type="noConversion"/>
  </si>
  <si>
    <t>Apple呆滯數</t>
    <phoneticPr fontId="2" type="noConversion"/>
  </si>
  <si>
    <t>呆滯目標數</t>
    <phoneticPr fontId="2" type="noConversion"/>
  </si>
  <si>
    <t>cpu銷售目標</t>
    <phoneticPr fontId="2" type="noConversion"/>
  </si>
  <si>
    <t>門市代碼</t>
  </si>
  <si>
    <t>門市名稱</t>
  </si>
  <si>
    <t>毛利目標</t>
  </si>
  <si>
    <t>3pp搭售目標</t>
  </si>
  <si>
    <t>Apple呆滯數</t>
  </si>
  <si>
    <t>呆滯目標數</t>
  </si>
  <si>
    <t>cpu銷售目標</t>
  </si>
  <si>
    <t>地點代碼</t>
  </si>
  <si>
    <t>地點名稱</t>
    <phoneticPr fontId="2" type="noConversion"/>
  </si>
  <si>
    <t>員工id</t>
    <phoneticPr fontId="2" type="noConversion"/>
  </si>
  <si>
    <t>員工名稱</t>
  </si>
  <si>
    <t>類別3代號</t>
    <phoneticPr fontId="2" type="noConversion"/>
  </si>
  <si>
    <t>類別3名稱</t>
  </si>
  <si>
    <t>類別4代碼</t>
  </si>
  <si>
    <t>類別4名稱</t>
  </si>
  <si>
    <t>[:  ].利潤</t>
  </si>
  <si>
    <t>總銷售額</t>
    <phoneticPr fontId="2" type="noConversion"/>
  </si>
  <si>
    <t>地點名稱</t>
  </si>
  <si>
    <t>員工代碼</t>
  </si>
  <si>
    <t>類別5代碼</t>
  </si>
  <si>
    <t>類別5名稱</t>
  </si>
  <si>
    <t>類別6代碼</t>
  </si>
  <si>
    <t>類別6名稱</t>
  </si>
  <si>
    <t>毛利Result</t>
    <phoneticPr fontId="2" type="noConversion"/>
  </si>
  <si>
    <t>3pp搭售率</t>
    <phoneticPr fontId="2" type="noConversion"/>
  </si>
  <si>
    <t>cpu銷售數量</t>
    <phoneticPr fontId="2" type="noConversion"/>
  </si>
  <si>
    <t>cpu目標達成率</t>
    <phoneticPr fontId="2" type="noConversion"/>
  </si>
  <si>
    <t>CPU_acpp</t>
    <phoneticPr fontId="2" type="noConversion"/>
  </si>
  <si>
    <t>acpp cpu搭售率</t>
    <phoneticPr fontId="2" type="noConversion"/>
  </si>
  <si>
    <t>acpp ipad</t>
    <phoneticPr fontId="2" type="noConversion"/>
  </si>
  <si>
    <t>acpp ipad搭售</t>
    <phoneticPr fontId="2" type="noConversion"/>
  </si>
  <si>
    <t>acpp watch</t>
    <phoneticPr fontId="2" type="noConversion"/>
  </si>
  <si>
    <t>acpp watch att</t>
    <phoneticPr fontId="2" type="noConversion"/>
  </si>
  <si>
    <t>acpp iphone</t>
    <phoneticPr fontId="2" type="noConversion"/>
  </si>
  <si>
    <t>acpp iphone att</t>
    <phoneticPr fontId="2" type="noConversion"/>
  </si>
  <si>
    <t>acpp airpod</t>
    <phoneticPr fontId="2" type="noConversion"/>
  </si>
  <si>
    <t>acpp airpod att</t>
    <phoneticPr fontId="2" type="noConversion"/>
  </si>
  <si>
    <t>員工名稱</t>
    <phoneticPr fontId="2" type="noConversion"/>
  </si>
  <si>
    <t>銷售額</t>
    <phoneticPr fontId="2" type="noConversion"/>
  </si>
  <si>
    <t>毛利額</t>
    <phoneticPr fontId="2" type="noConversion"/>
  </si>
  <si>
    <t>毛利率</t>
    <phoneticPr fontId="2" type="noConversion"/>
  </si>
  <si>
    <t>Acpp裝置</t>
    <phoneticPr fontId="2" type="noConversion"/>
  </si>
  <si>
    <t>Acpp銷售</t>
    <phoneticPr fontId="2" type="noConversion"/>
  </si>
  <si>
    <t>ACPP搭配率</t>
    <phoneticPr fontId="2" type="noConversion"/>
  </si>
  <si>
    <t>大立門市</t>
  </si>
  <si>
    <t>SA1334</t>
  </si>
  <si>
    <t>翁靖雅</t>
  </si>
  <si>
    <t>SA1419</t>
  </si>
  <si>
    <t>何珍妮</t>
  </si>
  <si>
    <t>6069</t>
  </si>
  <si>
    <t>耳機-藍芽(이어폰-블루투스</t>
  </si>
  <si>
    <t>SA1815</t>
  </si>
  <si>
    <t>甘美華</t>
  </si>
  <si>
    <t>SA819</t>
  </si>
  <si>
    <t>侯韋丞</t>
  </si>
  <si>
    <t>士林門市</t>
  </si>
  <si>
    <t>SA1372</t>
  </si>
  <si>
    <t>陳政佑</t>
  </si>
  <si>
    <t>SA1605</t>
  </si>
  <si>
    <t>彭宏基</t>
  </si>
  <si>
    <t>SA1719</t>
  </si>
  <si>
    <t>邱柏瑜</t>
  </si>
  <si>
    <t>SA1840</t>
  </si>
  <si>
    <t>王思予</t>
  </si>
  <si>
    <t>SA1893</t>
  </si>
  <si>
    <t>李宗駿</t>
  </si>
  <si>
    <t>SA1966</t>
  </si>
  <si>
    <t>王至潔</t>
  </si>
  <si>
    <t>4012</t>
  </si>
  <si>
    <t>CPU/iOS通用週邊配件CPU/iOS 공용주변기기</t>
  </si>
  <si>
    <t>4058</t>
  </si>
  <si>
    <t>Studio A 商品卷</t>
  </si>
  <si>
    <t>3012</t>
  </si>
  <si>
    <t>SA CARE</t>
  </si>
  <si>
    <t>4040</t>
  </si>
  <si>
    <t>4016</t>
  </si>
  <si>
    <t>Beats</t>
  </si>
  <si>
    <t>3023</t>
  </si>
  <si>
    <t>4026</t>
  </si>
  <si>
    <t>SmartA週邊產品SmartA주변상품</t>
  </si>
  <si>
    <t>SA1915</t>
  </si>
  <si>
    <t>林衿融</t>
  </si>
  <si>
    <t>SA251</t>
  </si>
  <si>
    <t>鄭羽倫</t>
  </si>
  <si>
    <t>SA351</t>
  </si>
  <si>
    <t>蕭希文</t>
  </si>
  <si>
    <t>4022</t>
  </si>
  <si>
    <t>iOS通用週邊配件iOS공용주변기기</t>
  </si>
  <si>
    <t>3020</t>
  </si>
  <si>
    <t>舊換新</t>
  </si>
  <si>
    <t>4057</t>
  </si>
  <si>
    <t>4975</t>
  </si>
  <si>
    <t>舊換新-CPU</t>
  </si>
  <si>
    <t>SA1530</t>
  </si>
  <si>
    <t>陳政諺</t>
  </si>
  <si>
    <t>3024</t>
  </si>
  <si>
    <t>即享卷</t>
  </si>
  <si>
    <t>4059</t>
  </si>
  <si>
    <t>3033</t>
  </si>
  <si>
    <t>SA認證機</t>
  </si>
  <si>
    <t>4977</t>
  </si>
  <si>
    <t>舊換新-iPhone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</si>
</sst>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"/>
    <numFmt numFmtId="177" formatCode="0.0%"/>
  </numFmts>
  <fonts count="1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8"/>
      <name val="Arial"/>
      <family val="2"/>
    </font>
    <font>
      <sz val="12"/>
      <color theme="1"/>
      <name val="PMingLiU"/>
      <family val="1"/>
      <charset val="136"/>
    </font>
    <font>
      <sz val="12"/>
      <color rgb="FF000000"/>
      <name val="新細明體"/>
      <family val="1"/>
      <charset val="136"/>
    </font>
    <font>
      <b/>
      <sz val="8"/>
      <name val="Arial"/>
      <family val="2"/>
    </font>
    <font>
      <sz val="10"/>
      <color indexed="8"/>
      <name val="맑은 고딕"/>
      <family val="3"/>
      <charset val="129"/>
    </font>
    <font>
      <sz val="10"/>
      <color rgb="FF000000"/>
      <name val="新細明體"/>
      <family val="1"/>
      <charset val="136"/>
    </font>
    <font>
      <b/>
      <sz val="10"/>
      <color rgb="FF000000"/>
      <name val="Microsoft JhengHei UI"/>
      <charset val="136"/>
    </font>
    <font>
      <sz val="10"/>
      <color rgb="FF000000"/>
      <name val="Microsoft JhengHei UI"/>
      <charset val="136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23">
    <xf numFmtId="0" fontId="0" fillId="0" borderId="0" xfId="0">
      <alignment vertical="center"/>
    </xf>
    <xf numFmtId="9" fontId="0" fillId="2" borderId="0" xfId="0" applyNumberFormat="1" applyFill="1">
      <alignment vertical="center"/>
    </xf>
    <xf numFmtId="10" fontId="0" fillId="2" borderId="0" xfId="0" applyNumberFormat="1" applyFill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9" fontId="0" fillId="3" borderId="0" xfId="0" applyNumberFormat="1" applyFill="1">
      <alignment vertical="center"/>
    </xf>
    <xf numFmtId="10" fontId="0" fillId="3" borderId="0" xfId="0" applyNumberFormat="1" applyFill="1">
      <alignment vertical="center"/>
    </xf>
    <xf numFmtId="0" fontId="3" fillId="4" borderId="1" xfId="0" applyFont="1" applyFill="1" applyBorder="1" applyAlignment="1"/>
    <xf numFmtId="0" fontId="4" fillId="4" borderId="1" xfId="0" applyFont="1" applyFill="1" applyBorder="1">
      <alignment vertical="center"/>
    </xf>
    <xf numFmtId="0" fontId="0" fillId="5" borderId="1" xfId="0" applyFill="1" applyBorder="1">
      <alignment vertical="center"/>
    </xf>
    <xf numFmtId="10" fontId="0" fillId="5" borderId="1" xfId="0" applyNumberFormat="1" applyFill="1" applyBorder="1">
      <alignment vertical="center"/>
    </xf>
    <xf numFmtId="0" fontId="0" fillId="5" borderId="0" xfId="0" applyFill="1">
      <alignment vertical="center"/>
    </xf>
    <xf numFmtId="0" fontId="3" fillId="0" borderId="2" xfId="0" applyFont="1" applyBorder="1" applyAlignment="1"/>
    <xf numFmtId="4" fontId="3" fillId="0" borderId="2" xfId="0" applyNumberFormat="1" applyFont="1" applyBorder="1" applyAlignment="1"/>
    <xf numFmtId="0" fontId="6" fillId="6" borderId="2" xfId="0" applyFont="1" applyFill="1" applyBorder="1" applyAlignment="1"/>
    <xf numFmtId="176" fontId="7" fillId="0" borderId="0" xfId="0" applyNumberFormat="1" applyFont="1" applyAlignment="1">
      <alignment horizontal="center" vertical="center"/>
    </xf>
    <xf numFmtId="176" fontId="0" fillId="0" borderId="0" xfId="0" applyNumberFormat="1">
      <alignment vertical="center"/>
    </xf>
    <xf numFmtId="177" fontId="0" fillId="0" borderId="0" xfId="1" applyNumberFormat="1" applyFont="1">
      <alignment vertical="center"/>
    </xf>
    <xf numFmtId="0" fontId="3" fillId="4" borderId="1" xfId="0" quotePrefix="1" applyFont="1" applyFill="1" applyBorder="1" applyAlignment="1"/>
    <xf numFmtId="177" fontId="0" fillId="0" borderId="0" xfId="1" applyNumberFormat="1" applyFont="1" applyAlignment="1">
      <alignment horizontal="center" vertical="center"/>
    </xf>
    <xf numFmtId="49" fontId="0" fillId="0" borderId="0" xfId="0" applyNumberFormat="1">
      <alignment vertical="center"/>
    </xf>
    <xf numFmtId="176" fontId="0" fillId="0" borderId="0" xfId="1" applyNumberFormat="1" applyFont="1">
      <alignment vertical="center"/>
    </xf>
    <xf numFmtId="177" fontId="0" fillId="0" borderId="0" xfId="1" applyNumberFormat="1" applyFont="1" applyAlignment="1">
      <alignment horizontal="center" vertical="center"/>
    </xf>
  </cellXfs>
  <cellStyles count="2">
    <cellStyle name="一般" xfId="0" builtinId="0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TW" sz="1300"/>
            </a:pPr>
            <a:r>
              <a:rPr lang="en-US"/>
              <a:t>TOTAL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Shop_data_summary!$C$1:$E$1</c:f>
              <c:strCache>
                <c:ptCount val="3"/>
                <c:pt idx="0">
                  <c:v>Target</c:v>
                </c:pt>
                <c:pt idx="1">
                  <c:v>Target80%</c:v>
                </c:pt>
                <c:pt idx="2">
                  <c:v>毛利Result</c:v>
                </c:pt>
              </c:strCache>
            </c:strRef>
          </c:cat>
          <c:val>
            <c:numRef>
              <c:f>Shop_data_summary!$C$4:$E$4</c:f>
              <c:numCache>
                <c:formatCode>0.0</c:formatCode>
                <c:ptCount val="3"/>
                <c:pt idx="0">
                  <c:v>2000000</c:v>
                </c:pt>
                <c:pt idx="1">
                  <c:v>1600000</c:v>
                </c:pt>
                <c:pt idx="2">
                  <c:v>492.19926314800011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5B-8E44-9A62-35DB486278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1576736"/>
        <c:axId val="347271424"/>
      </c:barChart>
      <c:catAx>
        <c:axId val="381576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47271424"/>
        <c:crosses val="autoZero"/>
        <c:auto val="1"/>
        <c:lblAlgn val="ctr"/>
        <c:lblOffset val="100"/>
        <c:noMultiLvlLbl val="0"/>
      </c:catAx>
      <c:valAx>
        <c:axId val="347271424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extTo"/>
        <c:crossAx val="38157673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TW" sz="1300"/>
            </a:pPr>
            <a:r>
              <a:rPr lang="en-US"/>
              <a:t>C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Shop_data_summary!$C$1:$E$1</c:f>
              <c:strCache>
                <c:ptCount val="3"/>
                <c:pt idx="0">
                  <c:v>Target</c:v>
                </c:pt>
                <c:pt idx="1">
                  <c:v>Target80%</c:v>
                </c:pt>
                <c:pt idx="2">
                  <c:v>毛利Result</c:v>
                </c:pt>
              </c:strCache>
            </c:strRef>
          </c:cat>
          <c:val>
            <c:numRef>
              <c:f>Shop_data_summary!$C$2:$E$2</c:f>
              <c:numCache>
                <c:formatCode>0.0</c:formatCode>
                <c:ptCount val="3"/>
                <c:pt idx="0">
                  <c:v>1000000</c:v>
                </c:pt>
                <c:pt idx="1">
                  <c:v>800000</c:v>
                </c:pt>
                <c:pt idx="2">
                  <c:v>106.87210709700003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2F-D940-A91D-CD0C0CD85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9060080"/>
        <c:axId val="718380816"/>
      </c:barChart>
      <c:catAx>
        <c:axId val="669060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18380816"/>
        <c:crosses val="autoZero"/>
        <c:auto val="1"/>
        <c:lblAlgn val="ctr"/>
        <c:lblOffset val="100"/>
        <c:noMultiLvlLbl val="0"/>
      </c:catAx>
      <c:valAx>
        <c:axId val="718380816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extTo"/>
        <c:crossAx val="669060080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TW" sz="1300"/>
            </a:pPr>
            <a:r>
              <a:rPr lang="en-US"/>
              <a:t>B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2051282051282051E-2"/>
          <c:y val="0.23913333333333331"/>
          <c:w val="0.88717948717948714"/>
          <c:h val="0.58848923884514437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Shop_data_summary!$C$1:$E$1</c:f>
              <c:strCache>
                <c:ptCount val="3"/>
                <c:pt idx="0">
                  <c:v>Target</c:v>
                </c:pt>
                <c:pt idx="1">
                  <c:v>Target80%</c:v>
                </c:pt>
                <c:pt idx="2">
                  <c:v>毛利Result</c:v>
                </c:pt>
              </c:strCache>
            </c:strRef>
          </c:cat>
          <c:val>
            <c:numRef>
              <c:f>Shop_data_summary!$C$3:$E$3</c:f>
              <c:numCache>
                <c:formatCode>0.0</c:formatCode>
                <c:ptCount val="3"/>
                <c:pt idx="0">
                  <c:v>1000000</c:v>
                </c:pt>
                <c:pt idx="1">
                  <c:v>800000</c:v>
                </c:pt>
                <c:pt idx="2">
                  <c:v>385.32715605100009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4E-0645-BF05-BF6AC59FB1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2022896"/>
        <c:axId val="348584720"/>
      </c:barChart>
      <c:catAx>
        <c:axId val="372022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48584720"/>
        <c:crosses val="autoZero"/>
        <c:auto val="1"/>
        <c:lblAlgn val="ctr"/>
        <c:lblOffset val="100"/>
        <c:noMultiLvlLbl val="0"/>
      </c:catAx>
      <c:valAx>
        <c:axId val="348584720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extTo"/>
        <c:crossAx val="372022896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Shop_data_summary!$I$1</c:f>
              <c:strCache>
                <c:ptCount val="1"/>
                <c:pt idx="0">
                  <c:v>3pp搭售率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Shop_data_summary!$B$2:$B$3</c:f>
              <c:strCache>
                <c:ptCount val="2"/>
                <c:pt idx="0">
                  <c:v>C</c:v>
                </c:pt>
                <c:pt idx="1">
                  <c:v>B</c:v>
                </c:pt>
              </c:strCache>
            </c:strRef>
          </c:cat>
          <c:val>
            <c:numRef>
              <c:f>Shop_data_summary!$I$2:$I$3</c:f>
              <c:numCache>
                <c:formatCode>0.0%</c:formatCode>
                <c:ptCount val="2"/>
                <c:pt idx="0">
                  <c:v>0.13018598353384281</c:v>
                </c:pt>
                <c:pt idx="1">
                  <c:v>7.7535445340125714E-2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C07-7444-B8DF-05BABAC6F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8515216"/>
        <c:axId val="348421680"/>
      </c:barChart>
      <c:scatterChart>
        <c:scatterStyle val="smoothMarker"/>
        <c:varyColors val="0"/>
        <c:ser>
          <c:idx val="0"/>
          <c:order val="0"/>
          <c:tx>
            <c:strRef>
              <c:f>Shop_data_summary!$H$1</c:f>
              <c:strCache>
                <c:ptCount val="1"/>
                <c:pt idx="0">
                  <c:v>3ppTarget</c:v>
                </c:pt>
              </c:strCache>
            </c:strRef>
          </c:tx>
          <c:marker>
            <c:symbol val="none"/>
          </c:marker>
          <c:xVal>
            <c:strRef>
              <c:f>Shop_data_summary!$B$2:$B$3</c:f>
              <c:strCache>
                <c:ptCount val="2"/>
                <c:pt idx="0">
                  <c:v>C</c:v>
                </c:pt>
                <c:pt idx="1">
                  <c:v>B</c:v>
                </c:pt>
              </c:strCache>
            </c:strRef>
          </c:xVal>
          <c:yVal>
            <c:numRef>
              <c:f>Shop_data_summary!$H$2:$H$3</c:f>
              <c:numCache>
                <c:formatCode>General</c:formatCode>
                <c:ptCount val="2"/>
                <c:pt idx="0">
                  <c:v>7.3999999999999996E-2</c:v>
                </c:pt>
                <c:pt idx="1">
                  <c:v>7.3999999999999996E-2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C07-7444-B8DF-05BABAC6F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8515216"/>
        <c:axId val="348421680"/>
      </c:scatterChart>
      <c:scatterChart>
        <c:scatterStyle val="smoothMarker"/>
        <c:varyColors val="0"/>
        <c:ser>
          <c:idx val="2"/>
          <c:order val="2"/>
          <c:tx>
            <c:strRef>
              <c:f>Shop_data_summary!$J$1</c:f>
              <c:strCache>
                <c:ptCount val="1"/>
                <c:pt idx="0">
                  <c:v>get3ppAttTargtRate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Shop_data_summary!$B$2:$B$3</c:f>
              <c:strCache>
                <c:ptCount val="2"/>
                <c:pt idx="0">
                  <c:v>C</c:v>
                </c:pt>
                <c:pt idx="1">
                  <c:v>B</c:v>
                </c:pt>
              </c:strCache>
            </c:strRef>
          </c:xVal>
          <c:yVal>
            <c:numRef>
              <c:f>Shop_data_summary!$J$2:$J$3</c:f>
              <c:numCache>
                <c:formatCode>0.0%</c:formatCode>
                <c:ptCount val="2"/>
                <c:pt idx="0">
                  <c:v>1.7592700477546326</c:v>
                </c:pt>
                <c:pt idx="1">
                  <c:v>1.0477762883800772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C07-7444-B8DF-05BABAC6F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660352"/>
        <c:axId val="670779472"/>
      </c:scatterChart>
      <c:catAx>
        <c:axId val="348515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48421680"/>
        <c:crosses val="autoZero"/>
        <c:auto val="1"/>
        <c:lblAlgn val="ctr"/>
        <c:lblOffset val="100"/>
        <c:noMultiLvlLbl val="0"/>
      </c:catAx>
      <c:valAx>
        <c:axId val="348421680"/>
        <c:scaling>
          <c:orientation val="minMax"/>
        </c:scaling>
        <c:delete val="0"/>
        <c:axPos val="l"/>
        <c:numFmt formatCode="0.0%" sourceLinked="1"/>
        <c:majorTickMark val="out"/>
        <c:minorTickMark val="none"/>
        <c:tickLblPos val="nextTo"/>
        <c:crossAx val="348515216"/>
        <c:crosses val="autoZero"/>
        <c:crossBetween val="between"/>
      </c:valAx>
      <c:valAx>
        <c:axId val="670779472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crossAx val="339660352"/>
        <c:crosses val="max"/>
        <c:crossBetween val="midCat"/>
      </c:valAx>
      <c:valAx>
        <c:axId val="33966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70779472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Shop_data_summary!$K$1</c:f>
              <c:strCache>
                <c:ptCount val="1"/>
                <c:pt idx="0">
                  <c:v>Apple呆滯數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Shop_data_summary!$B$2:$B$3</c:f>
              <c:strCache>
                <c:ptCount val="2"/>
                <c:pt idx="0">
                  <c:v>C</c:v>
                </c:pt>
                <c:pt idx="1">
                  <c:v>B</c:v>
                </c:pt>
              </c:strCache>
            </c:strRef>
          </c:cat>
          <c:val>
            <c:numRef>
              <c:f>Shop_data_summary!$K$2:$K$3</c:f>
              <c:numCache>
                <c:formatCode>General</c:formatCode>
                <c:ptCount val="2"/>
                <c:pt idx="0">
                  <c:v>16</c:v>
                </c:pt>
                <c:pt idx="1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91-EB47-9417-81320AD4DB76}"/>
            </c:ext>
          </c:extLst>
        </c:ser>
        <c:ser>
          <c:idx val="1"/>
          <c:order val="1"/>
          <c:tx>
            <c:strRef>
              <c:f>Shop_data_summary!$L$1</c:f>
              <c:strCache>
                <c:ptCount val="1"/>
                <c:pt idx="0">
                  <c:v>呆滯目標數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Shop_data_summary!$B$2:$B$3</c:f>
              <c:strCache>
                <c:ptCount val="2"/>
                <c:pt idx="0">
                  <c:v>C</c:v>
                </c:pt>
                <c:pt idx="1">
                  <c:v>B</c:v>
                </c:pt>
              </c:strCache>
            </c:strRef>
          </c:cat>
          <c:val>
            <c:numRef>
              <c:f>Shop_data_summary!$L$2:$L$3</c:f>
              <c:numCache>
                <c:formatCode>General</c:formatCode>
                <c:ptCount val="2"/>
                <c:pt idx="0">
                  <c:v>20</c:v>
                </c:pt>
                <c:pt idx="1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091-EB47-9417-81320AD4DB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8194016"/>
        <c:axId val="348347424"/>
      </c:barChart>
      <c:catAx>
        <c:axId val="348194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48347424"/>
        <c:crosses val="autoZero"/>
        <c:auto val="1"/>
        <c:lblAlgn val="ctr"/>
        <c:lblOffset val="100"/>
        <c:noMultiLvlLbl val="0"/>
      </c:catAx>
      <c:valAx>
        <c:axId val="34834742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348194016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Shop_data_summary!$M$1</c:f>
              <c:strCache>
                <c:ptCount val="1"/>
                <c:pt idx="0">
                  <c:v>cpu銷售數量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Shop_data_summary!$B$2:$B$3</c:f>
              <c:strCache>
                <c:ptCount val="2"/>
                <c:pt idx="0">
                  <c:v>C</c:v>
                </c:pt>
                <c:pt idx="1">
                  <c:v>B</c:v>
                </c:pt>
              </c:strCache>
            </c:strRef>
          </c:cat>
          <c:val>
            <c:numRef>
              <c:f>Shop_data_summary!$M$2:$M$3</c:f>
              <c:numCache>
                <c:formatCode>General</c:formatCode>
                <c:ptCount val="2"/>
                <c:pt idx="0">
                  <c:v>12</c:v>
                </c:pt>
                <c:pt idx="1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6D-5542-9B94-0E5672672360}"/>
            </c:ext>
          </c:extLst>
        </c:ser>
        <c:ser>
          <c:idx val="1"/>
          <c:order val="1"/>
          <c:tx>
            <c:strRef>
              <c:f>Shop_data_summary!$N$1</c:f>
              <c:strCache>
                <c:ptCount val="1"/>
                <c:pt idx="0">
                  <c:v>cpu銷售目標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Shop_data_summary!$B$2:$B$3</c:f>
              <c:strCache>
                <c:ptCount val="2"/>
                <c:pt idx="0">
                  <c:v>C</c:v>
                </c:pt>
                <c:pt idx="1">
                  <c:v>B</c:v>
                </c:pt>
              </c:strCache>
            </c:strRef>
          </c:cat>
          <c:val>
            <c:numRef>
              <c:f>Shop_data_summary!$N$2:$N$3</c:f>
              <c:numCache>
                <c:formatCode>General</c:formatCode>
                <c:ptCount val="2"/>
                <c:pt idx="0">
                  <c:v>120</c:v>
                </c:pt>
                <c:pt idx="1">
                  <c:v>120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D6D-5542-9B94-0E56726723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8011568"/>
        <c:axId val="341014368"/>
      </c:barChart>
      <c:scatterChart>
        <c:scatterStyle val="smoothMarker"/>
        <c:varyColors val="0"/>
        <c:ser>
          <c:idx val="2"/>
          <c:order val="2"/>
          <c:tx>
            <c:strRef>
              <c:f>Shop_data_summary!$O$1</c:f>
              <c:strCache>
                <c:ptCount val="1"/>
                <c:pt idx="0">
                  <c:v>cpu目標達成率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Shop_data_summary!$B$2:$B$3</c:f>
              <c:strCache>
                <c:ptCount val="2"/>
                <c:pt idx="0">
                  <c:v>C</c:v>
                </c:pt>
                <c:pt idx="1">
                  <c:v>B</c:v>
                </c:pt>
              </c:strCache>
            </c:strRef>
          </c:xVal>
          <c:yVal>
            <c:numRef>
              <c:f>Shop_data_summary!$O$2:$O$3</c:f>
              <c:numCache>
                <c:formatCode>0.0%</c:formatCode>
                <c:ptCount val="2"/>
                <c:pt idx="0">
                  <c:v>0.1</c:v>
                </c:pt>
                <c:pt idx="1">
                  <c:v>0.28333333333333333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D6D-5542-9B94-0E56726723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386576"/>
        <c:axId val="345868576"/>
      </c:scatterChart>
      <c:catAx>
        <c:axId val="338011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41014368"/>
        <c:crosses val="autoZero"/>
        <c:auto val="1"/>
        <c:lblAlgn val="ctr"/>
        <c:lblOffset val="100"/>
        <c:noMultiLvlLbl val="0"/>
      </c:catAx>
      <c:valAx>
        <c:axId val="3410143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one"/>
        <c:crossAx val="338011568"/>
        <c:crosses val="autoZero"/>
        <c:crossBetween val="between"/>
      </c:valAx>
      <c:valAx>
        <c:axId val="345868576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one"/>
        <c:crossAx val="345386576"/>
        <c:crosses val="max"/>
        <c:crossBetween val="midCat"/>
      </c:valAx>
      <c:valAx>
        <c:axId val="3453865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45868576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TW" sz="1300"/>
            </a:pPr>
            <a:r>
              <a:rPr lang="en-US"/>
              <a:t>CPU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Shop_data_summary!$M$1</c:f>
              <c:strCache>
                <c:ptCount val="1"/>
                <c:pt idx="0">
                  <c:v>cpu銷售數量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Shop_data_summary!$B$2:$B$3</c:f>
              <c:strCache>
                <c:ptCount val="2"/>
                <c:pt idx="0">
                  <c:v>C</c:v>
                </c:pt>
                <c:pt idx="1">
                  <c:v>B</c:v>
                </c:pt>
              </c:strCache>
            </c:strRef>
          </c:cat>
          <c:val>
            <c:numRef>
              <c:f>Shop_data_summary!$M$2:$M$3</c:f>
              <c:numCache>
                <c:formatCode>General</c:formatCode>
                <c:ptCount val="2"/>
                <c:pt idx="0">
                  <c:v>12</c:v>
                </c:pt>
                <c:pt idx="1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CF-DB4C-A6FB-5E0B29121A83}"/>
            </c:ext>
          </c:extLst>
        </c:ser>
        <c:ser>
          <c:idx val="1"/>
          <c:order val="1"/>
          <c:tx>
            <c:strRef>
              <c:f>Shop_data_summary!$P$1</c:f>
              <c:strCache>
                <c:ptCount val="1"/>
                <c:pt idx="0">
                  <c:v>CPU_acpp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Shop_data_summary!$B$2:$B$3</c:f>
              <c:strCache>
                <c:ptCount val="2"/>
                <c:pt idx="0">
                  <c:v>C</c:v>
                </c:pt>
                <c:pt idx="1">
                  <c:v>B</c:v>
                </c:pt>
              </c:strCache>
            </c:strRef>
          </c:cat>
          <c:val>
            <c:numRef>
              <c:f>Shop_data_summary!$P$2:$P$3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3FCF-DB4C-A6FB-5E0B29121A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2767728"/>
        <c:axId val="351389088"/>
      </c:barChart>
      <c:scatterChart>
        <c:scatterStyle val="smoothMarker"/>
        <c:varyColors val="0"/>
        <c:ser>
          <c:idx val="2"/>
          <c:order val="2"/>
          <c:tx>
            <c:strRef>
              <c:f>Shop_data_summary!$Q$1</c:f>
              <c:strCache>
                <c:ptCount val="1"/>
                <c:pt idx="0">
                  <c:v>acpp cpu搭售率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Shop_data_summary!$B$2:$B$3</c:f>
              <c:strCache>
                <c:ptCount val="2"/>
                <c:pt idx="0">
                  <c:v>C</c:v>
                </c:pt>
                <c:pt idx="1">
                  <c:v>B</c:v>
                </c:pt>
              </c:strCache>
            </c:strRef>
          </c:xVal>
          <c:yVal>
            <c:numRef>
              <c:f>Shop_data_summary!$Q$2:$Q$3</c:f>
              <c:numCache>
                <c:formatCode>0.0%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FCF-DB4C-A6FB-5E0B29121A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8356352"/>
        <c:axId val="348706352"/>
      </c:scatterChart>
      <c:catAx>
        <c:axId val="342767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51389088"/>
        <c:crosses val="autoZero"/>
        <c:auto val="1"/>
        <c:lblAlgn val="ctr"/>
        <c:lblOffset val="100"/>
        <c:noMultiLvlLbl val="0"/>
      </c:catAx>
      <c:valAx>
        <c:axId val="3513890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one"/>
        <c:crossAx val="342767728"/>
        <c:crosses val="autoZero"/>
        <c:crossBetween val="between"/>
      </c:valAx>
      <c:valAx>
        <c:axId val="348706352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one"/>
        <c:crossAx val="348356352"/>
        <c:crosses val="max"/>
        <c:crossBetween val="midCat"/>
      </c:valAx>
      <c:valAx>
        <c:axId val="348356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48706352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TW" sz="1300"/>
            </a:pPr>
            <a:r>
              <a:rPr lang="en-US"/>
              <a:t>iPad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Shop_data_summary!$R$1</c:f>
              <c:strCache>
                <c:ptCount val="1"/>
                <c:pt idx="0">
                  <c:v>iPad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Shop_data_summary!$B$2:$B$3</c:f>
              <c:strCache>
                <c:ptCount val="2"/>
                <c:pt idx="0">
                  <c:v>C</c:v>
                </c:pt>
                <c:pt idx="1">
                  <c:v>B</c:v>
                </c:pt>
              </c:strCache>
            </c:strRef>
          </c:cat>
          <c:val>
            <c:numRef>
              <c:f>Shop_data_summary!$R$2:$R$3</c:f>
              <c:numCache>
                <c:formatCode>General</c:formatCode>
                <c:ptCount val="2"/>
                <c:pt idx="0">
                  <c:v>20</c:v>
                </c:pt>
                <c:pt idx="1">
                  <c:v>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D-0B41-B898-3EE6932F0547}"/>
            </c:ext>
          </c:extLst>
        </c:ser>
        <c:ser>
          <c:idx val="1"/>
          <c:order val="1"/>
          <c:tx>
            <c:strRef>
              <c:f>Shop_data_summary!$S$1</c:f>
              <c:strCache>
                <c:ptCount val="1"/>
                <c:pt idx="0">
                  <c:v>acpp ipad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Shop_data_summary!$B$2:$B$3</c:f>
              <c:strCache>
                <c:ptCount val="2"/>
                <c:pt idx="0">
                  <c:v>C</c:v>
                </c:pt>
                <c:pt idx="1">
                  <c:v>B</c:v>
                </c:pt>
              </c:strCache>
            </c:strRef>
          </c:cat>
          <c:val>
            <c:numRef>
              <c:f>Shop_data_summary!$S$2:$S$3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011D-0B41-B898-3EE6932F05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8643984"/>
        <c:axId val="318008048"/>
      </c:barChart>
      <c:scatterChart>
        <c:scatterStyle val="smoothMarker"/>
        <c:varyColors val="0"/>
        <c:ser>
          <c:idx val="2"/>
          <c:order val="2"/>
          <c:tx>
            <c:strRef>
              <c:f>Shop_data_summary!$T$1</c:f>
              <c:strCache>
                <c:ptCount val="1"/>
                <c:pt idx="0">
                  <c:v>acpp ipad搭售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Shop_data_summary!$B$2:$B$3</c:f>
              <c:strCache>
                <c:ptCount val="2"/>
                <c:pt idx="0">
                  <c:v>C</c:v>
                </c:pt>
                <c:pt idx="1">
                  <c:v>B</c:v>
                </c:pt>
              </c:strCache>
            </c:strRef>
          </c:xVal>
          <c:yVal>
            <c:numRef>
              <c:f>Shop_data_summary!$T$2:$T$3</c:f>
              <c:numCache>
                <c:formatCode>0.0%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11D-0B41-B898-3EE6932F05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8974416"/>
        <c:axId val="348416624"/>
      </c:scatterChart>
      <c:catAx>
        <c:axId val="348643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18008048"/>
        <c:crosses val="autoZero"/>
        <c:auto val="1"/>
        <c:lblAlgn val="ctr"/>
        <c:lblOffset val="100"/>
        <c:noMultiLvlLbl val="0"/>
      </c:catAx>
      <c:valAx>
        <c:axId val="31800804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one"/>
        <c:crossAx val="348643984"/>
        <c:crosses val="autoZero"/>
        <c:crossBetween val="between"/>
      </c:valAx>
      <c:valAx>
        <c:axId val="348416624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one"/>
        <c:crossAx val="348974416"/>
        <c:crosses val="max"/>
        <c:crossBetween val="midCat"/>
      </c:valAx>
      <c:valAx>
        <c:axId val="3489744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48416624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TW" sz="1300"/>
            </a:pPr>
            <a:r>
              <a:rPr lang="en-US"/>
              <a:t>Watch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Shop_data_summary!$U$1</c:f>
              <c:strCache>
                <c:ptCount val="1"/>
                <c:pt idx="0">
                  <c:v>watch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Shop_data_summary!$B$2:$B$3</c:f>
              <c:strCache>
                <c:ptCount val="2"/>
                <c:pt idx="0">
                  <c:v>C</c:v>
                </c:pt>
                <c:pt idx="1">
                  <c:v>B</c:v>
                </c:pt>
              </c:strCache>
            </c:strRef>
          </c:cat>
          <c:val>
            <c:numRef>
              <c:f>Shop_data_summary!$U$2:$U$3</c:f>
              <c:numCache>
                <c:formatCode>General</c:formatCode>
                <c:ptCount val="2"/>
                <c:pt idx="0">
                  <c:v>7</c:v>
                </c:pt>
                <c:pt idx="1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48-8149-A8DA-DC333AA0185D}"/>
            </c:ext>
          </c:extLst>
        </c:ser>
        <c:ser>
          <c:idx val="1"/>
          <c:order val="1"/>
          <c:tx>
            <c:strRef>
              <c:f>Shop_data_summary!$V$1</c:f>
              <c:strCache>
                <c:ptCount val="1"/>
                <c:pt idx="0">
                  <c:v>acpp watch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Shop_data_summary!$B$2:$B$3</c:f>
              <c:strCache>
                <c:ptCount val="2"/>
                <c:pt idx="0">
                  <c:v>C</c:v>
                </c:pt>
                <c:pt idx="1">
                  <c:v>B</c:v>
                </c:pt>
              </c:strCache>
            </c:strRef>
          </c:cat>
          <c:val>
            <c:numRef>
              <c:f>Shop_data_summary!$V$2:$V$3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FA48-8149-A8DA-DC333AA01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4415408"/>
        <c:axId val="394331568"/>
      </c:barChart>
      <c:scatterChart>
        <c:scatterStyle val="smoothMarker"/>
        <c:varyColors val="0"/>
        <c:ser>
          <c:idx val="2"/>
          <c:order val="2"/>
          <c:tx>
            <c:strRef>
              <c:f>Shop_data_summary!$W$1</c:f>
              <c:strCache>
                <c:ptCount val="1"/>
                <c:pt idx="0">
                  <c:v>acpp watch att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Shop_data_summary!$B$2:$B$3</c:f>
              <c:strCache>
                <c:ptCount val="2"/>
                <c:pt idx="0">
                  <c:v>C</c:v>
                </c:pt>
                <c:pt idx="1">
                  <c:v>B</c:v>
                </c:pt>
              </c:strCache>
            </c:strRef>
          </c:xVal>
          <c:yVal>
            <c:numRef>
              <c:f>Shop_data_summary!$W$2:$W$3</c:f>
              <c:numCache>
                <c:formatCode>0.0%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A48-8149-A8DA-DC333AA01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4365008"/>
        <c:axId val="394355120"/>
      </c:scatterChart>
      <c:catAx>
        <c:axId val="394415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94331568"/>
        <c:crosses val="autoZero"/>
        <c:auto val="1"/>
        <c:lblAlgn val="ctr"/>
        <c:lblOffset val="100"/>
        <c:noMultiLvlLbl val="0"/>
      </c:catAx>
      <c:valAx>
        <c:axId val="3943315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one"/>
        <c:crossAx val="394415408"/>
        <c:crosses val="autoZero"/>
        <c:crossBetween val="between"/>
      </c:valAx>
      <c:valAx>
        <c:axId val="394355120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one"/>
        <c:crossAx val="394365008"/>
        <c:crosses val="max"/>
        <c:crossBetween val="midCat"/>
      </c:valAx>
      <c:valAx>
        <c:axId val="3943650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94355120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TW" sz="1300"/>
            </a:pPr>
            <a:r>
              <a:rPr lang="en-US"/>
              <a:t>iPhone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Shop_data_summary!$X$1</c:f>
              <c:strCache>
                <c:ptCount val="1"/>
                <c:pt idx="0">
                  <c:v>iPhone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Shop_data_summary!$B$2:$B$3</c:f>
              <c:strCache>
                <c:ptCount val="2"/>
                <c:pt idx="0">
                  <c:v>C</c:v>
                </c:pt>
                <c:pt idx="1">
                  <c:v>B</c:v>
                </c:pt>
              </c:strCache>
            </c:strRef>
          </c:cat>
          <c:val>
            <c:numRef>
              <c:f>Shop_data_summary!$X$2:$X$3</c:f>
              <c:numCache>
                <c:formatCode>General</c:formatCode>
                <c:ptCount val="2"/>
                <c:pt idx="0">
                  <c:v>14</c:v>
                </c:pt>
                <c:pt idx="1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2E-BA42-A2E4-CA1B87F027CC}"/>
            </c:ext>
          </c:extLst>
        </c:ser>
        <c:ser>
          <c:idx val="1"/>
          <c:order val="1"/>
          <c:tx>
            <c:strRef>
              <c:f>Shop_data_summary!$Y$1</c:f>
              <c:strCache>
                <c:ptCount val="1"/>
                <c:pt idx="0">
                  <c:v>acpp iphone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Shop_data_summary!$B$2:$B$3</c:f>
              <c:strCache>
                <c:ptCount val="2"/>
                <c:pt idx="0">
                  <c:v>C</c:v>
                </c:pt>
                <c:pt idx="1">
                  <c:v>B</c:v>
                </c:pt>
              </c:strCache>
            </c:strRef>
          </c:cat>
          <c:val>
            <c:numRef>
              <c:f>Shop_data_summary!$Y$2:$Y$3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D22E-BA42-A2E4-CA1B87F02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4313440"/>
        <c:axId val="394315072"/>
      </c:barChart>
      <c:scatterChart>
        <c:scatterStyle val="smoothMarker"/>
        <c:varyColors val="0"/>
        <c:ser>
          <c:idx val="2"/>
          <c:order val="2"/>
          <c:tx>
            <c:strRef>
              <c:f>Shop_data_summary!$Z$1</c:f>
              <c:strCache>
                <c:ptCount val="1"/>
                <c:pt idx="0">
                  <c:v>acpp iphone att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Shop_data_summary!$B$2:$B$3</c:f>
              <c:strCache>
                <c:ptCount val="2"/>
                <c:pt idx="0">
                  <c:v>C</c:v>
                </c:pt>
                <c:pt idx="1">
                  <c:v>B</c:v>
                </c:pt>
              </c:strCache>
            </c:strRef>
          </c:xVal>
          <c:yVal>
            <c:numRef>
              <c:f>Shop_data_summary!$Z$2:$Z$3</c:f>
              <c:numCache>
                <c:formatCode>0.0%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22E-BA42-A2E4-CA1B87F027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0986992"/>
        <c:axId val="380948880"/>
      </c:scatterChart>
      <c:catAx>
        <c:axId val="394313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94315072"/>
        <c:crosses val="autoZero"/>
        <c:auto val="1"/>
        <c:lblAlgn val="ctr"/>
        <c:lblOffset val="100"/>
        <c:noMultiLvlLbl val="0"/>
      </c:catAx>
      <c:valAx>
        <c:axId val="39431507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one"/>
        <c:crossAx val="394313440"/>
        <c:crosses val="autoZero"/>
        <c:crossBetween val="between"/>
      </c:valAx>
      <c:valAx>
        <c:axId val="380948880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one"/>
        <c:crossAx val="350986992"/>
        <c:crosses val="max"/>
        <c:crossBetween val="midCat"/>
      </c:valAx>
      <c:valAx>
        <c:axId val="3509869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80948880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TW" sz="1300"/>
            </a:pPr>
            <a:r>
              <a:rPr lang="en-US"/>
              <a:t>AirPods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Shop_data_summary!$AA$1</c:f>
              <c:strCache>
                <c:ptCount val="1"/>
                <c:pt idx="0">
                  <c:v>airpod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Shop_data_summary!$B$2:$B$3</c:f>
              <c:strCache>
                <c:ptCount val="2"/>
                <c:pt idx="0">
                  <c:v>C</c:v>
                </c:pt>
                <c:pt idx="1">
                  <c:v>B</c:v>
                </c:pt>
              </c:strCache>
            </c:strRef>
          </c:cat>
          <c:val>
            <c:numRef>
              <c:f>Shop_data_summary!$AA$2:$AA$3</c:f>
              <c:numCache>
                <c:formatCode>General</c:formatCode>
                <c:ptCount val="2"/>
                <c:pt idx="0">
                  <c:v>12</c:v>
                </c:pt>
                <c:pt idx="1">
                  <c:v>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30-A048-9DC4-9DC9D8C9DDF5}"/>
            </c:ext>
          </c:extLst>
        </c:ser>
        <c:ser>
          <c:idx val="1"/>
          <c:order val="1"/>
          <c:tx>
            <c:strRef>
              <c:f>Shop_data_summary!$AB$1</c:f>
              <c:strCache>
                <c:ptCount val="1"/>
                <c:pt idx="0">
                  <c:v>acpp airpod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Shop_data_summary!$B$2:$B$3</c:f>
              <c:strCache>
                <c:ptCount val="2"/>
                <c:pt idx="0">
                  <c:v>C</c:v>
                </c:pt>
                <c:pt idx="1">
                  <c:v>B</c:v>
                </c:pt>
              </c:strCache>
            </c:strRef>
          </c:cat>
          <c:val>
            <c:numRef>
              <c:f>Shop_data_summary!$AB$2:$AB$3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FE30-A048-9DC4-9DC9D8C9D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0986992"/>
        <c:axId val="345787040"/>
      </c:barChart>
      <c:scatterChart>
        <c:scatterStyle val="smoothMarker"/>
        <c:varyColors val="0"/>
        <c:ser>
          <c:idx val="2"/>
          <c:order val="2"/>
          <c:tx>
            <c:strRef>
              <c:f>Shop_data_summary!$AC$1</c:f>
              <c:strCache>
                <c:ptCount val="1"/>
                <c:pt idx="0">
                  <c:v>acpp airpod att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Shop_data_summary!$B$2:$B$3</c:f>
              <c:strCache>
                <c:ptCount val="2"/>
                <c:pt idx="0">
                  <c:v>C</c:v>
                </c:pt>
                <c:pt idx="1">
                  <c:v>B</c:v>
                </c:pt>
              </c:strCache>
            </c:strRef>
          </c:xVal>
          <c:yVal>
            <c:numRef>
              <c:f>Shop_data_summary!$AC$2:$AC$3</c:f>
              <c:numCache>
                <c:formatCode>0.0%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E30-A048-9DC4-9DC9D8C9D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568496"/>
        <c:axId val="341375440"/>
      </c:scatterChart>
      <c:catAx>
        <c:axId val="350986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45787040"/>
        <c:crosses val="autoZero"/>
        <c:auto val="1"/>
        <c:lblAlgn val="ctr"/>
        <c:lblOffset val="100"/>
        <c:noMultiLvlLbl val="0"/>
      </c:catAx>
      <c:valAx>
        <c:axId val="34578704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one"/>
        <c:crossAx val="350986992"/>
        <c:crosses val="autoZero"/>
        <c:crossBetween val="between"/>
      </c:valAx>
      <c:valAx>
        <c:axId val="341375440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one"/>
        <c:crossAx val="360568496"/>
        <c:crosses val="max"/>
        <c:crossBetween val="midCat"/>
      </c:valAx>
      <c:valAx>
        <c:axId val="3605684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41375440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Staff_data_summary!$E$1</c:f>
              <c:strCache>
                <c:ptCount val="1"/>
                <c:pt idx="0">
                  <c:v>銷售額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Staff_data_summary!$D$2:$D$8</c:f>
              <c:strCache>
                <c:ptCount val="7"/>
                <c:pt idx="0">
                  <c:v>翁靖雅</c:v>
                </c:pt>
                <c:pt idx="1">
                  <c:v>何珍妮</c:v>
                </c:pt>
                <c:pt idx="2">
                  <c:v>甘美華</c:v>
                </c:pt>
                <c:pt idx="3">
                  <c:v>林衿融</c:v>
                </c:pt>
                <c:pt idx="4">
                  <c:v>鄭羽倫</c:v>
                </c:pt>
                <c:pt idx="5">
                  <c:v>蕭希文</c:v>
                </c:pt>
                <c:pt idx="6">
                  <c:v>侯韋丞</c:v>
                </c:pt>
              </c:strCache>
            </c:strRef>
          </c:cat>
          <c:val>
            <c:numRef>
              <c:f>Staff_data_summary!$E$2:$E$8</c:f>
              <c:numCache>
                <c:formatCode>0.0</c:formatCode>
                <c:ptCount val="7"/>
                <c:pt idx="0">
                  <c:v>162.17500000000001</c:v>
                </c:pt>
                <c:pt idx="1">
                  <c:v>486.01599999999996</c:v>
                </c:pt>
                <c:pt idx="2">
                  <c:v>402.15599999999995</c:v>
                </c:pt>
                <c:pt idx="3">
                  <c:v>27.332999999999998</c:v>
                </c:pt>
                <c:pt idx="4">
                  <c:v>57.090999999999994</c:v>
                </c:pt>
                <c:pt idx="5">
                  <c:v>89.432999999999993</c:v>
                </c:pt>
                <c:pt idx="6">
                  <c:v>382.12100000000004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B9-EB45-B2BD-D108975CE6AE}"/>
            </c:ext>
          </c:extLst>
        </c:ser>
        <c:ser>
          <c:idx val="1"/>
          <c:order val="1"/>
          <c:tx>
            <c:strRef>
              <c:f>Staff_data_summary!$F$1</c:f>
              <c:strCache>
                <c:ptCount val="1"/>
                <c:pt idx="0">
                  <c:v>毛利額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Staff_data_summary!$D$2:$D$8</c:f>
              <c:strCache>
                <c:ptCount val="7"/>
                <c:pt idx="0">
                  <c:v>翁靖雅</c:v>
                </c:pt>
                <c:pt idx="1">
                  <c:v>何珍妮</c:v>
                </c:pt>
                <c:pt idx="2">
                  <c:v>甘美華</c:v>
                </c:pt>
                <c:pt idx="3">
                  <c:v>林衿融</c:v>
                </c:pt>
                <c:pt idx="4">
                  <c:v>鄭羽倫</c:v>
                </c:pt>
                <c:pt idx="5">
                  <c:v>蕭希文</c:v>
                </c:pt>
                <c:pt idx="6">
                  <c:v>侯韋丞</c:v>
                </c:pt>
              </c:strCache>
            </c:strRef>
          </c:cat>
          <c:val>
            <c:numRef>
              <c:f>Staff_data_summary!$F$2:$F$8</c:f>
              <c:numCache>
                <c:formatCode>0.0</c:formatCode>
                <c:ptCount val="7"/>
                <c:pt idx="0">
                  <c:v>0.86999999999999966</c:v>
                </c:pt>
                <c:pt idx="1">
                  <c:v>51.127000000000002</c:v>
                </c:pt>
                <c:pt idx="2">
                  <c:v>33.597999999999999</c:v>
                </c:pt>
                <c:pt idx="3">
                  <c:v>-41.400999999999996</c:v>
                </c:pt>
                <c:pt idx="4">
                  <c:v>-0.32400000000000007</c:v>
                </c:pt>
                <c:pt idx="5">
                  <c:v>10.201000000000001</c:v>
                </c:pt>
                <c:pt idx="6">
                  <c:v>52.801000000000016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BB9-EB45-B2BD-D108975CE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4372112"/>
        <c:axId val="394373744"/>
      </c:barChart>
      <c:scatterChart>
        <c:scatterStyle val="smoothMarker"/>
        <c:varyColors val="0"/>
        <c:ser>
          <c:idx val="2"/>
          <c:order val="2"/>
          <c:tx>
            <c:strRef>
              <c:f>Staff_data_summary!$G$1</c:f>
              <c:strCache>
                <c:ptCount val="1"/>
                <c:pt idx="0">
                  <c:v>毛利率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strRef>
              <c:f>Staff_data_summary!$D$2:$D$8</c:f>
              <c:strCache>
                <c:ptCount val="7"/>
                <c:pt idx="0">
                  <c:v>翁靖雅</c:v>
                </c:pt>
                <c:pt idx="1">
                  <c:v>何珍妮</c:v>
                </c:pt>
                <c:pt idx="2">
                  <c:v>甘美華</c:v>
                </c:pt>
                <c:pt idx="3">
                  <c:v>林衿融</c:v>
                </c:pt>
                <c:pt idx="4">
                  <c:v>鄭羽倫</c:v>
                </c:pt>
                <c:pt idx="5">
                  <c:v>蕭希文</c:v>
                </c:pt>
                <c:pt idx="6">
                  <c:v>侯韋丞</c:v>
                </c:pt>
              </c:strCache>
            </c:strRef>
          </c:xVal>
          <c:yVal>
            <c:numRef>
              <c:f>Staff_data_summary!$G$2:$G$8</c:f>
              <c:numCache>
                <c:formatCode>0.0%</c:formatCode>
                <c:ptCount val="7"/>
                <c:pt idx="0">
                  <c:v>5.3645753044550618E-3</c:v>
                </c:pt>
                <c:pt idx="1">
                  <c:v>0.1051961252304451</c:v>
                </c:pt>
                <c:pt idx="2">
                  <c:v>8.3544694098807437E-2</c:v>
                </c:pt>
                <c:pt idx="3">
                  <c:v>-1.5146892035268722</c:v>
                </c:pt>
                <c:pt idx="4">
                  <c:v>-5.6751501988054178E-3</c:v>
                </c:pt>
                <c:pt idx="5">
                  <c:v>0.11406304160656583</c:v>
                </c:pt>
                <c:pt idx="6">
                  <c:v>0.13817874442912065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BB9-EB45-B2BD-D108975CE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4280720"/>
        <c:axId val="394434784"/>
      </c:scatterChart>
      <c:catAx>
        <c:axId val="394372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94373744"/>
        <c:crosses val="autoZero"/>
        <c:auto val="1"/>
        <c:lblAlgn val="ctr"/>
        <c:lblOffset val="100"/>
        <c:noMultiLvlLbl val="0"/>
      </c:catAx>
      <c:valAx>
        <c:axId val="394373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94372112"/>
        <c:crosses val="autoZero"/>
        <c:crossBetween val="between"/>
      </c:valAx>
      <c:valAx>
        <c:axId val="394434784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94280720"/>
        <c:crosses val="max"/>
        <c:crossBetween val="midCat"/>
      </c:valAx>
      <c:valAx>
        <c:axId val="394280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944347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TW" sz="1200"/>
            </a:pPr>
            <a:r>
              <a:rPr lang="en-US"/>
              <a:t>C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Staff_data_summary!$H$1</c:f>
              <c:strCache>
                <c:ptCount val="1"/>
                <c:pt idx="0">
                  <c:v>Acpp裝置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Staff_data_summary!$D$2:$D$8</c:f>
              <c:strCache>
                <c:ptCount val="7"/>
                <c:pt idx="0">
                  <c:v>翁靖雅</c:v>
                </c:pt>
                <c:pt idx="1">
                  <c:v>何珍妮</c:v>
                </c:pt>
                <c:pt idx="2">
                  <c:v>甘美華</c:v>
                </c:pt>
                <c:pt idx="3">
                  <c:v>林衿融</c:v>
                </c:pt>
                <c:pt idx="4">
                  <c:v>鄭羽倫</c:v>
                </c:pt>
                <c:pt idx="5">
                  <c:v>蕭希文</c:v>
                </c:pt>
                <c:pt idx="6">
                  <c:v>侯韋丞</c:v>
                </c:pt>
              </c:strCache>
            </c:strRef>
          </c:cat>
          <c:val>
            <c:numRef>
              <c:f>Staff_data_summary!$H$2:$H$8</c:f>
              <c:numCache>
                <c:formatCode>General</c:formatCode>
                <c:ptCount val="7"/>
                <c:pt idx="0">
                  <c:v>5</c:v>
                </c:pt>
                <c:pt idx="1">
                  <c:v>17</c:v>
                </c:pt>
                <c:pt idx="2">
                  <c:v>11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52-E14E-82BD-C561241647E3}"/>
            </c:ext>
          </c:extLst>
        </c:ser>
        <c:ser>
          <c:idx val="1"/>
          <c:order val="1"/>
          <c:tx>
            <c:strRef>
              <c:f>Staff_data_summary!$I$1</c:f>
              <c:strCache>
                <c:ptCount val="1"/>
                <c:pt idx="0">
                  <c:v>Acpp銷售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Staff_data_summary!$D$2:$D$8</c:f>
              <c:strCache>
                <c:ptCount val="7"/>
                <c:pt idx="0">
                  <c:v>翁靖雅</c:v>
                </c:pt>
                <c:pt idx="1">
                  <c:v>何珍妮</c:v>
                </c:pt>
                <c:pt idx="2">
                  <c:v>甘美華</c:v>
                </c:pt>
                <c:pt idx="3">
                  <c:v>林衿融</c:v>
                </c:pt>
                <c:pt idx="4">
                  <c:v>鄭羽倫</c:v>
                </c:pt>
                <c:pt idx="5">
                  <c:v>蕭希文</c:v>
                </c:pt>
                <c:pt idx="6">
                  <c:v>侯韋丞</c:v>
                </c:pt>
              </c:strCache>
            </c:strRef>
          </c:cat>
          <c:val>
            <c:numRef>
              <c:f>Staff_data_summary!$I$2:$I$8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2-9052-E14E-82BD-C561241647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9530736"/>
        <c:axId val="357942160"/>
      </c:barChart>
      <c:scatterChart>
        <c:scatterStyle val="smoothMarker"/>
        <c:varyColors val="0"/>
        <c:ser>
          <c:idx val="2"/>
          <c:order val="2"/>
          <c:tx>
            <c:strRef>
              <c:f>Staff_data_summary!$J$1</c:f>
              <c:strCache>
                <c:ptCount val="1"/>
                <c:pt idx="0">
                  <c:v>ACPP搭配率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Staff_data_summary!$D$2:$D$8</c:f>
              <c:strCache>
                <c:ptCount val="7"/>
                <c:pt idx="0">
                  <c:v>翁靖雅</c:v>
                </c:pt>
                <c:pt idx="1">
                  <c:v>何珍妮</c:v>
                </c:pt>
                <c:pt idx="2">
                  <c:v>甘美華</c:v>
                </c:pt>
                <c:pt idx="3">
                  <c:v>林衿融</c:v>
                </c:pt>
                <c:pt idx="4">
                  <c:v>鄭羽倫</c:v>
                </c:pt>
                <c:pt idx="5">
                  <c:v>蕭希文</c:v>
                </c:pt>
                <c:pt idx="6">
                  <c:v>侯韋丞</c:v>
                </c:pt>
              </c:strCache>
            </c:strRef>
          </c:xVal>
          <c:yVal>
            <c:numRef>
              <c:f>Staff_data_summary!$J$2:$J$8</c:f>
              <c:numCache>
                <c:formatCode>0.0%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052-E14E-82BD-C561241647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5809920"/>
        <c:axId val="347637360"/>
      </c:scatterChart>
      <c:catAx>
        <c:axId val="339530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57942160"/>
        <c:crosses val="autoZero"/>
        <c:auto val="1"/>
        <c:lblAlgn val="ctr"/>
        <c:lblOffset val="100"/>
        <c:noMultiLvlLbl val="0"/>
      </c:catAx>
      <c:valAx>
        <c:axId val="3579421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crossAx val="339530736"/>
        <c:crosses val="autoZero"/>
        <c:crossBetween val="between"/>
      </c:valAx>
      <c:valAx>
        <c:axId val="347637360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one"/>
        <c:crossAx val="345809920"/>
        <c:crosses val="max"/>
        <c:crossBetween val="midCat"/>
      </c:valAx>
      <c:valAx>
        <c:axId val="345809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47637360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TW" sz="1200"/>
            </a:pPr>
            <a:r>
              <a:rPr lang="en-US"/>
              <a:t>B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Staff_data_summary!$E$1</c:f>
              <c:strCache>
                <c:ptCount val="1"/>
                <c:pt idx="0">
                  <c:v>銷售額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Staff_data_summary!$D$9:$D$15</c:f>
              <c:strCache>
                <c:ptCount val="7"/>
                <c:pt idx="0">
                  <c:v>陳政佑</c:v>
                </c:pt>
                <c:pt idx="1">
                  <c:v>陳政諺</c:v>
                </c:pt>
                <c:pt idx="2">
                  <c:v>彭宏基</c:v>
                </c:pt>
                <c:pt idx="3">
                  <c:v>邱柏瑜</c:v>
                </c:pt>
                <c:pt idx="4">
                  <c:v>王思予</c:v>
                </c:pt>
                <c:pt idx="5">
                  <c:v>李宗駿</c:v>
                </c:pt>
                <c:pt idx="6">
                  <c:v>王至潔</c:v>
                </c:pt>
              </c:strCache>
            </c:strRef>
          </c:cat>
          <c:val>
            <c:numRef>
              <c:f>Staff_data_summary!$E$9:$E$15</c:f>
              <c:numCache>
                <c:formatCode>0.0</c:formatCode>
                <c:ptCount val="7"/>
                <c:pt idx="0">
                  <c:v>718.36799999999971</c:v>
                </c:pt>
                <c:pt idx="1">
                  <c:v>3.496</c:v>
                </c:pt>
                <c:pt idx="2">
                  <c:v>637.0849999999997</c:v>
                </c:pt>
                <c:pt idx="3">
                  <c:v>1161.8900000000003</c:v>
                </c:pt>
                <c:pt idx="4">
                  <c:v>1123.3870000000002</c:v>
                </c:pt>
                <c:pt idx="5">
                  <c:v>744.9609999999999</c:v>
                </c:pt>
                <c:pt idx="6">
                  <c:v>793.08800000000008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70-CE4A-A041-2DA1FAABFB08}"/>
            </c:ext>
          </c:extLst>
        </c:ser>
        <c:ser>
          <c:idx val="1"/>
          <c:order val="1"/>
          <c:tx>
            <c:strRef>
              <c:f>Staff_data_summary!$F$1</c:f>
              <c:strCache>
                <c:ptCount val="1"/>
                <c:pt idx="0">
                  <c:v>毛利額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Staff_data_summary!$D$9:$D$15</c:f>
              <c:strCache>
                <c:ptCount val="7"/>
                <c:pt idx="0">
                  <c:v>陳政佑</c:v>
                </c:pt>
                <c:pt idx="1">
                  <c:v>陳政諺</c:v>
                </c:pt>
                <c:pt idx="2">
                  <c:v>彭宏基</c:v>
                </c:pt>
                <c:pt idx="3">
                  <c:v>邱柏瑜</c:v>
                </c:pt>
                <c:pt idx="4">
                  <c:v>王思予</c:v>
                </c:pt>
                <c:pt idx="5">
                  <c:v>李宗駿</c:v>
                </c:pt>
                <c:pt idx="6">
                  <c:v>王至潔</c:v>
                </c:pt>
              </c:strCache>
            </c:strRef>
          </c:cat>
          <c:val>
            <c:numRef>
              <c:f>Staff_data_summary!$F$9:$F$15</c:f>
              <c:numCache>
                <c:formatCode>0.0</c:formatCode>
                <c:ptCount val="7"/>
                <c:pt idx="0">
                  <c:v>66.53100000000002</c:v>
                </c:pt>
                <c:pt idx="1">
                  <c:v>1.2579999999999998</c:v>
                </c:pt>
                <c:pt idx="2">
                  <c:v>62.104000000000021</c:v>
                </c:pt>
                <c:pt idx="3">
                  <c:v>86.02200000000002</c:v>
                </c:pt>
                <c:pt idx="4">
                  <c:v>27.841000000000012</c:v>
                </c:pt>
                <c:pt idx="5">
                  <c:v>45.437000000000026</c:v>
                </c:pt>
                <c:pt idx="6">
                  <c:v>96.133999999999986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70-CE4A-A041-2DA1FAABF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4299840"/>
        <c:axId val="394301472"/>
      </c:barChart>
      <c:scatterChart>
        <c:scatterStyle val="smoothMarker"/>
        <c:varyColors val="0"/>
        <c:ser>
          <c:idx val="2"/>
          <c:order val="2"/>
          <c:tx>
            <c:strRef>
              <c:f>Staff_data_summary!$G$1</c:f>
              <c:strCache>
                <c:ptCount val="1"/>
                <c:pt idx="0">
                  <c:v>毛利率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Staff_data_summary!$D$9:$D$15</c:f>
              <c:strCache>
                <c:ptCount val="7"/>
                <c:pt idx="0">
                  <c:v>陳政佑</c:v>
                </c:pt>
                <c:pt idx="1">
                  <c:v>陳政諺</c:v>
                </c:pt>
                <c:pt idx="2">
                  <c:v>彭宏基</c:v>
                </c:pt>
                <c:pt idx="3">
                  <c:v>邱柏瑜</c:v>
                </c:pt>
                <c:pt idx="4">
                  <c:v>王思予</c:v>
                </c:pt>
                <c:pt idx="5">
                  <c:v>李宗駿</c:v>
                </c:pt>
                <c:pt idx="6">
                  <c:v>王至潔</c:v>
                </c:pt>
              </c:strCache>
            </c:strRef>
          </c:xVal>
          <c:yVal>
            <c:numRef>
              <c:f>Staff_data_summary!$G$9:$G$15</c:f>
              <c:numCache>
                <c:formatCode>0.0%</c:formatCode>
                <c:ptCount val="7"/>
                <c:pt idx="0">
                  <c:v>9.2614091941734658E-2</c:v>
                </c:pt>
                <c:pt idx="1">
                  <c:v>0.35983981693363837</c:v>
                </c:pt>
                <c:pt idx="2">
                  <c:v>9.7481497759325755E-2</c:v>
                </c:pt>
                <c:pt idx="3">
                  <c:v>7.4036268493575114E-2</c:v>
                </c:pt>
                <c:pt idx="4">
                  <c:v>2.4783088997825335E-2</c:v>
                </c:pt>
                <c:pt idx="5">
                  <c:v>6.0992454638565015E-2</c:v>
                </c:pt>
                <c:pt idx="6">
                  <c:v>0.12121479583602321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270-CE4A-A041-2DA1FAABFB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154560"/>
        <c:axId val="394397440"/>
      </c:scatterChart>
      <c:catAx>
        <c:axId val="394299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94301472"/>
        <c:crosses val="autoZero"/>
        <c:auto val="1"/>
        <c:lblAlgn val="ctr"/>
        <c:lblOffset val="100"/>
        <c:noMultiLvlLbl val="0"/>
      </c:catAx>
      <c:valAx>
        <c:axId val="394301472"/>
        <c:scaling>
          <c:orientation val="minMax"/>
        </c:scaling>
        <c:delete val="0"/>
        <c:axPos val="l"/>
        <c:numFmt formatCode="0.0" sourceLinked="1"/>
        <c:majorTickMark val="none"/>
        <c:minorTickMark val="none"/>
        <c:tickLblPos val="none"/>
        <c:crossAx val="394299840"/>
        <c:crosses val="autoZero"/>
        <c:crossBetween val="between"/>
      </c:valAx>
      <c:valAx>
        <c:axId val="394397440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one"/>
        <c:crossAx val="372154560"/>
        <c:crosses val="max"/>
        <c:crossBetween val="midCat"/>
      </c:valAx>
      <c:valAx>
        <c:axId val="3721545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94397440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altLang="zh-TW" sz="1200"/>
            </a:pPr>
            <a:r>
              <a:rPr lang="en-US"/>
              <a:t>B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Staff_data_summary!$H$1</c:f>
              <c:strCache>
                <c:ptCount val="1"/>
                <c:pt idx="0">
                  <c:v>Acpp裝置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Staff_data_summary!$D$9:$D$15</c:f>
              <c:strCache>
                <c:ptCount val="7"/>
                <c:pt idx="0">
                  <c:v>陳政佑</c:v>
                </c:pt>
                <c:pt idx="1">
                  <c:v>陳政諺</c:v>
                </c:pt>
                <c:pt idx="2">
                  <c:v>彭宏基</c:v>
                </c:pt>
                <c:pt idx="3">
                  <c:v>邱柏瑜</c:v>
                </c:pt>
                <c:pt idx="4">
                  <c:v>王思予</c:v>
                </c:pt>
                <c:pt idx="5">
                  <c:v>李宗駿</c:v>
                </c:pt>
                <c:pt idx="6">
                  <c:v>王至潔</c:v>
                </c:pt>
              </c:strCache>
            </c:strRef>
          </c:cat>
          <c:val>
            <c:numRef>
              <c:f>Staff_data_summary!$H$9:$H$15</c:f>
              <c:numCache>
                <c:formatCode>General</c:formatCode>
                <c:ptCount val="7"/>
                <c:pt idx="0">
                  <c:v>26</c:v>
                </c:pt>
                <c:pt idx="2">
                  <c:v>22</c:v>
                </c:pt>
                <c:pt idx="3">
                  <c:v>38</c:v>
                </c:pt>
                <c:pt idx="4">
                  <c:v>38</c:v>
                </c:pt>
                <c:pt idx="5">
                  <c:v>29</c:v>
                </c:pt>
                <c:pt idx="6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E4-3C4D-864E-98FE64B6E137}"/>
            </c:ext>
          </c:extLst>
        </c:ser>
        <c:ser>
          <c:idx val="1"/>
          <c:order val="1"/>
          <c:tx>
            <c:strRef>
              <c:f>Staff_data_summary!$I$1</c:f>
              <c:strCache>
                <c:ptCount val="1"/>
                <c:pt idx="0">
                  <c:v>Acpp銷售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Staff_data_summary!$D$9:$D$15</c:f>
              <c:strCache>
                <c:ptCount val="7"/>
                <c:pt idx="0">
                  <c:v>陳政佑</c:v>
                </c:pt>
                <c:pt idx="1">
                  <c:v>陳政諺</c:v>
                </c:pt>
                <c:pt idx="2">
                  <c:v>彭宏基</c:v>
                </c:pt>
                <c:pt idx="3">
                  <c:v>邱柏瑜</c:v>
                </c:pt>
                <c:pt idx="4">
                  <c:v>王思予</c:v>
                </c:pt>
                <c:pt idx="5">
                  <c:v>李宗駿</c:v>
                </c:pt>
                <c:pt idx="6">
                  <c:v>王至潔</c:v>
                </c:pt>
              </c:strCache>
            </c:strRef>
          </c:cat>
          <c:val>
            <c:numRef>
              <c:f>Staff_data_summary!$I$9:$I$15</c:f>
              <c:numCache>
                <c:formatCode>General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2-B0E4-3C4D-864E-98FE64B6E1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4276320"/>
        <c:axId val="394277952"/>
      </c:barChart>
      <c:scatterChart>
        <c:scatterStyle val="smoothMarker"/>
        <c:varyColors val="0"/>
        <c:ser>
          <c:idx val="2"/>
          <c:order val="2"/>
          <c:tx>
            <c:strRef>
              <c:f>Staff_data_summary!$J$1</c:f>
              <c:strCache>
                <c:ptCount val="1"/>
                <c:pt idx="0">
                  <c:v>ACPP搭配率</c:v>
                </c:pt>
              </c:strCache>
            </c:strRef>
          </c:tx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strRef>
              <c:f>Staff_data_summary!$D$9:$D$15</c:f>
              <c:strCache>
                <c:ptCount val="7"/>
                <c:pt idx="0">
                  <c:v>陳政佑</c:v>
                </c:pt>
                <c:pt idx="1">
                  <c:v>陳政諺</c:v>
                </c:pt>
                <c:pt idx="2">
                  <c:v>彭宏基</c:v>
                </c:pt>
                <c:pt idx="3">
                  <c:v>邱柏瑜</c:v>
                </c:pt>
                <c:pt idx="4">
                  <c:v>王思予</c:v>
                </c:pt>
                <c:pt idx="5">
                  <c:v>李宗駿</c:v>
                </c:pt>
                <c:pt idx="6">
                  <c:v>王至潔</c:v>
                </c:pt>
              </c:strCache>
            </c:strRef>
          </c:xVal>
          <c:yVal>
            <c:numRef>
              <c:f>Staff_data_summary!$J$9:$J$15</c:f>
              <c:numCache>
                <c:formatCode>0.0%</c:formatCode>
                <c:ptCount val="7"/>
                <c:pt idx="0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0E4-3C4D-864E-98FE64B6E1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4937728"/>
        <c:axId val="394935296"/>
      </c:scatterChart>
      <c:catAx>
        <c:axId val="3942763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94277952"/>
        <c:crosses val="autoZero"/>
        <c:auto val="1"/>
        <c:lblAlgn val="ctr"/>
        <c:lblOffset val="100"/>
        <c:noMultiLvlLbl val="0"/>
      </c:catAx>
      <c:valAx>
        <c:axId val="39427795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one"/>
        <c:crossAx val="394276320"/>
        <c:crosses val="autoZero"/>
        <c:crossBetween val="between"/>
      </c:valAx>
      <c:valAx>
        <c:axId val="394935296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one"/>
        <c:crossAx val="394937728"/>
        <c:crosses val="max"/>
        <c:crossBetween val="midCat"/>
      </c:valAx>
      <c:valAx>
        <c:axId val="3949377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94935296"/>
        <c:crosses val="autoZero"/>
        <c:crossBetween val="midCat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2</xdr:row>
      <xdr:rowOff>0</xdr:rowOff>
    </xdr:from>
    <xdr:ext cx="102657" cy="264624"/>
    <xdr:sp macro="" textlink="">
      <xdr:nvSpPr>
        <xdr:cNvPr id="2" name="TextBox 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0" y="3810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0</xdr:col>
      <xdr:colOff>0</xdr:colOff>
      <xdr:row>2</xdr:row>
      <xdr:rowOff>0</xdr:rowOff>
    </xdr:from>
    <xdr:ext cx="102657" cy="264624"/>
    <xdr:sp macro="" textlink="">
      <xdr:nvSpPr>
        <xdr:cNvPr id="3" name="TextBox 1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0" y="3810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0</xdr:col>
      <xdr:colOff>0</xdr:colOff>
      <xdr:row>2</xdr:row>
      <xdr:rowOff>0</xdr:rowOff>
    </xdr:from>
    <xdr:ext cx="102657" cy="264624"/>
    <xdr:sp macro="" textlink="">
      <xdr:nvSpPr>
        <xdr:cNvPr id="4" name="TextBox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0" y="3810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0</xdr:col>
      <xdr:colOff>0</xdr:colOff>
      <xdr:row>2</xdr:row>
      <xdr:rowOff>0</xdr:rowOff>
    </xdr:from>
    <xdr:ext cx="102657" cy="264624"/>
    <xdr:sp macro="" textlink="">
      <xdr:nvSpPr>
        <xdr:cNvPr id="5" name="TextBox 1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0" y="3810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0</xdr:col>
      <xdr:colOff>0</xdr:colOff>
      <xdr:row>1</xdr:row>
      <xdr:rowOff>0</xdr:rowOff>
    </xdr:from>
    <xdr:ext cx="102657" cy="264624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0" y="190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0</xdr:col>
      <xdr:colOff>0</xdr:colOff>
      <xdr:row>1</xdr:row>
      <xdr:rowOff>0</xdr:rowOff>
    </xdr:from>
    <xdr:ext cx="102657" cy="264624"/>
    <xdr:sp macro="" textlink="">
      <xdr:nvSpPr>
        <xdr:cNvPr id="7" name="TextBox 14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0" y="1905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0</xdr:col>
      <xdr:colOff>0</xdr:colOff>
      <xdr:row>2</xdr:row>
      <xdr:rowOff>0</xdr:rowOff>
    </xdr:from>
    <xdr:ext cx="102657" cy="264624"/>
    <xdr:sp macro="" textlink="">
      <xdr:nvSpPr>
        <xdr:cNvPr id="12" name="TextBox 5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0" y="3810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0</xdr:col>
      <xdr:colOff>0</xdr:colOff>
      <xdr:row>2</xdr:row>
      <xdr:rowOff>0</xdr:rowOff>
    </xdr:from>
    <xdr:ext cx="102657" cy="264624"/>
    <xdr:sp macro="" textlink="">
      <xdr:nvSpPr>
        <xdr:cNvPr id="13" name="TextBox 1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0" y="38100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12700</xdr:rowOff>
        </xdr:from>
        <xdr:to>
          <xdr:col>4</xdr:col>
          <xdr:colOff>368300</xdr:colOff>
          <xdr:row>6</xdr:row>
          <xdr:rowOff>50800</xdr:rowOff>
        </xdr:to>
        <xdr:sp macro="" textlink="">
          <xdr:nvSpPr>
            <xdr:cNvPr id="2049" name="Button 1" descr="Sta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88900</xdr:colOff>
          <xdr:row>2</xdr:row>
          <xdr:rowOff>38100</xdr:rowOff>
        </xdr:from>
        <xdr:to>
          <xdr:col>7</xdr:col>
          <xdr:colOff>749300</xdr:colOff>
          <xdr:row>6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 charset="-120"/>
                  <a:ea typeface="新細明體" charset="-120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556260</xdr:colOff>
      <xdr:row>0</xdr:row>
      <xdr:rowOff>0</xdr:rowOff>
    </xdr:from>
    <xdr:ext cx="102657" cy="264624"/>
    <xdr:sp macro="" textlink="">
      <xdr:nvSpPr>
        <xdr:cNvPr id="2" name="TextBox 5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0327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7</xdr:col>
      <xdr:colOff>556260</xdr:colOff>
      <xdr:row>0</xdr:row>
      <xdr:rowOff>0</xdr:rowOff>
    </xdr:from>
    <xdr:ext cx="102657" cy="264624"/>
    <xdr:sp macro="" textlink="">
      <xdr:nvSpPr>
        <xdr:cNvPr id="3" name="TextBox 1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7665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0</xdr:row>
      <xdr:rowOff>0</xdr:rowOff>
    </xdr:from>
    <xdr:ext cx="102657" cy="264624"/>
    <xdr:sp macro="" textlink="">
      <xdr:nvSpPr>
        <xdr:cNvPr id="4" name="TextBox 14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30327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7</xdr:col>
      <xdr:colOff>556260</xdr:colOff>
      <xdr:row>0</xdr:row>
      <xdr:rowOff>0</xdr:rowOff>
    </xdr:from>
    <xdr:ext cx="102657" cy="264624"/>
    <xdr:sp macro="" textlink="">
      <xdr:nvSpPr>
        <xdr:cNvPr id="5" name="TextBox 17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67665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7</xdr:col>
      <xdr:colOff>556260</xdr:colOff>
      <xdr:row>0</xdr:row>
      <xdr:rowOff>0</xdr:rowOff>
    </xdr:from>
    <xdr:ext cx="102657" cy="264624"/>
    <xdr:sp macro="" textlink="">
      <xdr:nvSpPr>
        <xdr:cNvPr id="6" name="TextBox 18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67665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7</xdr:col>
      <xdr:colOff>556260</xdr:colOff>
      <xdr:row>0</xdr:row>
      <xdr:rowOff>0</xdr:rowOff>
    </xdr:from>
    <xdr:ext cx="102657" cy="264624"/>
    <xdr:sp macro="" textlink="">
      <xdr:nvSpPr>
        <xdr:cNvPr id="7" name="TextBox 5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67665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7</xdr:col>
      <xdr:colOff>556260</xdr:colOff>
      <xdr:row>0</xdr:row>
      <xdr:rowOff>0</xdr:rowOff>
    </xdr:from>
    <xdr:ext cx="102657" cy="264624"/>
    <xdr:sp macro="" textlink="">
      <xdr:nvSpPr>
        <xdr:cNvPr id="8" name="TextBox 14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67665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11</xdr:col>
      <xdr:colOff>556260</xdr:colOff>
      <xdr:row>0</xdr:row>
      <xdr:rowOff>0</xdr:rowOff>
    </xdr:from>
    <xdr:ext cx="102657" cy="264624"/>
    <xdr:sp macro="" textlink="">
      <xdr:nvSpPr>
        <xdr:cNvPr id="9" name="TextBox 5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116814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11</xdr:col>
      <xdr:colOff>556260</xdr:colOff>
      <xdr:row>0</xdr:row>
      <xdr:rowOff>0</xdr:rowOff>
    </xdr:from>
    <xdr:ext cx="102657" cy="264624"/>
    <xdr:sp macro="" textlink="">
      <xdr:nvSpPr>
        <xdr:cNvPr id="10" name="TextBox 14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/>
      </xdr:nvSpPr>
      <xdr:spPr>
        <a:xfrm>
          <a:off x="116814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15</xdr:col>
      <xdr:colOff>556260</xdr:colOff>
      <xdr:row>0</xdr:row>
      <xdr:rowOff>0</xdr:rowOff>
    </xdr:from>
    <xdr:ext cx="102657" cy="264624"/>
    <xdr:sp macro="" textlink="">
      <xdr:nvSpPr>
        <xdr:cNvPr id="11" name="TextBox 5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159613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15</xdr:col>
      <xdr:colOff>556260</xdr:colOff>
      <xdr:row>0</xdr:row>
      <xdr:rowOff>0</xdr:rowOff>
    </xdr:from>
    <xdr:ext cx="102657" cy="264624"/>
    <xdr:sp macro="" textlink="">
      <xdr:nvSpPr>
        <xdr:cNvPr id="12" name="TextBox 14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/>
      </xdr:nvSpPr>
      <xdr:spPr>
        <a:xfrm>
          <a:off x="159613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20</xdr:col>
      <xdr:colOff>556260</xdr:colOff>
      <xdr:row>0</xdr:row>
      <xdr:rowOff>0</xdr:rowOff>
    </xdr:from>
    <xdr:ext cx="102657" cy="264624"/>
    <xdr:sp macro="" textlink="">
      <xdr:nvSpPr>
        <xdr:cNvPr id="13" name="TextBox 5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 txBox="1"/>
      </xdr:nvSpPr>
      <xdr:spPr>
        <a:xfrm>
          <a:off x="200888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24</xdr:col>
      <xdr:colOff>556260</xdr:colOff>
      <xdr:row>0</xdr:row>
      <xdr:rowOff>0</xdr:rowOff>
    </xdr:from>
    <xdr:ext cx="102657" cy="264624"/>
    <xdr:sp macro="" textlink="">
      <xdr:nvSpPr>
        <xdr:cNvPr id="14" name="TextBox 5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233908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24</xdr:col>
      <xdr:colOff>556260</xdr:colOff>
      <xdr:row>0</xdr:row>
      <xdr:rowOff>0</xdr:rowOff>
    </xdr:from>
    <xdr:ext cx="102657" cy="264624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 txBox="1"/>
      </xdr:nvSpPr>
      <xdr:spPr>
        <a:xfrm>
          <a:off x="233908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0</xdr:row>
      <xdr:rowOff>0</xdr:rowOff>
    </xdr:from>
    <xdr:ext cx="102657" cy="264624"/>
    <xdr:sp macro="" textlink="">
      <xdr:nvSpPr>
        <xdr:cNvPr id="16" name="TextBox 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 txBox="1"/>
      </xdr:nvSpPr>
      <xdr:spPr>
        <a:xfrm>
          <a:off x="30327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0</xdr:row>
      <xdr:rowOff>0</xdr:rowOff>
    </xdr:from>
    <xdr:ext cx="102657" cy="264624"/>
    <xdr:sp macro="" textlink="">
      <xdr:nvSpPr>
        <xdr:cNvPr id="17" name="TextBox 14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 txBox="1"/>
      </xdr:nvSpPr>
      <xdr:spPr>
        <a:xfrm>
          <a:off x="30327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7</xdr:col>
      <xdr:colOff>556260</xdr:colOff>
      <xdr:row>0</xdr:row>
      <xdr:rowOff>0</xdr:rowOff>
    </xdr:from>
    <xdr:ext cx="102657" cy="264624"/>
    <xdr:sp macro="" textlink="">
      <xdr:nvSpPr>
        <xdr:cNvPr id="18" name="TextBox 13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 txBox="1"/>
      </xdr:nvSpPr>
      <xdr:spPr>
        <a:xfrm>
          <a:off x="67665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7</xdr:col>
      <xdr:colOff>556260</xdr:colOff>
      <xdr:row>0</xdr:row>
      <xdr:rowOff>0</xdr:rowOff>
    </xdr:from>
    <xdr:ext cx="102657" cy="264624"/>
    <xdr:sp macro="" textlink="">
      <xdr:nvSpPr>
        <xdr:cNvPr id="19" name="TextBox 17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 txBox="1"/>
      </xdr:nvSpPr>
      <xdr:spPr>
        <a:xfrm>
          <a:off x="67665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7</xdr:col>
      <xdr:colOff>556260</xdr:colOff>
      <xdr:row>0</xdr:row>
      <xdr:rowOff>0</xdr:rowOff>
    </xdr:from>
    <xdr:ext cx="102657" cy="264624"/>
    <xdr:sp macro="" textlink="">
      <xdr:nvSpPr>
        <xdr:cNvPr id="20" name="TextBox 18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 txBox="1"/>
      </xdr:nvSpPr>
      <xdr:spPr>
        <a:xfrm>
          <a:off x="67665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7</xdr:col>
      <xdr:colOff>556260</xdr:colOff>
      <xdr:row>0</xdr:row>
      <xdr:rowOff>0</xdr:rowOff>
    </xdr:from>
    <xdr:ext cx="102657" cy="264624"/>
    <xdr:sp macro="" textlink="">
      <xdr:nvSpPr>
        <xdr:cNvPr id="21" name="TextBox 5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 txBox="1"/>
      </xdr:nvSpPr>
      <xdr:spPr>
        <a:xfrm>
          <a:off x="67665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7</xdr:col>
      <xdr:colOff>556260</xdr:colOff>
      <xdr:row>0</xdr:row>
      <xdr:rowOff>0</xdr:rowOff>
    </xdr:from>
    <xdr:ext cx="102657" cy="264624"/>
    <xdr:sp macro="" textlink="">
      <xdr:nvSpPr>
        <xdr:cNvPr id="22" name="TextBox 14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 txBox="1"/>
      </xdr:nvSpPr>
      <xdr:spPr>
        <a:xfrm>
          <a:off x="67665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15</xdr:col>
      <xdr:colOff>556260</xdr:colOff>
      <xdr:row>0</xdr:row>
      <xdr:rowOff>0</xdr:rowOff>
    </xdr:from>
    <xdr:ext cx="102657" cy="264624"/>
    <xdr:sp macro="" textlink="">
      <xdr:nvSpPr>
        <xdr:cNvPr id="23" name="TextBox 5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 txBox="1"/>
      </xdr:nvSpPr>
      <xdr:spPr>
        <a:xfrm>
          <a:off x="159613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15</xdr:col>
      <xdr:colOff>556260</xdr:colOff>
      <xdr:row>0</xdr:row>
      <xdr:rowOff>0</xdr:rowOff>
    </xdr:from>
    <xdr:ext cx="102657" cy="264624"/>
    <xdr:sp macro="" textlink="">
      <xdr:nvSpPr>
        <xdr:cNvPr id="24" name="TextBox 14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 txBox="1"/>
      </xdr:nvSpPr>
      <xdr:spPr>
        <a:xfrm>
          <a:off x="159613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20</xdr:col>
      <xdr:colOff>556260</xdr:colOff>
      <xdr:row>0</xdr:row>
      <xdr:rowOff>0</xdr:rowOff>
    </xdr:from>
    <xdr:ext cx="102657" cy="264624"/>
    <xdr:sp macro="" textlink="">
      <xdr:nvSpPr>
        <xdr:cNvPr id="25" name="TextBox 5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 txBox="1"/>
      </xdr:nvSpPr>
      <xdr:spPr>
        <a:xfrm>
          <a:off x="200888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24</xdr:col>
      <xdr:colOff>556260</xdr:colOff>
      <xdr:row>0</xdr:row>
      <xdr:rowOff>0</xdr:rowOff>
    </xdr:from>
    <xdr:ext cx="102657" cy="264624"/>
    <xdr:sp macro="" textlink="">
      <xdr:nvSpPr>
        <xdr:cNvPr id="26" name="TextBox 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SpPr txBox="1"/>
      </xdr:nvSpPr>
      <xdr:spPr>
        <a:xfrm>
          <a:off x="233908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24</xdr:col>
      <xdr:colOff>556260</xdr:colOff>
      <xdr:row>0</xdr:row>
      <xdr:rowOff>0</xdr:rowOff>
    </xdr:from>
    <xdr:ext cx="102657" cy="264624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233908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5</xdr:row>
      <xdr:rowOff>0</xdr:rowOff>
    </xdr:from>
    <xdr:ext cx="102657" cy="264624"/>
    <xdr:sp macro="" textlink="">
      <xdr:nvSpPr>
        <xdr:cNvPr id="42" name="TextBox 5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30327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7</xdr:col>
      <xdr:colOff>556260</xdr:colOff>
      <xdr:row>5</xdr:row>
      <xdr:rowOff>0</xdr:rowOff>
    </xdr:from>
    <xdr:ext cx="102657" cy="264624"/>
    <xdr:sp macro="" textlink="">
      <xdr:nvSpPr>
        <xdr:cNvPr id="43" name="TextBox 13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SpPr txBox="1"/>
      </xdr:nvSpPr>
      <xdr:spPr>
        <a:xfrm>
          <a:off x="67665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5</xdr:row>
      <xdr:rowOff>0</xdr:rowOff>
    </xdr:from>
    <xdr:ext cx="102657" cy="264624"/>
    <xdr:sp macro="" textlink="">
      <xdr:nvSpPr>
        <xdr:cNvPr id="44" name="TextBox 14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SpPr txBox="1"/>
      </xdr:nvSpPr>
      <xdr:spPr>
        <a:xfrm>
          <a:off x="30327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7</xdr:col>
      <xdr:colOff>556260</xdr:colOff>
      <xdr:row>5</xdr:row>
      <xdr:rowOff>0</xdr:rowOff>
    </xdr:from>
    <xdr:ext cx="102657" cy="264624"/>
    <xdr:sp macro="" textlink="">
      <xdr:nvSpPr>
        <xdr:cNvPr id="45" name="TextBox 17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7665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7</xdr:col>
      <xdr:colOff>556260</xdr:colOff>
      <xdr:row>5</xdr:row>
      <xdr:rowOff>0</xdr:rowOff>
    </xdr:from>
    <xdr:ext cx="102657" cy="264624"/>
    <xdr:sp macro="" textlink="">
      <xdr:nvSpPr>
        <xdr:cNvPr id="46" name="TextBox 18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67665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7</xdr:col>
      <xdr:colOff>556260</xdr:colOff>
      <xdr:row>5</xdr:row>
      <xdr:rowOff>0</xdr:rowOff>
    </xdr:from>
    <xdr:ext cx="102657" cy="264624"/>
    <xdr:sp macro="" textlink="">
      <xdr:nvSpPr>
        <xdr:cNvPr id="47" name="TextBox 5">
          <a:extLst>
            <a:ext uri="{FF2B5EF4-FFF2-40B4-BE49-F238E27FC236}">
              <a16:creationId xmlns:a16="http://schemas.microsoft.com/office/drawing/2014/main" id="{00000000-0008-0000-0300-00002F000000}"/>
            </a:ext>
          </a:extLst>
        </xdr:cNvPr>
        <xdr:cNvSpPr txBox="1"/>
      </xdr:nvSpPr>
      <xdr:spPr>
        <a:xfrm>
          <a:off x="67665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7</xdr:col>
      <xdr:colOff>556260</xdr:colOff>
      <xdr:row>5</xdr:row>
      <xdr:rowOff>0</xdr:rowOff>
    </xdr:from>
    <xdr:ext cx="102657" cy="264624"/>
    <xdr:sp macro="" textlink="">
      <xdr:nvSpPr>
        <xdr:cNvPr id="48" name="TextBox 14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67665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11</xdr:col>
      <xdr:colOff>556260</xdr:colOff>
      <xdr:row>5</xdr:row>
      <xdr:rowOff>0</xdr:rowOff>
    </xdr:from>
    <xdr:ext cx="102657" cy="264624"/>
    <xdr:sp macro="" textlink="">
      <xdr:nvSpPr>
        <xdr:cNvPr id="49" name="TextBox 5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SpPr txBox="1"/>
      </xdr:nvSpPr>
      <xdr:spPr>
        <a:xfrm>
          <a:off x="116814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11</xdr:col>
      <xdr:colOff>556260</xdr:colOff>
      <xdr:row>5</xdr:row>
      <xdr:rowOff>0</xdr:rowOff>
    </xdr:from>
    <xdr:ext cx="102657" cy="264624"/>
    <xdr:sp macro="" textlink="">
      <xdr:nvSpPr>
        <xdr:cNvPr id="50" name="TextBox 14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16814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15</xdr:col>
      <xdr:colOff>556260</xdr:colOff>
      <xdr:row>5</xdr:row>
      <xdr:rowOff>0</xdr:rowOff>
    </xdr:from>
    <xdr:ext cx="102657" cy="264624"/>
    <xdr:sp macro="" textlink="">
      <xdr:nvSpPr>
        <xdr:cNvPr id="51" name="TextBox 5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SpPr txBox="1"/>
      </xdr:nvSpPr>
      <xdr:spPr>
        <a:xfrm>
          <a:off x="159613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15</xdr:col>
      <xdr:colOff>556260</xdr:colOff>
      <xdr:row>5</xdr:row>
      <xdr:rowOff>0</xdr:rowOff>
    </xdr:from>
    <xdr:ext cx="102657" cy="264624"/>
    <xdr:sp macro="" textlink="">
      <xdr:nvSpPr>
        <xdr:cNvPr id="52" name="TextBox 14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SpPr txBox="1"/>
      </xdr:nvSpPr>
      <xdr:spPr>
        <a:xfrm>
          <a:off x="159613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20</xdr:col>
      <xdr:colOff>556260</xdr:colOff>
      <xdr:row>5</xdr:row>
      <xdr:rowOff>0</xdr:rowOff>
    </xdr:from>
    <xdr:ext cx="102657" cy="264624"/>
    <xdr:sp macro="" textlink="">
      <xdr:nvSpPr>
        <xdr:cNvPr id="53" name="TextBox 5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SpPr txBox="1"/>
      </xdr:nvSpPr>
      <xdr:spPr>
        <a:xfrm>
          <a:off x="200888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24</xdr:col>
      <xdr:colOff>556260</xdr:colOff>
      <xdr:row>5</xdr:row>
      <xdr:rowOff>0</xdr:rowOff>
    </xdr:from>
    <xdr:ext cx="102657" cy="264624"/>
    <xdr:sp macro="" textlink="">
      <xdr:nvSpPr>
        <xdr:cNvPr id="54" name="TextBox 5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SpPr txBox="1"/>
      </xdr:nvSpPr>
      <xdr:spPr>
        <a:xfrm>
          <a:off x="233908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24</xdr:col>
      <xdr:colOff>556260</xdr:colOff>
      <xdr:row>5</xdr:row>
      <xdr:rowOff>0</xdr:rowOff>
    </xdr:from>
    <xdr:ext cx="102657" cy="264624"/>
    <xdr:sp macro="" textlink="">
      <xdr:nvSpPr>
        <xdr:cNvPr id="55" name="TextBox 14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SpPr txBox="1"/>
      </xdr:nvSpPr>
      <xdr:spPr>
        <a:xfrm>
          <a:off x="233908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0</xdr:row>
      <xdr:rowOff>0</xdr:rowOff>
    </xdr:from>
    <xdr:ext cx="102657" cy="264624"/>
    <xdr:sp macro="" textlink="">
      <xdr:nvSpPr>
        <xdr:cNvPr id="56" name="TextBox 5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SpPr txBox="1"/>
      </xdr:nvSpPr>
      <xdr:spPr>
        <a:xfrm>
          <a:off x="30327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7</xdr:col>
      <xdr:colOff>556260</xdr:colOff>
      <xdr:row>0</xdr:row>
      <xdr:rowOff>0</xdr:rowOff>
    </xdr:from>
    <xdr:ext cx="102657" cy="264624"/>
    <xdr:sp macro="" textlink="">
      <xdr:nvSpPr>
        <xdr:cNvPr id="57" name="TextBox 13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SpPr txBox="1"/>
      </xdr:nvSpPr>
      <xdr:spPr>
        <a:xfrm>
          <a:off x="67665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3</xdr:col>
      <xdr:colOff>556260</xdr:colOff>
      <xdr:row>0</xdr:row>
      <xdr:rowOff>0</xdr:rowOff>
    </xdr:from>
    <xdr:ext cx="102657" cy="264624"/>
    <xdr:sp macro="" textlink="">
      <xdr:nvSpPr>
        <xdr:cNvPr id="58" name="TextBox 14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SpPr txBox="1"/>
      </xdr:nvSpPr>
      <xdr:spPr>
        <a:xfrm>
          <a:off x="30327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7</xdr:col>
      <xdr:colOff>556260</xdr:colOff>
      <xdr:row>0</xdr:row>
      <xdr:rowOff>0</xdr:rowOff>
    </xdr:from>
    <xdr:ext cx="102657" cy="264624"/>
    <xdr:sp macro="" textlink="">
      <xdr:nvSpPr>
        <xdr:cNvPr id="59" name="TextBox 17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SpPr txBox="1"/>
      </xdr:nvSpPr>
      <xdr:spPr>
        <a:xfrm>
          <a:off x="67665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7</xdr:col>
      <xdr:colOff>556260</xdr:colOff>
      <xdr:row>0</xdr:row>
      <xdr:rowOff>0</xdr:rowOff>
    </xdr:from>
    <xdr:ext cx="102657" cy="264624"/>
    <xdr:sp macro="" textlink="">
      <xdr:nvSpPr>
        <xdr:cNvPr id="60" name="TextBox 18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67665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7</xdr:col>
      <xdr:colOff>556260</xdr:colOff>
      <xdr:row>0</xdr:row>
      <xdr:rowOff>0</xdr:rowOff>
    </xdr:from>
    <xdr:ext cx="102657" cy="264624"/>
    <xdr:sp macro="" textlink="">
      <xdr:nvSpPr>
        <xdr:cNvPr id="61" name="TextBox 5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67665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7</xdr:col>
      <xdr:colOff>556260</xdr:colOff>
      <xdr:row>0</xdr:row>
      <xdr:rowOff>0</xdr:rowOff>
    </xdr:from>
    <xdr:ext cx="102657" cy="264624"/>
    <xdr:sp macro="" textlink="">
      <xdr:nvSpPr>
        <xdr:cNvPr id="62" name="TextBox 14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67665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11</xdr:col>
      <xdr:colOff>556260</xdr:colOff>
      <xdr:row>0</xdr:row>
      <xdr:rowOff>0</xdr:rowOff>
    </xdr:from>
    <xdr:ext cx="102657" cy="264624"/>
    <xdr:sp macro="" textlink="">
      <xdr:nvSpPr>
        <xdr:cNvPr id="63" name="TextBox 5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16814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11</xdr:col>
      <xdr:colOff>556260</xdr:colOff>
      <xdr:row>0</xdr:row>
      <xdr:rowOff>0</xdr:rowOff>
    </xdr:from>
    <xdr:ext cx="102657" cy="264624"/>
    <xdr:sp macro="" textlink="">
      <xdr:nvSpPr>
        <xdr:cNvPr id="64" name="TextBox 14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16814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15</xdr:col>
      <xdr:colOff>556260</xdr:colOff>
      <xdr:row>0</xdr:row>
      <xdr:rowOff>0</xdr:rowOff>
    </xdr:from>
    <xdr:ext cx="102657" cy="264624"/>
    <xdr:sp macro="" textlink="">
      <xdr:nvSpPr>
        <xdr:cNvPr id="65" name="TextBox 5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SpPr txBox="1"/>
      </xdr:nvSpPr>
      <xdr:spPr>
        <a:xfrm>
          <a:off x="159613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15</xdr:col>
      <xdr:colOff>556260</xdr:colOff>
      <xdr:row>0</xdr:row>
      <xdr:rowOff>0</xdr:rowOff>
    </xdr:from>
    <xdr:ext cx="102657" cy="264624"/>
    <xdr:sp macro="" textlink="">
      <xdr:nvSpPr>
        <xdr:cNvPr id="66" name="TextBox 14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59613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20</xdr:col>
      <xdr:colOff>556260</xdr:colOff>
      <xdr:row>0</xdr:row>
      <xdr:rowOff>0</xdr:rowOff>
    </xdr:from>
    <xdr:ext cx="102657" cy="264624"/>
    <xdr:sp macro="" textlink="">
      <xdr:nvSpPr>
        <xdr:cNvPr id="67" name="TextBox 5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SpPr txBox="1"/>
      </xdr:nvSpPr>
      <xdr:spPr>
        <a:xfrm>
          <a:off x="200888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24</xdr:col>
      <xdr:colOff>556260</xdr:colOff>
      <xdr:row>0</xdr:row>
      <xdr:rowOff>0</xdr:rowOff>
    </xdr:from>
    <xdr:ext cx="102657" cy="264624"/>
    <xdr:sp macro="" textlink="">
      <xdr:nvSpPr>
        <xdr:cNvPr id="68" name="TextBox 5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SpPr txBox="1"/>
      </xdr:nvSpPr>
      <xdr:spPr>
        <a:xfrm>
          <a:off x="233908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  <xdr:oneCellAnchor>
    <xdr:from>
      <xdr:col>24</xdr:col>
      <xdr:colOff>556260</xdr:colOff>
      <xdr:row>0</xdr:row>
      <xdr:rowOff>0</xdr:rowOff>
    </xdr:from>
    <xdr:ext cx="102657" cy="264624"/>
    <xdr:sp macro="" textlink="">
      <xdr:nvSpPr>
        <xdr:cNvPr id="69" name="TextBox 14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SpPr txBox="1"/>
      </xdr:nvSpPr>
      <xdr:spPr>
        <a:xfrm>
          <a:off x="23390860" y="0"/>
          <a:ext cx="102657" cy="264624"/>
        </a:xfrm>
        <a:prstGeom prst="rect">
          <a:avLst/>
        </a:prstGeom>
        <a:noFill/>
        <a:ln w="12700" cap="flat">
          <a:noFill/>
          <a:miter lim="400000"/>
        </a:ln>
        <a:effectLst/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clip" horzOverflow="clip" vert="horz" wrap="none" lIns="50800" tIns="50800" rIns="50800" bIns="50800" numCol="1" spcCol="38100" rtlCol="0" anchor="t">
          <a:spAutoFit/>
        </a:bodyPr>
        <a:lstStyle/>
        <a:p>
          <a:pPr marL="0" marR="0" indent="0" algn="l" defTabSz="457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</a:pPr>
          <a:endParaRPr kumimoji="0" lang="ko-KR" altLang="en-US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3</xdr:col>
      <xdr:colOff>0</xdr:colOff>
      <xdr:row>12</xdr:row>
      <xdr:rowOff>0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</xdr:row>
      <xdr:rowOff>0</xdr:rowOff>
    </xdr:from>
    <xdr:to>
      <xdr:col>6</xdr:col>
      <xdr:colOff>0</xdr:colOff>
      <xdr:row>12</xdr:row>
      <xdr:rowOff>0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2</xdr:row>
      <xdr:rowOff>0</xdr:rowOff>
    </xdr:from>
    <xdr:to>
      <xdr:col>9</xdr:col>
      <xdr:colOff>0</xdr:colOff>
      <xdr:row>12</xdr:row>
      <xdr:rowOff>0</xdr:rowOff>
    </xdr:to>
    <xdr:graphicFrame macro="">
      <xdr:nvGraphicFramePr>
        <xdr:cNvPr id="4" name="圖表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12</xdr:col>
      <xdr:colOff>0</xdr:colOff>
      <xdr:row>29</xdr:row>
      <xdr:rowOff>0</xdr:rowOff>
    </xdr:to>
    <xdr:graphicFrame macro="">
      <xdr:nvGraphicFramePr>
        <xdr:cNvPr id="5" name="圖表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0</xdr:colOff>
      <xdr:row>15</xdr:row>
      <xdr:rowOff>0</xdr:rowOff>
    </xdr:from>
    <xdr:to>
      <xdr:col>21</xdr:col>
      <xdr:colOff>0</xdr:colOff>
      <xdr:row>29</xdr:row>
      <xdr:rowOff>0</xdr:rowOff>
    </xdr:to>
    <xdr:graphicFrame macro="">
      <xdr:nvGraphicFramePr>
        <xdr:cNvPr id="6" name="圖表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47</xdr:row>
      <xdr:rowOff>0</xdr:rowOff>
    </xdr:from>
    <xdr:to>
      <xdr:col>12</xdr:col>
      <xdr:colOff>0</xdr:colOff>
      <xdr:row>64</xdr:row>
      <xdr:rowOff>0</xdr:rowOff>
    </xdr:to>
    <xdr:graphicFrame macro="">
      <xdr:nvGraphicFramePr>
        <xdr:cNvPr id="7" name="圖表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66</xdr:row>
      <xdr:rowOff>0</xdr:rowOff>
    </xdr:from>
    <xdr:to>
      <xdr:col>9</xdr:col>
      <xdr:colOff>0</xdr:colOff>
      <xdr:row>87</xdr:row>
      <xdr:rowOff>0</xdr:rowOff>
    </xdr:to>
    <xdr:graphicFrame macro="">
      <xdr:nvGraphicFramePr>
        <xdr:cNvPr id="8" name="圖表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66</xdr:row>
      <xdr:rowOff>0</xdr:rowOff>
    </xdr:from>
    <xdr:to>
      <xdr:col>18</xdr:col>
      <xdr:colOff>0</xdr:colOff>
      <xdr:row>87</xdr:row>
      <xdr:rowOff>0</xdr:rowOff>
    </xdr:to>
    <xdr:graphicFrame macro="">
      <xdr:nvGraphicFramePr>
        <xdr:cNvPr id="9" name="圖表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18</xdr:col>
      <xdr:colOff>0</xdr:colOff>
      <xdr:row>66</xdr:row>
      <xdr:rowOff>0</xdr:rowOff>
    </xdr:from>
    <xdr:to>
      <xdr:col>27</xdr:col>
      <xdr:colOff>0</xdr:colOff>
      <xdr:row>87</xdr:row>
      <xdr:rowOff>0</xdr:rowOff>
    </xdr:to>
    <xdr:graphicFrame macro="">
      <xdr:nvGraphicFramePr>
        <xdr:cNvPr id="10" name="圖表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87</xdr:row>
      <xdr:rowOff>0</xdr:rowOff>
    </xdr:from>
    <xdr:to>
      <xdr:col>9</xdr:col>
      <xdr:colOff>0</xdr:colOff>
      <xdr:row>107</xdr:row>
      <xdr:rowOff>0</xdr:rowOff>
    </xdr:to>
    <xdr:graphicFrame macro="">
      <xdr:nvGraphicFramePr>
        <xdr:cNvPr id="11" name="圖表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9</xdr:col>
      <xdr:colOff>0</xdr:colOff>
      <xdr:row>87</xdr:row>
      <xdr:rowOff>0</xdr:rowOff>
    </xdr:from>
    <xdr:to>
      <xdr:col>18</xdr:col>
      <xdr:colOff>0</xdr:colOff>
      <xdr:row>107</xdr:row>
      <xdr:rowOff>0</xdr:rowOff>
    </xdr:to>
    <xdr:graphicFrame macro="">
      <xdr:nvGraphicFramePr>
        <xdr:cNvPr id="12" name="圖表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32</xdr:row>
      <xdr:rowOff>0</xdr:rowOff>
    </xdr:from>
    <xdr:to>
      <xdr:col>3</xdr:col>
      <xdr:colOff>0</xdr:colOff>
      <xdr:row>45</xdr:row>
      <xdr:rowOff>0</xdr:rowOff>
    </xdr:to>
    <xdr:graphicFrame macro="">
      <xdr:nvGraphicFramePr>
        <xdr:cNvPr id="13" name="圖表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110</xdr:row>
      <xdr:rowOff>0</xdr:rowOff>
    </xdr:from>
    <xdr:to>
      <xdr:col>3</xdr:col>
      <xdr:colOff>0</xdr:colOff>
      <xdr:row>122</xdr:row>
      <xdr:rowOff>0</xdr:rowOff>
    </xdr:to>
    <xdr:graphicFrame macro="">
      <xdr:nvGraphicFramePr>
        <xdr:cNvPr id="14" name="圖表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</xdr:col>
      <xdr:colOff>0</xdr:colOff>
      <xdr:row>32</xdr:row>
      <xdr:rowOff>0</xdr:rowOff>
    </xdr:from>
    <xdr:to>
      <xdr:col>6</xdr:col>
      <xdr:colOff>0</xdr:colOff>
      <xdr:row>45</xdr:row>
      <xdr:rowOff>0</xdr:rowOff>
    </xdr:to>
    <xdr:graphicFrame macro="">
      <xdr:nvGraphicFramePr>
        <xdr:cNvPr id="15" name="圖表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</xdr:col>
      <xdr:colOff>0</xdr:colOff>
      <xdr:row>110</xdr:row>
      <xdr:rowOff>0</xdr:rowOff>
    </xdr:from>
    <xdr:to>
      <xdr:col>6</xdr:col>
      <xdr:colOff>0</xdr:colOff>
      <xdr:row>122</xdr:row>
      <xdr:rowOff>0</xdr:rowOff>
    </xdr:to>
    <xdr:graphicFrame macro="">
      <xdr:nvGraphicFramePr>
        <xdr:cNvPr id="16" name="圖表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07A32D-380B-F246-A54F-E4ED0A97111B}">
  <sheetPr codeName="工作表1"/>
  <dimension ref="A1:I17"/>
  <sheetViews>
    <sheetView zoomScale="123" zoomScaleNormal="123" workbookViewId="0">
      <selection activeCell="A5" sqref="A5"/>
    </sheetView>
  </sheetViews>
  <sheetFormatPr baseColWidth="10" defaultRowHeight="15"/>
  <sheetData>
    <row r="1" spans="1:9">
      <c r="A1" t="s">
        <v>0</v>
      </c>
      <c r="C1" s="1">
        <v>1</v>
      </c>
      <c r="D1" t="s">
        <v>1</v>
      </c>
      <c r="F1" s="2">
        <v>6.7000000000000004E-2</v>
      </c>
      <c r="G1" t="s">
        <v>2</v>
      </c>
      <c r="H1" s="3" t="s">
        <v>67</v>
      </c>
      <c r="I1" s="3">
        <v>1000</v>
      </c>
    </row>
    <row r="2" spans="1:9">
      <c r="A2" s="4" t="s">
        <v>91</v>
      </c>
      <c r="B2" s="4" t="s">
        <v>92</v>
      </c>
      <c r="C2" s="5" t="s">
        <v>93</v>
      </c>
      <c r="D2" s="4" t="s">
        <v>94</v>
      </c>
      <c r="E2" s="4" t="s">
        <v>95</v>
      </c>
      <c r="F2" s="6" t="s">
        <v>96</v>
      </c>
      <c r="G2" s="4" t="s">
        <v>97</v>
      </c>
    </row>
    <row r="3" spans="1:9">
      <c r="A3" s="18" t="s">
        <v>73</v>
      </c>
      <c r="B3" s="8" t="s">
        <v>69</v>
      </c>
      <c r="C3" s="9">
        <v>1000000</v>
      </c>
      <c r="D3" s="10">
        <v>7.3999999999999996E-2</v>
      </c>
      <c r="E3" s="9">
        <v>13</v>
      </c>
      <c r="F3" s="9">
        <v>20</v>
      </c>
      <c r="G3" s="9">
        <v>120</v>
      </c>
    </row>
    <row r="4" spans="1:9">
      <c r="A4" s="18" t="s">
        <v>70</v>
      </c>
      <c r="B4" s="8" t="s">
        <v>71</v>
      </c>
      <c r="C4" s="9">
        <v>1000000</v>
      </c>
      <c r="D4" s="10">
        <v>7.3999999999999996E-2</v>
      </c>
      <c r="E4" s="9">
        <v>14</v>
      </c>
      <c r="F4" s="9">
        <v>20</v>
      </c>
      <c r="G4" s="9">
        <v>120</v>
      </c>
    </row>
    <row r="5" spans="1:9">
      <c r="A5" s="18" t="s">
        <v>68</v>
      </c>
      <c r="B5" s="8" t="s">
        <v>72</v>
      </c>
      <c r="C5" s="9">
        <v>1000000</v>
      </c>
      <c r="D5" s="10">
        <v>7.3999999999999996E-2</v>
      </c>
      <c r="E5" s="9">
        <v>16</v>
      </c>
      <c r="F5" s="9">
        <v>20</v>
      </c>
      <c r="G5" s="9">
        <v>120</v>
      </c>
    </row>
    <row r="6" spans="1:9">
      <c r="A6" s="7" t="s">
        <v>3</v>
      </c>
      <c r="B6" s="8" t="s">
        <v>4</v>
      </c>
      <c r="C6" s="9">
        <v>30.353518000000001</v>
      </c>
      <c r="D6" s="10">
        <v>6.7000000000000004E-2</v>
      </c>
      <c r="E6" s="9">
        <v>0</v>
      </c>
      <c r="F6" s="9">
        <v>7</v>
      </c>
      <c r="G6" s="9">
        <v>19</v>
      </c>
    </row>
    <row r="7" spans="1:9">
      <c r="A7" s="7" t="s">
        <v>5</v>
      </c>
      <c r="B7" s="8" t="s">
        <v>6</v>
      </c>
      <c r="C7" s="9">
        <v>26.052395000000001</v>
      </c>
      <c r="D7" s="10">
        <v>6.7000000000000004E-2</v>
      </c>
      <c r="E7" s="9">
        <v>0</v>
      </c>
      <c r="F7" s="9">
        <v>7</v>
      </c>
      <c r="G7" s="9">
        <v>12</v>
      </c>
    </row>
    <row r="8" spans="1:9">
      <c r="A8" s="7" t="s">
        <v>7</v>
      </c>
      <c r="B8" s="8" t="s">
        <v>8</v>
      </c>
      <c r="C8" s="9">
        <v>22.49062</v>
      </c>
      <c r="D8" s="10">
        <v>6.7000000000000004E-2</v>
      </c>
      <c r="E8" s="9">
        <v>0</v>
      </c>
      <c r="F8" s="9">
        <v>7</v>
      </c>
      <c r="G8" s="9">
        <v>13</v>
      </c>
    </row>
    <row r="9" spans="1:9">
      <c r="A9" s="7" t="s">
        <v>9</v>
      </c>
      <c r="B9" s="8" t="s">
        <v>10</v>
      </c>
      <c r="C9" s="9">
        <v>25.549302000000001</v>
      </c>
      <c r="D9" s="10">
        <v>6.7000000000000004E-2</v>
      </c>
      <c r="E9" s="9">
        <v>0</v>
      </c>
      <c r="F9" s="9">
        <v>7</v>
      </c>
      <c r="G9" s="9">
        <v>15</v>
      </c>
    </row>
    <row r="10" spans="1:9">
      <c r="A10" s="7"/>
      <c r="B10" s="8"/>
      <c r="C10" s="9"/>
      <c r="D10" s="10"/>
      <c r="E10" s="9"/>
      <c r="F10" s="9"/>
      <c r="G10" s="9"/>
    </row>
    <row r="11" spans="1:9">
      <c r="A11" s="7"/>
      <c r="B11" s="8"/>
      <c r="C11" s="9"/>
      <c r="D11" s="10"/>
      <c r="E11" s="9"/>
      <c r="F11" s="9"/>
      <c r="G11" s="9"/>
    </row>
    <row r="12" spans="1:9">
      <c r="A12" s="7"/>
      <c r="B12" s="8"/>
      <c r="C12" s="9"/>
      <c r="D12" s="10"/>
      <c r="E12" s="9"/>
      <c r="F12" s="9"/>
      <c r="G12" s="9"/>
    </row>
    <row r="13" spans="1:9">
      <c r="A13" s="7"/>
      <c r="B13" s="8"/>
      <c r="C13" s="9"/>
      <c r="D13" s="10"/>
      <c r="E13" s="9"/>
      <c r="F13" s="9"/>
      <c r="G13" s="9"/>
    </row>
    <row r="14" spans="1:9">
      <c r="A14" s="7"/>
      <c r="B14" s="8"/>
      <c r="C14" s="9"/>
      <c r="D14" s="10"/>
      <c r="E14" s="9"/>
      <c r="F14" s="9"/>
      <c r="G14" s="9"/>
    </row>
    <row r="15" spans="1:9">
      <c r="A15" s="7"/>
      <c r="B15" s="8"/>
      <c r="C15" s="9"/>
      <c r="D15" s="10"/>
      <c r="E15" s="9"/>
      <c r="F15" s="9"/>
      <c r="G15" s="9"/>
    </row>
    <row r="16" spans="1:9">
      <c r="A16" s="7"/>
      <c r="B16" s="8"/>
      <c r="C16" s="9"/>
      <c r="D16" s="10"/>
      <c r="E16" s="9"/>
      <c r="F16" s="9"/>
      <c r="G16" s="9"/>
    </row>
    <row r="17" spans="1:7">
      <c r="A17" s="7"/>
      <c r="B17" s="8"/>
      <c r="C17" s="9"/>
      <c r="D17" s="10"/>
      <c r="E17" s="9"/>
      <c r="F17" s="9"/>
      <c r="G17" s="9"/>
    </row>
  </sheetData>
  <phoneticPr fontId="2" type="noConversion"/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C436B-E02C-0F4C-9816-2D93F8D5963E}">
  <sheetPr codeName="工作表2"/>
  <dimension ref="A10:K255"/>
  <sheetViews>
    <sheetView tabSelected="1" workbookViewId="0">
      <selection activeCell="N7" sqref="N7"/>
    </sheetView>
  </sheetViews>
  <sheetFormatPr baseColWidth="10" defaultRowHeight="15"/>
  <sheetData>
    <row r="10" spans="1:11">
      <c r="A10" s="11" t="s">
        <v>98</v>
      </c>
      <c r="B10" s="11" t="s">
        <v>99</v>
      </c>
      <c r="C10" s="11" t="s">
        <v>100</v>
      </c>
      <c r="D10" s="11" t="s">
        <v>101</v>
      </c>
      <c r="E10" s="11" t="s">
        <v>102</v>
      </c>
      <c r="F10" s="11" t="s">
        <v>103</v>
      </c>
      <c r="G10" s="11" t="s">
        <v>104</v>
      </c>
      <c r="H10" s="11" t="s">
        <v>105</v>
      </c>
      <c r="I10" s="11" t="s">
        <v>11</v>
      </c>
      <c r="J10" s="11" t="s">
        <v>106</v>
      </c>
      <c r="K10" s="11" t="s">
        <v>107</v>
      </c>
    </row>
    <row r="11" spans="1:11">
      <c r="A11" s="12" t="s">
        <v>84</v>
      </c>
      <c r="B11" s="12" t="s">
        <v>135</v>
      </c>
      <c r="C11" s="12" t="s">
        <v>136</v>
      </c>
      <c r="D11" s="12" t="s">
        <v>137</v>
      </c>
      <c r="E11" s="12" t="s">
        <v>12</v>
      </c>
      <c r="F11" s="12" t="s">
        <v>13</v>
      </c>
      <c r="G11" s="12" t="s">
        <v>14</v>
      </c>
      <c r="H11" s="12" t="s">
        <v>15</v>
      </c>
      <c r="I11" s="13">
        <v>1</v>
      </c>
      <c r="J11" s="13">
        <v>1942.6502969999999</v>
      </c>
      <c r="K11" s="13">
        <v>25619</v>
      </c>
    </row>
    <row r="12" spans="1:11">
      <c r="A12" s="12" t="s">
        <v>84</v>
      </c>
      <c r="B12" s="12" t="s">
        <v>135</v>
      </c>
      <c r="C12" s="12" t="s">
        <v>136</v>
      </c>
      <c r="D12" s="12" t="s">
        <v>137</v>
      </c>
      <c r="E12" s="12" t="s">
        <v>12</v>
      </c>
      <c r="F12" s="12" t="s">
        <v>13</v>
      </c>
      <c r="G12" s="12" t="s">
        <v>22</v>
      </c>
      <c r="H12" s="12" t="s">
        <v>23</v>
      </c>
      <c r="I12" s="13">
        <v>1</v>
      </c>
      <c r="J12" s="13">
        <v>-12620</v>
      </c>
      <c r="K12" s="13">
        <v>0</v>
      </c>
    </row>
    <row r="13" spans="1:11">
      <c r="A13" s="12" t="s">
        <v>84</v>
      </c>
      <c r="B13" s="12" t="s">
        <v>135</v>
      </c>
      <c r="C13" s="12" t="s">
        <v>136</v>
      </c>
      <c r="D13" s="12" t="s">
        <v>137</v>
      </c>
      <c r="E13" s="12" t="s">
        <v>12</v>
      </c>
      <c r="F13" s="12" t="s">
        <v>13</v>
      </c>
      <c r="G13" s="12" t="s">
        <v>24</v>
      </c>
      <c r="H13" s="12" t="s">
        <v>25</v>
      </c>
      <c r="I13" s="13">
        <v>3</v>
      </c>
      <c r="J13" s="13">
        <v>3972</v>
      </c>
      <c r="K13" s="13">
        <v>82572</v>
      </c>
    </row>
    <row r="14" spans="1:11">
      <c r="A14" s="12" t="s">
        <v>84</v>
      </c>
      <c r="B14" s="12" t="s">
        <v>135</v>
      </c>
      <c r="C14" s="12" t="s">
        <v>136</v>
      </c>
      <c r="D14" s="12" t="s">
        <v>137</v>
      </c>
      <c r="E14" s="12" t="s">
        <v>26</v>
      </c>
      <c r="F14" s="12" t="s">
        <v>27</v>
      </c>
      <c r="G14" s="12" t="s">
        <v>30</v>
      </c>
      <c r="H14" s="12" t="s">
        <v>31</v>
      </c>
      <c r="I14" s="13">
        <v>2</v>
      </c>
      <c r="J14" s="13">
        <v>328.70996600000001</v>
      </c>
      <c r="K14" s="13">
        <v>1984</v>
      </c>
    </row>
    <row r="15" spans="1:11">
      <c r="A15" s="12" t="s">
        <v>84</v>
      </c>
      <c r="B15" s="12" t="s">
        <v>135</v>
      </c>
      <c r="C15" s="12" t="s">
        <v>136</v>
      </c>
      <c r="D15" s="12" t="s">
        <v>137</v>
      </c>
      <c r="E15" s="12" t="s">
        <v>26</v>
      </c>
      <c r="F15" s="12" t="s">
        <v>27</v>
      </c>
      <c r="G15" s="12" t="s">
        <v>32</v>
      </c>
      <c r="H15" s="12" t="s">
        <v>33</v>
      </c>
      <c r="I15" s="13">
        <v>5</v>
      </c>
      <c r="J15" s="13">
        <v>1937.9996679999999</v>
      </c>
      <c r="K15" s="13">
        <v>24428</v>
      </c>
    </row>
    <row r="16" spans="1:11">
      <c r="A16" s="12" t="s">
        <v>84</v>
      </c>
      <c r="B16" s="12" t="s">
        <v>135</v>
      </c>
      <c r="C16" s="12" t="s">
        <v>136</v>
      </c>
      <c r="D16" s="12" t="s">
        <v>137</v>
      </c>
      <c r="E16" s="12" t="s">
        <v>26</v>
      </c>
      <c r="F16" s="12" t="s">
        <v>27</v>
      </c>
      <c r="G16" s="12" t="s">
        <v>159</v>
      </c>
      <c r="H16" s="12" t="s">
        <v>160</v>
      </c>
      <c r="I16" s="13">
        <v>1</v>
      </c>
      <c r="J16" s="13">
        <v>142</v>
      </c>
      <c r="K16" s="13">
        <v>562</v>
      </c>
    </row>
    <row r="17" spans="1:11">
      <c r="A17" s="12" t="s">
        <v>84</v>
      </c>
      <c r="B17" s="12" t="s">
        <v>135</v>
      </c>
      <c r="C17" s="12" t="s">
        <v>136</v>
      </c>
      <c r="D17" s="12" t="s">
        <v>137</v>
      </c>
      <c r="E17" s="12" t="s">
        <v>26</v>
      </c>
      <c r="F17" s="12" t="s">
        <v>27</v>
      </c>
      <c r="G17" s="12" t="s">
        <v>36</v>
      </c>
      <c r="H17" s="12" t="s">
        <v>37</v>
      </c>
      <c r="I17" s="13">
        <v>4</v>
      </c>
      <c r="J17" s="13">
        <v>2835.9993909999998</v>
      </c>
      <c r="K17" s="13">
        <v>15676</v>
      </c>
    </row>
    <row r="18" spans="1:11">
      <c r="A18" s="12" t="s">
        <v>84</v>
      </c>
      <c r="B18" s="12" t="s">
        <v>135</v>
      </c>
      <c r="C18" s="12" t="s">
        <v>136</v>
      </c>
      <c r="D18" s="12" t="s">
        <v>137</v>
      </c>
      <c r="E18" s="12" t="s">
        <v>34</v>
      </c>
      <c r="F18" s="12" t="s">
        <v>35</v>
      </c>
      <c r="G18" s="12" t="s">
        <v>28</v>
      </c>
      <c r="H18" s="12" t="s">
        <v>29</v>
      </c>
      <c r="I18" s="13">
        <v>2</v>
      </c>
      <c r="J18" s="13">
        <v>529</v>
      </c>
      <c r="K18" s="13">
        <v>1648</v>
      </c>
    </row>
    <row r="19" spans="1:11">
      <c r="A19" s="12" t="s">
        <v>84</v>
      </c>
      <c r="B19" s="12" t="s">
        <v>135</v>
      </c>
      <c r="C19" s="12" t="s">
        <v>136</v>
      </c>
      <c r="D19" s="12" t="s">
        <v>137</v>
      </c>
      <c r="E19" s="12" t="s">
        <v>34</v>
      </c>
      <c r="F19" s="12" t="s">
        <v>35</v>
      </c>
      <c r="G19" s="12" t="s">
        <v>30</v>
      </c>
      <c r="H19" s="12" t="s">
        <v>31</v>
      </c>
      <c r="I19" s="13">
        <v>4</v>
      </c>
      <c r="J19" s="13">
        <v>1791</v>
      </c>
      <c r="K19" s="13">
        <v>4525</v>
      </c>
    </row>
    <row r="20" spans="1:11">
      <c r="A20" s="12" t="s">
        <v>84</v>
      </c>
      <c r="B20" s="12" t="s">
        <v>135</v>
      </c>
      <c r="C20" s="12" t="s">
        <v>136</v>
      </c>
      <c r="D20" s="12" t="s">
        <v>137</v>
      </c>
      <c r="E20" s="12" t="s">
        <v>34</v>
      </c>
      <c r="F20" s="12" t="s">
        <v>35</v>
      </c>
      <c r="G20" s="12" t="s">
        <v>32</v>
      </c>
      <c r="H20" s="12" t="s">
        <v>33</v>
      </c>
      <c r="I20" s="13">
        <v>3</v>
      </c>
      <c r="J20" s="13">
        <v>844</v>
      </c>
      <c r="K20" s="13">
        <v>2419</v>
      </c>
    </row>
    <row r="21" spans="1:11">
      <c r="A21" s="12" t="s">
        <v>84</v>
      </c>
      <c r="B21" s="12" t="s">
        <v>135</v>
      </c>
      <c r="C21" s="12" t="s">
        <v>136</v>
      </c>
      <c r="D21" s="12" t="s">
        <v>137</v>
      </c>
      <c r="E21" s="12" t="s">
        <v>34</v>
      </c>
      <c r="F21" s="12" t="s">
        <v>35</v>
      </c>
      <c r="G21" s="12" t="s">
        <v>159</v>
      </c>
      <c r="H21" s="12" t="s">
        <v>160</v>
      </c>
      <c r="I21" s="13">
        <v>4</v>
      </c>
      <c r="J21" s="13">
        <v>545.88919799999996</v>
      </c>
      <c r="K21" s="13">
        <v>3190</v>
      </c>
    </row>
    <row r="22" spans="1:11">
      <c r="A22" s="12" t="s">
        <v>84</v>
      </c>
      <c r="B22" s="12" t="s">
        <v>135</v>
      </c>
      <c r="C22" s="12" t="s">
        <v>136</v>
      </c>
      <c r="D22" s="12" t="s">
        <v>137</v>
      </c>
      <c r="E22" s="12" t="s">
        <v>34</v>
      </c>
      <c r="F22" s="12" t="s">
        <v>35</v>
      </c>
      <c r="G22" s="12" t="s">
        <v>38</v>
      </c>
      <c r="H22" s="12" t="s">
        <v>39</v>
      </c>
      <c r="I22" s="13">
        <v>2</v>
      </c>
      <c r="J22" s="13">
        <v>668</v>
      </c>
      <c r="K22" s="13">
        <v>1600</v>
      </c>
    </row>
    <row r="23" spans="1:11">
      <c r="A23" s="12" t="s">
        <v>84</v>
      </c>
      <c r="B23" s="12" t="s">
        <v>135</v>
      </c>
      <c r="C23" s="12" t="s">
        <v>136</v>
      </c>
      <c r="D23" s="12" t="s">
        <v>137</v>
      </c>
      <c r="E23" s="12" t="s">
        <v>40</v>
      </c>
      <c r="F23" s="12" t="s">
        <v>41</v>
      </c>
      <c r="G23" s="12" t="s">
        <v>42</v>
      </c>
      <c r="H23" s="12" t="s">
        <v>41</v>
      </c>
      <c r="I23" s="13">
        <v>7</v>
      </c>
      <c r="J23" s="13">
        <v>-1905</v>
      </c>
      <c r="K23" s="13">
        <v>-1905</v>
      </c>
    </row>
    <row r="24" spans="1:11">
      <c r="A24" s="12" t="s">
        <v>84</v>
      </c>
      <c r="B24" s="12" t="s">
        <v>135</v>
      </c>
      <c r="C24" s="12" t="s">
        <v>136</v>
      </c>
      <c r="D24" s="12" t="s">
        <v>137</v>
      </c>
      <c r="E24" s="12" t="s">
        <v>40</v>
      </c>
      <c r="F24" s="12" t="s">
        <v>41</v>
      </c>
      <c r="G24" s="12" t="s">
        <v>161</v>
      </c>
      <c r="H24" s="12" t="s">
        <v>162</v>
      </c>
      <c r="I24" s="13">
        <v>1</v>
      </c>
      <c r="J24" s="13">
        <v>-95</v>
      </c>
      <c r="K24" s="13">
        <v>-95</v>
      </c>
    </row>
    <row r="25" spans="1:11">
      <c r="A25" s="12" t="s">
        <v>84</v>
      </c>
      <c r="B25" s="12" t="s">
        <v>135</v>
      </c>
      <c r="C25" s="12" t="s">
        <v>136</v>
      </c>
      <c r="D25" s="12" t="s">
        <v>137</v>
      </c>
      <c r="E25" s="12" t="s">
        <v>163</v>
      </c>
      <c r="F25" s="12" t="s">
        <v>164</v>
      </c>
      <c r="G25" s="12" t="s">
        <v>165</v>
      </c>
      <c r="H25" s="12" t="s">
        <v>164</v>
      </c>
      <c r="I25" s="13">
        <v>3</v>
      </c>
      <c r="J25" s="13">
        <v>0</v>
      </c>
      <c r="K25" s="13">
        <v>0</v>
      </c>
    </row>
    <row r="26" spans="1:11">
      <c r="A26" s="12" t="s">
        <v>84</v>
      </c>
      <c r="B26" s="12" t="s">
        <v>135</v>
      </c>
      <c r="C26" s="12" t="s">
        <v>136</v>
      </c>
      <c r="D26" s="12" t="s">
        <v>137</v>
      </c>
      <c r="E26" s="12" t="s">
        <v>76</v>
      </c>
      <c r="F26" s="12" t="s">
        <v>76</v>
      </c>
      <c r="G26" s="12" t="s">
        <v>76</v>
      </c>
      <c r="H26" s="12" t="s">
        <v>76</v>
      </c>
      <c r="I26" s="13">
        <v>-1</v>
      </c>
      <c r="J26" s="13">
        <v>-48</v>
      </c>
      <c r="K26" s="13">
        <v>-48</v>
      </c>
    </row>
    <row r="27" spans="1:11">
      <c r="A27" s="12" t="s">
        <v>84</v>
      </c>
      <c r="B27" s="12" t="s">
        <v>135</v>
      </c>
      <c r="C27" s="12" t="s">
        <v>138</v>
      </c>
      <c r="D27" s="12" t="s">
        <v>139</v>
      </c>
      <c r="E27" s="12" t="s">
        <v>12</v>
      </c>
      <c r="F27" s="12" t="s">
        <v>13</v>
      </c>
      <c r="G27" s="12" t="s">
        <v>16</v>
      </c>
      <c r="H27" s="12" t="s">
        <v>17</v>
      </c>
      <c r="I27" s="13">
        <v>2</v>
      </c>
      <c r="J27" s="13">
        <v>1377</v>
      </c>
      <c r="K27" s="13">
        <v>104857</v>
      </c>
    </row>
    <row r="28" spans="1:11">
      <c r="A28" s="12" t="s">
        <v>84</v>
      </c>
      <c r="B28" s="12" t="s">
        <v>135</v>
      </c>
      <c r="C28" s="12" t="s">
        <v>138</v>
      </c>
      <c r="D28" s="12" t="s">
        <v>139</v>
      </c>
      <c r="E28" s="12" t="s">
        <v>12</v>
      </c>
      <c r="F28" s="12" t="s">
        <v>13</v>
      </c>
      <c r="G28" s="12" t="s">
        <v>14</v>
      </c>
      <c r="H28" s="12" t="s">
        <v>15</v>
      </c>
      <c r="I28" s="13">
        <v>5</v>
      </c>
      <c r="J28" s="13">
        <v>8238.1629830000002</v>
      </c>
      <c r="K28" s="13">
        <v>108285</v>
      </c>
    </row>
    <row r="29" spans="1:11">
      <c r="A29" s="12" t="s">
        <v>84</v>
      </c>
      <c r="B29" s="12" t="s">
        <v>135</v>
      </c>
      <c r="C29" s="12" t="s">
        <v>138</v>
      </c>
      <c r="D29" s="12" t="s">
        <v>139</v>
      </c>
      <c r="E29" s="12" t="s">
        <v>12</v>
      </c>
      <c r="F29" s="12" t="s">
        <v>13</v>
      </c>
      <c r="G29" s="12" t="s">
        <v>18</v>
      </c>
      <c r="H29" s="12" t="s">
        <v>19</v>
      </c>
      <c r="I29" s="13">
        <v>2</v>
      </c>
      <c r="J29" s="13">
        <v>2158.0934459999999</v>
      </c>
      <c r="K29" s="13">
        <v>23619</v>
      </c>
    </row>
    <row r="30" spans="1:11">
      <c r="A30" s="12" t="s">
        <v>84</v>
      </c>
      <c r="B30" s="12" t="s">
        <v>135</v>
      </c>
      <c r="C30" s="12" t="s">
        <v>138</v>
      </c>
      <c r="D30" s="12" t="s">
        <v>139</v>
      </c>
      <c r="E30" s="12" t="s">
        <v>12</v>
      </c>
      <c r="F30" s="12" t="s">
        <v>13</v>
      </c>
      <c r="G30" s="12" t="s">
        <v>20</v>
      </c>
      <c r="H30" s="12" t="s">
        <v>21</v>
      </c>
      <c r="I30" s="13">
        <v>1</v>
      </c>
      <c r="J30" s="13">
        <v>1198</v>
      </c>
      <c r="K30" s="13">
        <v>17048</v>
      </c>
    </row>
    <row r="31" spans="1:11">
      <c r="A31" s="12" t="s">
        <v>84</v>
      </c>
      <c r="B31" s="12" t="s">
        <v>135</v>
      </c>
      <c r="C31" s="12" t="s">
        <v>138</v>
      </c>
      <c r="D31" s="12" t="s">
        <v>139</v>
      </c>
      <c r="E31" s="12" t="s">
        <v>12</v>
      </c>
      <c r="F31" s="12" t="s">
        <v>13</v>
      </c>
      <c r="G31" s="12" t="s">
        <v>22</v>
      </c>
      <c r="H31" s="12" t="s">
        <v>23</v>
      </c>
      <c r="I31" s="13">
        <v>3</v>
      </c>
      <c r="J31" s="13">
        <v>3278.0386450000001</v>
      </c>
      <c r="K31" s="13">
        <v>41142</v>
      </c>
    </row>
    <row r="32" spans="1:11">
      <c r="A32" s="12" t="s">
        <v>84</v>
      </c>
      <c r="B32" s="12" t="s">
        <v>135</v>
      </c>
      <c r="C32" s="12" t="s">
        <v>138</v>
      </c>
      <c r="D32" s="12" t="s">
        <v>139</v>
      </c>
      <c r="E32" s="12" t="s">
        <v>12</v>
      </c>
      <c r="F32" s="12" t="s">
        <v>13</v>
      </c>
      <c r="G32" s="12" t="s">
        <v>24</v>
      </c>
      <c r="H32" s="12" t="s">
        <v>25</v>
      </c>
      <c r="I32" s="13">
        <v>4</v>
      </c>
      <c r="J32" s="13">
        <v>9343</v>
      </c>
      <c r="K32" s="13">
        <v>107143</v>
      </c>
    </row>
    <row r="33" spans="1:11">
      <c r="A33" s="12" t="s">
        <v>84</v>
      </c>
      <c r="B33" s="12" t="s">
        <v>135</v>
      </c>
      <c r="C33" s="12" t="s">
        <v>138</v>
      </c>
      <c r="D33" s="12" t="s">
        <v>139</v>
      </c>
      <c r="E33" s="12" t="s">
        <v>26</v>
      </c>
      <c r="F33" s="12" t="s">
        <v>27</v>
      </c>
      <c r="G33" s="12" t="s">
        <v>30</v>
      </c>
      <c r="H33" s="12" t="s">
        <v>31</v>
      </c>
      <c r="I33" s="13">
        <v>2</v>
      </c>
      <c r="J33" s="13">
        <v>228</v>
      </c>
      <c r="K33" s="13">
        <v>1928</v>
      </c>
    </row>
    <row r="34" spans="1:11">
      <c r="A34" s="12" t="s">
        <v>84</v>
      </c>
      <c r="B34" s="12" t="s">
        <v>135</v>
      </c>
      <c r="C34" s="12" t="s">
        <v>138</v>
      </c>
      <c r="D34" s="12" t="s">
        <v>139</v>
      </c>
      <c r="E34" s="12" t="s">
        <v>26</v>
      </c>
      <c r="F34" s="12" t="s">
        <v>27</v>
      </c>
      <c r="G34" s="12" t="s">
        <v>32</v>
      </c>
      <c r="H34" s="12" t="s">
        <v>33</v>
      </c>
      <c r="I34" s="13">
        <v>2</v>
      </c>
      <c r="J34" s="13">
        <v>514.99981600000001</v>
      </c>
      <c r="K34" s="13">
        <v>7695</v>
      </c>
    </row>
    <row r="35" spans="1:11">
      <c r="A35" s="12" t="s">
        <v>84</v>
      </c>
      <c r="B35" s="12" t="s">
        <v>135</v>
      </c>
      <c r="C35" s="12" t="s">
        <v>138</v>
      </c>
      <c r="D35" s="12" t="s">
        <v>139</v>
      </c>
      <c r="E35" s="12" t="s">
        <v>26</v>
      </c>
      <c r="F35" s="12" t="s">
        <v>27</v>
      </c>
      <c r="G35" s="12" t="s">
        <v>159</v>
      </c>
      <c r="H35" s="12" t="s">
        <v>160</v>
      </c>
      <c r="I35" s="13">
        <v>4</v>
      </c>
      <c r="J35" s="13">
        <v>1182</v>
      </c>
      <c r="K35" s="13">
        <v>7962</v>
      </c>
    </row>
    <row r="36" spans="1:11">
      <c r="A36" s="12" t="s">
        <v>84</v>
      </c>
      <c r="B36" s="12" t="s">
        <v>135</v>
      </c>
      <c r="C36" s="12" t="s">
        <v>138</v>
      </c>
      <c r="D36" s="12" t="s">
        <v>139</v>
      </c>
      <c r="E36" s="12" t="s">
        <v>26</v>
      </c>
      <c r="F36" s="12" t="s">
        <v>27</v>
      </c>
      <c r="G36" s="12" t="s">
        <v>36</v>
      </c>
      <c r="H36" s="12" t="s">
        <v>37</v>
      </c>
      <c r="I36" s="13">
        <v>3</v>
      </c>
      <c r="J36" s="13">
        <v>2301.0193650000001</v>
      </c>
      <c r="K36" s="13">
        <v>13686</v>
      </c>
    </row>
    <row r="37" spans="1:11">
      <c r="A37" s="12" t="s">
        <v>84</v>
      </c>
      <c r="B37" s="12" t="s">
        <v>135</v>
      </c>
      <c r="C37" s="12" t="s">
        <v>138</v>
      </c>
      <c r="D37" s="12" t="s">
        <v>139</v>
      </c>
      <c r="E37" s="12" t="s">
        <v>26</v>
      </c>
      <c r="F37" s="12" t="s">
        <v>27</v>
      </c>
      <c r="G37" s="12" t="s">
        <v>166</v>
      </c>
      <c r="H37" s="12" t="s">
        <v>167</v>
      </c>
      <c r="I37" s="13">
        <v>1</v>
      </c>
      <c r="J37" s="13">
        <v>757</v>
      </c>
      <c r="K37" s="13">
        <v>6467</v>
      </c>
    </row>
    <row r="38" spans="1:11">
      <c r="A38" s="12" t="s">
        <v>84</v>
      </c>
      <c r="B38" s="12" t="s">
        <v>135</v>
      </c>
      <c r="C38" s="12" t="s">
        <v>138</v>
      </c>
      <c r="D38" s="12" t="s">
        <v>139</v>
      </c>
      <c r="E38" s="12" t="s">
        <v>26</v>
      </c>
      <c r="F38" s="12" t="s">
        <v>27</v>
      </c>
      <c r="G38" s="12" t="s">
        <v>38</v>
      </c>
      <c r="H38" s="12" t="s">
        <v>39</v>
      </c>
      <c r="I38" s="13">
        <v>1</v>
      </c>
      <c r="J38" s="13">
        <v>354</v>
      </c>
      <c r="K38" s="13">
        <v>1524</v>
      </c>
    </row>
    <row r="39" spans="1:11">
      <c r="A39" s="12" t="s">
        <v>84</v>
      </c>
      <c r="B39" s="12" t="s">
        <v>135</v>
      </c>
      <c r="C39" s="12" t="s">
        <v>138</v>
      </c>
      <c r="D39" s="12" t="s">
        <v>139</v>
      </c>
      <c r="E39" s="12" t="s">
        <v>34</v>
      </c>
      <c r="F39" s="12" t="s">
        <v>35</v>
      </c>
      <c r="G39" s="12" t="s">
        <v>28</v>
      </c>
      <c r="H39" s="12" t="s">
        <v>29</v>
      </c>
      <c r="I39" s="13">
        <v>9</v>
      </c>
      <c r="J39" s="13">
        <v>3015</v>
      </c>
      <c r="K39" s="13">
        <v>7723</v>
      </c>
    </row>
    <row r="40" spans="1:11">
      <c r="A40" s="12" t="s">
        <v>84</v>
      </c>
      <c r="B40" s="12" t="s">
        <v>135</v>
      </c>
      <c r="C40" s="12" t="s">
        <v>138</v>
      </c>
      <c r="D40" s="12" t="s">
        <v>139</v>
      </c>
      <c r="E40" s="12" t="s">
        <v>34</v>
      </c>
      <c r="F40" s="12" t="s">
        <v>35</v>
      </c>
      <c r="G40" s="12" t="s">
        <v>30</v>
      </c>
      <c r="H40" s="12" t="s">
        <v>31</v>
      </c>
      <c r="I40" s="13">
        <v>11</v>
      </c>
      <c r="J40" s="13">
        <v>7847.1666670000004</v>
      </c>
      <c r="K40" s="13">
        <v>12743</v>
      </c>
    </row>
    <row r="41" spans="1:11">
      <c r="A41" s="12" t="s">
        <v>84</v>
      </c>
      <c r="B41" s="12" t="s">
        <v>135</v>
      </c>
      <c r="C41" s="12" t="s">
        <v>138</v>
      </c>
      <c r="D41" s="12" t="s">
        <v>139</v>
      </c>
      <c r="E41" s="12" t="s">
        <v>34</v>
      </c>
      <c r="F41" s="12" t="s">
        <v>35</v>
      </c>
      <c r="G41" s="12" t="s">
        <v>32</v>
      </c>
      <c r="H41" s="12" t="s">
        <v>33</v>
      </c>
      <c r="I41" s="13">
        <v>6</v>
      </c>
      <c r="J41" s="13">
        <v>2487</v>
      </c>
      <c r="K41" s="13">
        <v>6027</v>
      </c>
    </row>
    <row r="42" spans="1:11">
      <c r="A42" s="12" t="s">
        <v>84</v>
      </c>
      <c r="B42" s="12" t="s">
        <v>135</v>
      </c>
      <c r="C42" s="12" t="s">
        <v>138</v>
      </c>
      <c r="D42" s="12" t="s">
        <v>139</v>
      </c>
      <c r="E42" s="12" t="s">
        <v>34</v>
      </c>
      <c r="F42" s="12" t="s">
        <v>35</v>
      </c>
      <c r="G42" s="12" t="s">
        <v>159</v>
      </c>
      <c r="H42" s="12" t="s">
        <v>160</v>
      </c>
      <c r="I42" s="13">
        <v>15</v>
      </c>
      <c r="J42" s="13">
        <v>4195.6783370000003</v>
      </c>
      <c r="K42" s="13">
        <v>14034</v>
      </c>
    </row>
    <row r="43" spans="1:11">
      <c r="A43" s="12" t="s">
        <v>84</v>
      </c>
      <c r="B43" s="12" t="s">
        <v>135</v>
      </c>
      <c r="C43" s="12" t="s">
        <v>138</v>
      </c>
      <c r="D43" s="12" t="s">
        <v>139</v>
      </c>
      <c r="E43" s="12" t="s">
        <v>34</v>
      </c>
      <c r="F43" s="12" t="s">
        <v>35</v>
      </c>
      <c r="G43" s="12" t="s">
        <v>36</v>
      </c>
      <c r="H43" s="12" t="s">
        <v>37</v>
      </c>
      <c r="I43" s="13">
        <v>1</v>
      </c>
      <c r="J43" s="13">
        <v>322</v>
      </c>
      <c r="K43" s="13">
        <v>848</v>
      </c>
    </row>
    <row r="44" spans="1:11">
      <c r="A44" s="12" t="s">
        <v>84</v>
      </c>
      <c r="B44" s="12" t="s">
        <v>135</v>
      </c>
      <c r="C44" s="12" t="s">
        <v>138</v>
      </c>
      <c r="D44" s="12" t="s">
        <v>139</v>
      </c>
      <c r="E44" s="12" t="s">
        <v>34</v>
      </c>
      <c r="F44" s="12" t="s">
        <v>35</v>
      </c>
      <c r="G44" s="12" t="s">
        <v>38</v>
      </c>
      <c r="H44" s="12" t="s">
        <v>39</v>
      </c>
      <c r="I44" s="13">
        <v>2</v>
      </c>
      <c r="J44" s="13">
        <v>560</v>
      </c>
      <c r="K44" s="13">
        <v>1514</v>
      </c>
    </row>
    <row r="45" spans="1:11">
      <c r="A45" s="12" t="s">
        <v>84</v>
      </c>
      <c r="B45" s="12" t="s">
        <v>135</v>
      </c>
      <c r="C45" s="12" t="s">
        <v>138</v>
      </c>
      <c r="D45" s="12" t="s">
        <v>139</v>
      </c>
      <c r="E45" s="12" t="s">
        <v>40</v>
      </c>
      <c r="F45" s="12" t="s">
        <v>41</v>
      </c>
      <c r="G45" s="12" t="s">
        <v>42</v>
      </c>
      <c r="H45" s="12" t="s">
        <v>41</v>
      </c>
      <c r="I45" s="13">
        <v>15</v>
      </c>
      <c r="J45" s="13">
        <v>3068</v>
      </c>
      <c r="K45" s="13">
        <v>3068</v>
      </c>
    </row>
    <row r="46" spans="1:11">
      <c r="A46" s="12" t="s">
        <v>84</v>
      </c>
      <c r="B46" s="12" t="s">
        <v>135</v>
      </c>
      <c r="C46" s="12" t="s">
        <v>138</v>
      </c>
      <c r="D46" s="12" t="s">
        <v>139</v>
      </c>
      <c r="E46" s="12" t="s">
        <v>40</v>
      </c>
      <c r="F46" s="12" t="s">
        <v>41</v>
      </c>
      <c r="G46" s="12" t="s">
        <v>161</v>
      </c>
      <c r="H46" s="12" t="s">
        <v>162</v>
      </c>
      <c r="I46" s="13">
        <v>1</v>
      </c>
      <c r="J46" s="13">
        <v>-95</v>
      </c>
      <c r="K46" s="13">
        <v>-95</v>
      </c>
    </row>
    <row r="47" spans="1:11">
      <c r="A47" s="12" t="s">
        <v>84</v>
      </c>
      <c r="B47" s="12" t="s">
        <v>135</v>
      </c>
      <c r="C47" s="12" t="s">
        <v>138</v>
      </c>
      <c r="D47" s="12" t="s">
        <v>139</v>
      </c>
      <c r="E47" s="12" t="s">
        <v>163</v>
      </c>
      <c r="F47" s="12" t="s">
        <v>164</v>
      </c>
      <c r="G47" s="12" t="s">
        <v>165</v>
      </c>
      <c r="H47" s="12" t="s">
        <v>164</v>
      </c>
      <c r="I47" s="13">
        <v>3</v>
      </c>
      <c r="J47" s="13">
        <v>0</v>
      </c>
      <c r="K47" s="13">
        <v>0</v>
      </c>
    </row>
    <row r="48" spans="1:11">
      <c r="A48" s="12" t="s">
        <v>84</v>
      </c>
      <c r="B48" s="12" t="s">
        <v>135</v>
      </c>
      <c r="C48" s="12" t="s">
        <v>138</v>
      </c>
      <c r="D48" s="12" t="s">
        <v>139</v>
      </c>
      <c r="E48" s="12" t="s">
        <v>168</v>
      </c>
      <c r="F48" s="12" t="s">
        <v>162</v>
      </c>
      <c r="G48" s="12" t="s">
        <v>161</v>
      </c>
      <c r="H48" s="12" t="s">
        <v>162</v>
      </c>
      <c r="I48" s="13">
        <v>-1</v>
      </c>
      <c r="J48" s="13">
        <v>-476</v>
      </c>
      <c r="K48" s="13">
        <v>-476</v>
      </c>
    </row>
    <row r="49" spans="1:11">
      <c r="A49" s="12" t="s">
        <v>84</v>
      </c>
      <c r="B49" s="12" t="s">
        <v>135</v>
      </c>
      <c r="C49" s="12" t="s">
        <v>138</v>
      </c>
      <c r="D49" s="12" t="s">
        <v>139</v>
      </c>
      <c r="E49" s="12" t="s">
        <v>76</v>
      </c>
      <c r="F49" s="12" t="s">
        <v>76</v>
      </c>
      <c r="G49" s="12" t="s">
        <v>76</v>
      </c>
      <c r="H49" s="12" t="s">
        <v>76</v>
      </c>
      <c r="I49" s="13">
        <v>-1427</v>
      </c>
      <c r="J49" s="13">
        <v>-726</v>
      </c>
      <c r="K49" s="13">
        <v>-726</v>
      </c>
    </row>
    <row r="50" spans="1:11">
      <c r="A50" s="12" t="s">
        <v>84</v>
      </c>
      <c r="B50" s="12" t="s">
        <v>135</v>
      </c>
      <c r="C50" s="12" t="s">
        <v>142</v>
      </c>
      <c r="D50" s="12" t="s">
        <v>143</v>
      </c>
      <c r="E50" s="12" t="s">
        <v>12</v>
      </c>
      <c r="F50" s="12" t="s">
        <v>13</v>
      </c>
      <c r="G50" s="12" t="s">
        <v>16</v>
      </c>
      <c r="H50" s="12" t="s">
        <v>17</v>
      </c>
      <c r="I50" s="13">
        <v>2</v>
      </c>
      <c r="J50" s="13">
        <v>-433.91155700000002</v>
      </c>
      <c r="K50" s="13">
        <v>64190</v>
      </c>
    </row>
    <row r="51" spans="1:11">
      <c r="A51" s="12" t="s">
        <v>84</v>
      </c>
      <c r="B51" s="12" t="s">
        <v>135</v>
      </c>
      <c r="C51" s="12" t="s">
        <v>142</v>
      </c>
      <c r="D51" s="12" t="s">
        <v>143</v>
      </c>
      <c r="E51" s="12" t="s">
        <v>12</v>
      </c>
      <c r="F51" s="12" t="s">
        <v>13</v>
      </c>
      <c r="G51" s="12" t="s">
        <v>14</v>
      </c>
      <c r="H51" s="12" t="s">
        <v>15</v>
      </c>
      <c r="I51" s="13">
        <v>4</v>
      </c>
      <c r="J51" s="13">
        <v>9344.4301419999993</v>
      </c>
      <c r="K51" s="13">
        <v>109142</v>
      </c>
    </row>
    <row r="52" spans="1:11">
      <c r="A52" s="12" t="s">
        <v>84</v>
      </c>
      <c r="B52" s="12" t="s">
        <v>135</v>
      </c>
      <c r="C52" s="12" t="s">
        <v>142</v>
      </c>
      <c r="D52" s="12" t="s">
        <v>143</v>
      </c>
      <c r="E52" s="12" t="s">
        <v>12</v>
      </c>
      <c r="F52" s="12" t="s">
        <v>13</v>
      </c>
      <c r="G52" s="12" t="s">
        <v>18</v>
      </c>
      <c r="H52" s="12" t="s">
        <v>19</v>
      </c>
      <c r="I52" s="13">
        <v>1</v>
      </c>
      <c r="J52" s="13">
        <v>939.02195200000006</v>
      </c>
      <c r="K52" s="13">
        <v>15429</v>
      </c>
    </row>
    <row r="53" spans="1:11">
      <c r="A53" s="12" t="s">
        <v>84</v>
      </c>
      <c r="B53" s="12" t="s">
        <v>135</v>
      </c>
      <c r="C53" s="12" t="s">
        <v>142</v>
      </c>
      <c r="D53" s="12" t="s">
        <v>143</v>
      </c>
      <c r="E53" s="12" t="s">
        <v>12</v>
      </c>
      <c r="F53" s="12" t="s">
        <v>13</v>
      </c>
      <c r="G53" s="12" t="s">
        <v>79</v>
      </c>
      <c r="H53" s="12" t="s">
        <v>80</v>
      </c>
      <c r="I53" s="13">
        <v>1</v>
      </c>
      <c r="J53" s="13">
        <v>939</v>
      </c>
      <c r="K53" s="13">
        <v>9429</v>
      </c>
    </row>
    <row r="54" spans="1:11">
      <c r="A54" s="12" t="s">
        <v>84</v>
      </c>
      <c r="B54" s="12" t="s">
        <v>135</v>
      </c>
      <c r="C54" s="12" t="s">
        <v>142</v>
      </c>
      <c r="D54" s="12" t="s">
        <v>143</v>
      </c>
      <c r="E54" s="12" t="s">
        <v>12</v>
      </c>
      <c r="F54" s="12" t="s">
        <v>13</v>
      </c>
      <c r="G54" s="12" t="s">
        <v>24</v>
      </c>
      <c r="H54" s="12" t="s">
        <v>25</v>
      </c>
      <c r="I54" s="13">
        <v>3</v>
      </c>
      <c r="J54" s="13">
        <v>2448</v>
      </c>
      <c r="K54" s="13">
        <v>81048</v>
      </c>
    </row>
    <row r="55" spans="1:11">
      <c r="A55" s="12" t="s">
        <v>84</v>
      </c>
      <c r="B55" s="12" t="s">
        <v>135</v>
      </c>
      <c r="C55" s="12" t="s">
        <v>142</v>
      </c>
      <c r="D55" s="12" t="s">
        <v>143</v>
      </c>
      <c r="E55" s="12" t="s">
        <v>26</v>
      </c>
      <c r="F55" s="12" t="s">
        <v>27</v>
      </c>
      <c r="G55" s="12" t="s">
        <v>30</v>
      </c>
      <c r="H55" s="12" t="s">
        <v>31</v>
      </c>
      <c r="I55" s="13">
        <v>1</v>
      </c>
      <c r="J55" s="13">
        <v>65.999998000000005</v>
      </c>
      <c r="K55" s="13">
        <v>276</v>
      </c>
    </row>
    <row r="56" spans="1:11">
      <c r="A56" s="12" t="s">
        <v>84</v>
      </c>
      <c r="B56" s="12" t="s">
        <v>135</v>
      </c>
      <c r="C56" s="12" t="s">
        <v>142</v>
      </c>
      <c r="D56" s="12" t="s">
        <v>143</v>
      </c>
      <c r="E56" s="12" t="s">
        <v>26</v>
      </c>
      <c r="F56" s="12" t="s">
        <v>27</v>
      </c>
      <c r="G56" s="12" t="s">
        <v>32</v>
      </c>
      <c r="H56" s="12" t="s">
        <v>33</v>
      </c>
      <c r="I56" s="13">
        <v>8</v>
      </c>
      <c r="J56" s="13">
        <v>1756.9629210000001</v>
      </c>
      <c r="K56" s="13">
        <v>35362</v>
      </c>
    </row>
    <row r="57" spans="1:11">
      <c r="A57" s="12" t="s">
        <v>84</v>
      </c>
      <c r="B57" s="12" t="s">
        <v>135</v>
      </c>
      <c r="C57" s="12" t="s">
        <v>142</v>
      </c>
      <c r="D57" s="12" t="s">
        <v>143</v>
      </c>
      <c r="E57" s="12" t="s">
        <v>26</v>
      </c>
      <c r="F57" s="12" t="s">
        <v>27</v>
      </c>
      <c r="G57" s="12" t="s">
        <v>159</v>
      </c>
      <c r="H57" s="12" t="s">
        <v>160</v>
      </c>
      <c r="I57" s="13">
        <v>8</v>
      </c>
      <c r="J57" s="13">
        <v>1952</v>
      </c>
      <c r="K57" s="13">
        <v>10782</v>
      </c>
    </row>
    <row r="58" spans="1:11">
      <c r="A58" s="12" t="s">
        <v>84</v>
      </c>
      <c r="B58" s="12" t="s">
        <v>135</v>
      </c>
      <c r="C58" s="12" t="s">
        <v>142</v>
      </c>
      <c r="D58" s="12" t="s">
        <v>143</v>
      </c>
      <c r="E58" s="12" t="s">
        <v>26</v>
      </c>
      <c r="F58" s="12" t="s">
        <v>27</v>
      </c>
      <c r="G58" s="12" t="s">
        <v>36</v>
      </c>
      <c r="H58" s="12" t="s">
        <v>37</v>
      </c>
      <c r="I58" s="13">
        <v>6</v>
      </c>
      <c r="J58" s="13">
        <v>5287.2856609999999</v>
      </c>
      <c r="K58" s="13">
        <v>29943</v>
      </c>
    </row>
    <row r="59" spans="1:11">
      <c r="A59" s="12" t="s">
        <v>84</v>
      </c>
      <c r="B59" s="12" t="s">
        <v>135</v>
      </c>
      <c r="C59" s="12" t="s">
        <v>142</v>
      </c>
      <c r="D59" s="12" t="s">
        <v>143</v>
      </c>
      <c r="E59" s="12" t="s">
        <v>34</v>
      </c>
      <c r="F59" s="12" t="s">
        <v>35</v>
      </c>
      <c r="G59" s="12" t="s">
        <v>28</v>
      </c>
      <c r="H59" s="12" t="s">
        <v>29</v>
      </c>
      <c r="I59" s="13">
        <v>2</v>
      </c>
      <c r="J59" s="13">
        <v>1078</v>
      </c>
      <c r="K59" s="13">
        <v>2838</v>
      </c>
    </row>
    <row r="60" spans="1:11">
      <c r="A60" s="12" t="s">
        <v>84</v>
      </c>
      <c r="B60" s="12" t="s">
        <v>135</v>
      </c>
      <c r="C60" s="12" t="s">
        <v>142</v>
      </c>
      <c r="D60" s="12" t="s">
        <v>143</v>
      </c>
      <c r="E60" s="12" t="s">
        <v>34</v>
      </c>
      <c r="F60" s="12" t="s">
        <v>35</v>
      </c>
      <c r="G60" s="12" t="s">
        <v>30</v>
      </c>
      <c r="H60" s="12" t="s">
        <v>31</v>
      </c>
      <c r="I60" s="13">
        <v>11</v>
      </c>
      <c r="J60" s="13">
        <v>3810.2944969999999</v>
      </c>
      <c r="K60" s="13">
        <v>9212</v>
      </c>
    </row>
    <row r="61" spans="1:11">
      <c r="A61" s="12" t="s">
        <v>84</v>
      </c>
      <c r="B61" s="12" t="s">
        <v>135</v>
      </c>
      <c r="C61" s="12" t="s">
        <v>142</v>
      </c>
      <c r="D61" s="12" t="s">
        <v>143</v>
      </c>
      <c r="E61" s="12" t="s">
        <v>34</v>
      </c>
      <c r="F61" s="12" t="s">
        <v>35</v>
      </c>
      <c r="G61" s="12" t="s">
        <v>32</v>
      </c>
      <c r="H61" s="12" t="s">
        <v>33</v>
      </c>
      <c r="I61" s="13">
        <v>9</v>
      </c>
      <c r="J61" s="13">
        <v>4403</v>
      </c>
      <c r="K61" s="13">
        <v>10685</v>
      </c>
    </row>
    <row r="62" spans="1:11">
      <c r="A62" s="12" t="s">
        <v>84</v>
      </c>
      <c r="B62" s="12" t="s">
        <v>135</v>
      </c>
      <c r="C62" s="12" t="s">
        <v>142</v>
      </c>
      <c r="D62" s="12" t="s">
        <v>143</v>
      </c>
      <c r="E62" s="12" t="s">
        <v>34</v>
      </c>
      <c r="F62" s="12" t="s">
        <v>35</v>
      </c>
      <c r="G62" s="12" t="s">
        <v>159</v>
      </c>
      <c r="H62" s="12" t="s">
        <v>160</v>
      </c>
      <c r="I62" s="13">
        <v>20</v>
      </c>
      <c r="J62" s="13">
        <v>2492.1131869999999</v>
      </c>
      <c r="K62" s="13">
        <v>13412</v>
      </c>
    </row>
    <row r="63" spans="1:11">
      <c r="A63" s="12" t="s">
        <v>84</v>
      </c>
      <c r="B63" s="12" t="s">
        <v>135</v>
      </c>
      <c r="C63" s="12" t="s">
        <v>142</v>
      </c>
      <c r="D63" s="12" t="s">
        <v>143</v>
      </c>
      <c r="E63" s="12" t="s">
        <v>34</v>
      </c>
      <c r="F63" s="12" t="s">
        <v>35</v>
      </c>
      <c r="G63" s="12" t="s">
        <v>36</v>
      </c>
      <c r="H63" s="12" t="s">
        <v>37</v>
      </c>
      <c r="I63" s="13">
        <v>1</v>
      </c>
      <c r="J63" s="13">
        <v>-1098</v>
      </c>
      <c r="K63" s="13">
        <v>0</v>
      </c>
    </row>
    <row r="64" spans="1:11">
      <c r="A64" s="12" t="s">
        <v>84</v>
      </c>
      <c r="B64" s="12" t="s">
        <v>135</v>
      </c>
      <c r="C64" s="12" t="s">
        <v>142</v>
      </c>
      <c r="D64" s="12" t="s">
        <v>143</v>
      </c>
      <c r="E64" s="12" t="s">
        <v>34</v>
      </c>
      <c r="F64" s="12" t="s">
        <v>35</v>
      </c>
      <c r="G64" s="12" t="s">
        <v>74</v>
      </c>
      <c r="H64" s="12" t="s">
        <v>75</v>
      </c>
      <c r="I64" s="13">
        <v>4</v>
      </c>
      <c r="J64" s="13">
        <v>-533.99713199999997</v>
      </c>
      <c r="K64" s="13">
        <v>0</v>
      </c>
    </row>
    <row r="65" spans="1:11">
      <c r="A65" s="12" t="s">
        <v>84</v>
      </c>
      <c r="B65" s="12" t="s">
        <v>135</v>
      </c>
      <c r="C65" s="12" t="s">
        <v>142</v>
      </c>
      <c r="D65" s="12" t="s">
        <v>143</v>
      </c>
      <c r="E65" s="12" t="s">
        <v>34</v>
      </c>
      <c r="F65" s="12" t="s">
        <v>35</v>
      </c>
      <c r="G65" s="12" t="s">
        <v>169</v>
      </c>
      <c r="H65" s="12" t="s">
        <v>170</v>
      </c>
      <c r="I65" s="13">
        <v>1</v>
      </c>
      <c r="J65" s="13">
        <v>3026.740953</v>
      </c>
      <c r="K65" s="13">
        <v>12286</v>
      </c>
    </row>
    <row r="66" spans="1:11">
      <c r="A66" s="12" t="s">
        <v>84</v>
      </c>
      <c r="B66" s="12" t="s">
        <v>135</v>
      </c>
      <c r="C66" s="12" t="s">
        <v>142</v>
      </c>
      <c r="D66" s="12" t="s">
        <v>143</v>
      </c>
      <c r="E66" s="12" t="s">
        <v>40</v>
      </c>
      <c r="F66" s="12" t="s">
        <v>41</v>
      </c>
      <c r="G66" s="12" t="s">
        <v>42</v>
      </c>
      <c r="H66" s="12" t="s">
        <v>41</v>
      </c>
      <c r="I66" s="13">
        <v>74</v>
      </c>
      <c r="J66" s="13">
        <v>292</v>
      </c>
      <c r="K66" s="13">
        <v>292</v>
      </c>
    </row>
    <row r="67" spans="1:11">
      <c r="A67" s="12" t="s">
        <v>84</v>
      </c>
      <c r="B67" s="12" t="s">
        <v>135</v>
      </c>
      <c r="C67" s="12" t="s">
        <v>142</v>
      </c>
      <c r="D67" s="12" t="s">
        <v>143</v>
      </c>
      <c r="E67" s="12" t="s">
        <v>40</v>
      </c>
      <c r="F67" s="12" t="s">
        <v>41</v>
      </c>
      <c r="G67" s="12" t="s">
        <v>161</v>
      </c>
      <c r="H67" s="12" t="s">
        <v>162</v>
      </c>
      <c r="I67" s="13">
        <v>4</v>
      </c>
      <c r="J67" s="13">
        <v>-380</v>
      </c>
      <c r="K67" s="13">
        <v>-380</v>
      </c>
    </row>
    <row r="68" spans="1:11">
      <c r="A68" s="12" t="s">
        <v>84</v>
      </c>
      <c r="B68" s="12" t="s">
        <v>135</v>
      </c>
      <c r="C68" s="12" t="s">
        <v>142</v>
      </c>
      <c r="D68" s="12" t="s">
        <v>143</v>
      </c>
      <c r="E68" s="12" t="s">
        <v>163</v>
      </c>
      <c r="F68" s="12" t="s">
        <v>164</v>
      </c>
      <c r="G68" s="12" t="s">
        <v>165</v>
      </c>
      <c r="H68" s="12" t="s">
        <v>164</v>
      </c>
      <c r="I68" s="13">
        <v>8</v>
      </c>
      <c r="J68" s="13">
        <v>0</v>
      </c>
      <c r="K68" s="13">
        <v>0</v>
      </c>
    </row>
    <row r="69" spans="1:11">
      <c r="A69" s="12" t="s">
        <v>84</v>
      </c>
      <c r="B69" s="12" t="s">
        <v>135</v>
      </c>
      <c r="C69" s="12" t="s">
        <v>142</v>
      </c>
      <c r="D69" s="12" t="s">
        <v>143</v>
      </c>
      <c r="E69" s="12" t="s">
        <v>168</v>
      </c>
      <c r="F69" s="12" t="s">
        <v>162</v>
      </c>
      <c r="G69" s="12" t="s">
        <v>161</v>
      </c>
      <c r="H69" s="12" t="s">
        <v>162</v>
      </c>
      <c r="I69" s="13">
        <v>-1</v>
      </c>
      <c r="J69" s="13">
        <v>-476</v>
      </c>
      <c r="K69" s="13">
        <v>-476</v>
      </c>
    </row>
    <row r="70" spans="1:11">
      <c r="A70" s="12" t="s">
        <v>84</v>
      </c>
      <c r="B70" s="12" t="s">
        <v>135</v>
      </c>
      <c r="C70" s="12" t="s">
        <v>142</v>
      </c>
      <c r="D70" s="12" t="s">
        <v>143</v>
      </c>
      <c r="E70" s="12" t="s">
        <v>76</v>
      </c>
      <c r="F70" s="12" t="s">
        <v>76</v>
      </c>
      <c r="G70" s="12" t="s">
        <v>76</v>
      </c>
      <c r="H70" s="12" t="s">
        <v>76</v>
      </c>
      <c r="I70" s="13">
        <v>-2756</v>
      </c>
      <c r="J70" s="13">
        <v>-1314</v>
      </c>
      <c r="K70" s="13">
        <v>-1314</v>
      </c>
    </row>
    <row r="71" spans="1:11">
      <c r="A71" s="12" t="s">
        <v>84</v>
      </c>
      <c r="B71" s="12" t="s">
        <v>135</v>
      </c>
      <c r="C71" s="12" t="s">
        <v>171</v>
      </c>
      <c r="D71" s="12" t="s">
        <v>172</v>
      </c>
      <c r="E71" s="12" t="s">
        <v>12</v>
      </c>
      <c r="F71" s="12" t="s">
        <v>13</v>
      </c>
      <c r="G71" s="12" t="s">
        <v>16</v>
      </c>
      <c r="H71" s="12" t="s">
        <v>17</v>
      </c>
      <c r="I71" s="13">
        <v>2</v>
      </c>
      <c r="J71" s="13">
        <v>-37600.808073</v>
      </c>
      <c r="K71" s="13">
        <v>27333</v>
      </c>
    </row>
    <row r="72" spans="1:11">
      <c r="A72" s="12" t="s">
        <v>84</v>
      </c>
      <c r="B72" s="12" t="s">
        <v>135</v>
      </c>
      <c r="C72" s="12" t="s">
        <v>171</v>
      </c>
      <c r="D72" s="12" t="s">
        <v>172</v>
      </c>
      <c r="E72" s="12" t="s">
        <v>34</v>
      </c>
      <c r="F72" s="12" t="s">
        <v>35</v>
      </c>
      <c r="G72" s="12" t="s">
        <v>28</v>
      </c>
      <c r="H72" s="12" t="s">
        <v>29</v>
      </c>
      <c r="I72" s="13">
        <v>1</v>
      </c>
      <c r="J72" s="13">
        <v>-3800.0000140000002</v>
      </c>
      <c r="K72" s="13">
        <v>0</v>
      </c>
    </row>
    <row r="73" spans="1:11">
      <c r="A73" s="12" t="s">
        <v>84</v>
      </c>
      <c r="B73" s="12" t="s">
        <v>135</v>
      </c>
      <c r="C73" s="12" t="s">
        <v>171</v>
      </c>
      <c r="D73" s="12" t="s">
        <v>172</v>
      </c>
      <c r="E73" s="12" t="s">
        <v>40</v>
      </c>
      <c r="F73" s="12" t="s">
        <v>41</v>
      </c>
      <c r="G73" s="12" t="s">
        <v>42</v>
      </c>
      <c r="H73" s="12" t="s">
        <v>41</v>
      </c>
      <c r="I73" s="13">
        <v>8</v>
      </c>
      <c r="J73" s="13">
        <v>0</v>
      </c>
      <c r="K73" s="13">
        <v>0</v>
      </c>
    </row>
    <row r="74" spans="1:11">
      <c r="A74" s="12" t="s">
        <v>84</v>
      </c>
      <c r="B74" s="12" t="s">
        <v>135</v>
      </c>
      <c r="C74" s="12" t="s">
        <v>173</v>
      </c>
      <c r="D74" s="12" t="s">
        <v>174</v>
      </c>
      <c r="E74" s="12" t="s">
        <v>12</v>
      </c>
      <c r="F74" s="12" t="s">
        <v>13</v>
      </c>
      <c r="G74" s="12" t="s">
        <v>16</v>
      </c>
      <c r="H74" s="12" t="s">
        <v>17</v>
      </c>
      <c r="I74" s="13">
        <v>2</v>
      </c>
      <c r="J74" s="13">
        <v>-1168.769198</v>
      </c>
      <c r="K74" s="13">
        <v>54666</v>
      </c>
    </row>
    <row r="75" spans="1:11">
      <c r="A75" s="12" t="s">
        <v>84</v>
      </c>
      <c r="B75" s="12" t="s">
        <v>135</v>
      </c>
      <c r="C75" s="12" t="s">
        <v>173</v>
      </c>
      <c r="D75" s="12" t="s">
        <v>174</v>
      </c>
      <c r="E75" s="12" t="s">
        <v>34</v>
      </c>
      <c r="F75" s="12" t="s">
        <v>35</v>
      </c>
      <c r="G75" s="12" t="s">
        <v>28</v>
      </c>
      <c r="H75" s="12" t="s">
        <v>29</v>
      </c>
      <c r="I75" s="13">
        <v>1</v>
      </c>
      <c r="J75" s="13">
        <v>982</v>
      </c>
      <c r="K75" s="13">
        <v>2562</v>
      </c>
    </row>
    <row r="76" spans="1:11">
      <c r="A76" s="12" t="s">
        <v>84</v>
      </c>
      <c r="B76" s="12" t="s">
        <v>135</v>
      </c>
      <c r="C76" s="12" t="s">
        <v>173</v>
      </c>
      <c r="D76" s="12" t="s">
        <v>174</v>
      </c>
      <c r="E76" s="12" t="s">
        <v>40</v>
      </c>
      <c r="F76" s="12" t="s">
        <v>41</v>
      </c>
      <c r="G76" s="12" t="s">
        <v>42</v>
      </c>
      <c r="H76" s="12" t="s">
        <v>41</v>
      </c>
      <c r="I76" s="13">
        <v>9</v>
      </c>
      <c r="J76" s="13">
        <v>0</v>
      </c>
      <c r="K76" s="13">
        <v>0</v>
      </c>
    </row>
    <row r="77" spans="1:11">
      <c r="A77" s="12" t="s">
        <v>84</v>
      </c>
      <c r="B77" s="12" t="s">
        <v>135</v>
      </c>
      <c r="C77" s="12" t="s">
        <v>173</v>
      </c>
      <c r="D77" s="12" t="s">
        <v>174</v>
      </c>
      <c r="E77" s="12" t="s">
        <v>76</v>
      </c>
      <c r="F77" s="12" t="s">
        <v>76</v>
      </c>
      <c r="G77" s="12" t="s">
        <v>76</v>
      </c>
      <c r="H77" s="12" t="s">
        <v>76</v>
      </c>
      <c r="I77" s="13">
        <v>-287</v>
      </c>
      <c r="J77" s="13">
        <v>-137</v>
      </c>
      <c r="K77" s="13">
        <v>-137</v>
      </c>
    </row>
    <row r="78" spans="1:11">
      <c r="A78" s="12" t="s">
        <v>84</v>
      </c>
      <c r="B78" s="12" t="s">
        <v>135</v>
      </c>
      <c r="C78" s="12" t="s">
        <v>175</v>
      </c>
      <c r="D78" s="12" t="s">
        <v>176</v>
      </c>
      <c r="E78" s="12" t="s">
        <v>12</v>
      </c>
      <c r="F78" s="12" t="s">
        <v>13</v>
      </c>
      <c r="G78" s="12" t="s">
        <v>14</v>
      </c>
      <c r="H78" s="12" t="s">
        <v>15</v>
      </c>
      <c r="I78" s="13">
        <v>1</v>
      </c>
      <c r="J78" s="13">
        <v>1383</v>
      </c>
      <c r="K78" s="13">
        <v>19048</v>
      </c>
    </row>
    <row r="79" spans="1:11">
      <c r="A79" s="12" t="s">
        <v>84</v>
      </c>
      <c r="B79" s="12" t="s">
        <v>135</v>
      </c>
      <c r="C79" s="12" t="s">
        <v>175</v>
      </c>
      <c r="D79" s="12" t="s">
        <v>176</v>
      </c>
      <c r="E79" s="12" t="s">
        <v>12</v>
      </c>
      <c r="F79" s="12" t="s">
        <v>13</v>
      </c>
      <c r="G79" s="12" t="s">
        <v>18</v>
      </c>
      <c r="H79" s="12" t="s">
        <v>19</v>
      </c>
      <c r="I79" s="13">
        <v>1</v>
      </c>
      <c r="J79" s="13">
        <v>1605.0209150000001</v>
      </c>
      <c r="K79" s="13">
        <v>16095</v>
      </c>
    </row>
    <row r="80" spans="1:11">
      <c r="A80" s="12" t="s">
        <v>84</v>
      </c>
      <c r="B80" s="12" t="s">
        <v>135</v>
      </c>
      <c r="C80" s="12" t="s">
        <v>175</v>
      </c>
      <c r="D80" s="12" t="s">
        <v>176</v>
      </c>
      <c r="E80" s="12" t="s">
        <v>34</v>
      </c>
      <c r="F80" s="12" t="s">
        <v>35</v>
      </c>
      <c r="G80" s="12" t="s">
        <v>28</v>
      </c>
      <c r="H80" s="12" t="s">
        <v>29</v>
      </c>
      <c r="I80" s="13">
        <v>5</v>
      </c>
      <c r="J80" s="13">
        <v>3365</v>
      </c>
      <c r="K80" s="13">
        <v>38690</v>
      </c>
    </row>
    <row r="81" spans="1:11">
      <c r="A81" s="12" t="s">
        <v>84</v>
      </c>
      <c r="B81" s="12" t="s">
        <v>135</v>
      </c>
      <c r="C81" s="12" t="s">
        <v>175</v>
      </c>
      <c r="D81" s="12" t="s">
        <v>176</v>
      </c>
      <c r="E81" s="12" t="s">
        <v>34</v>
      </c>
      <c r="F81" s="12" t="s">
        <v>35</v>
      </c>
      <c r="G81" s="12" t="s">
        <v>32</v>
      </c>
      <c r="H81" s="12" t="s">
        <v>33</v>
      </c>
      <c r="I81" s="13">
        <v>1</v>
      </c>
      <c r="J81" s="13">
        <v>1058</v>
      </c>
      <c r="K81" s="13">
        <v>1410</v>
      </c>
    </row>
    <row r="82" spans="1:11">
      <c r="A82" s="12" t="s">
        <v>84</v>
      </c>
      <c r="B82" s="12" t="s">
        <v>135</v>
      </c>
      <c r="C82" s="12" t="s">
        <v>175</v>
      </c>
      <c r="D82" s="12" t="s">
        <v>176</v>
      </c>
      <c r="E82" s="12" t="s">
        <v>34</v>
      </c>
      <c r="F82" s="12" t="s">
        <v>35</v>
      </c>
      <c r="G82" s="12" t="s">
        <v>169</v>
      </c>
      <c r="H82" s="12" t="s">
        <v>170</v>
      </c>
      <c r="I82" s="13">
        <v>1</v>
      </c>
      <c r="J82" s="13">
        <v>2790</v>
      </c>
      <c r="K82" s="13">
        <v>14190</v>
      </c>
    </row>
    <row r="83" spans="1:11">
      <c r="A83" s="12" t="s">
        <v>84</v>
      </c>
      <c r="B83" s="12" t="s">
        <v>135</v>
      </c>
      <c r="C83" s="12" t="s">
        <v>144</v>
      </c>
      <c r="D83" s="12" t="s">
        <v>145</v>
      </c>
      <c r="E83" s="12" t="s">
        <v>12</v>
      </c>
      <c r="F83" s="12" t="s">
        <v>13</v>
      </c>
      <c r="G83" s="12" t="s">
        <v>77</v>
      </c>
      <c r="H83" s="12" t="s">
        <v>78</v>
      </c>
      <c r="I83" s="13">
        <v>1</v>
      </c>
      <c r="J83" s="13">
        <v>3195</v>
      </c>
      <c r="K83" s="13">
        <v>39905</v>
      </c>
    </row>
    <row r="84" spans="1:11">
      <c r="A84" s="12" t="s">
        <v>84</v>
      </c>
      <c r="B84" s="12" t="s">
        <v>135</v>
      </c>
      <c r="C84" s="12" t="s">
        <v>144</v>
      </c>
      <c r="D84" s="12" t="s">
        <v>145</v>
      </c>
      <c r="E84" s="12" t="s">
        <v>12</v>
      </c>
      <c r="F84" s="12" t="s">
        <v>13</v>
      </c>
      <c r="G84" s="12" t="s">
        <v>16</v>
      </c>
      <c r="H84" s="12" t="s">
        <v>17</v>
      </c>
      <c r="I84" s="13">
        <v>3</v>
      </c>
      <c r="J84" s="13">
        <v>1255.702104</v>
      </c>
      <c r="K84" s="13">
        <v>85047</v>
      </c>
    </row>
    <row r="85" spans="1:11">
      <c r="A85" s="12" t="s">
        <v>84</v>
      </c>
      <c r="B85" s="12" t="s">
        <v>135</v>
      </c>
      <c r="C85" s="12" t="s">
        <v>144</v>
      </c>
      <c r="D85" s="12" t="s">
        <v>145</v>
      </c>
      <c r="E85" s="12" t="s">
        <v>12</v>
      </c>
      <c r="F85" s="12" t="s">
        <v>13</v>
      </c>
      <c r="G85" s="12" t="s">
        <v>14</v>
      </c>
      <c r="H85" s="12" t="s">
        <v>15</v>
      </c>
      <c r="I85" s="13">
        <v>3</v>
      </c>
      <c r="J85" s="13">
        <v>5206.8130369999999</v>
      </c>
      <c r="K85" s="13">
        <v>65047</v>
      </c>
    </row>
    <row r="86" spans="1:11">
      <c r="A86" s="12" t="s">
        <v>84</v>
      </c>
      <c r="B86" s="12" t="s">
        <v>135</v>
      </c>
      <c r="C86" s="12" t="s">
        <v>144</v>
      </c>
      <c r="D86" s="12" t="s">
        <v>145</v>
      </c>
      <c r="E86" s="12" t="s">
        <v>12</v>
      </c>
      <c r="F86" s="12" t="s">
        <v>13</v>
      </c>
      <c r="G86" s="12" t="s">
        <v>18</v>
      </c>
      <c r="H86" s="12" t="s">
        <v>19</v>
      </c>
      <c r="I86" s="13">
        <v>4</v>
      </c>
      <c r="J86" s="13">
        <v>5367.6507240000001</v>
      </c>
      <c r="K86" s="13">
        <v>55809</v>
      </c>
    </row>
    <row r="87" spans="1:11">
      <c r="A87" s="12" t="s">
        <v>84</v>
      </c>
      <c r="B87" s="12" t="s">
        <v>135</v>
      </c>
      <c r="C87" s="12" t="s">
        <v>144</v>
      </c>
      <c r="D87" s="12" t="s">
        <v>145</v>
      </c>
      <c r="E87" s="12" t="s">
        <v>12</v>
      </c>
      <c r="F87" s="12" t="s">
        <v>13</v>
      </c>
      <c r="G87" s="12" t="s">
        <v>20</v>
      </c>
      <c r="H87" s="12" t="s">
        <v>21</v>
      </c>
      <c r="I87" s="13">
        <v>1</v>
      </c>
      <c r="J87" s="13">
        <v>284.694411</v>
      </c>
      <c r="K87" s="13">
        <v>11714</v>
      </c>
    </row>
    <row r="88" spans="1:11">
      <c r="A88" s="12" t="s">
        <v>84</v>
      </c>
      <c r="B88" s="12" t="s">
        <v>135</v>
      </c>
      <c r="C88" s="12" t="s">
        <v>144</v>
      </c>
      <c r="D88" s="12" t="s">
        <v>145</v>
      </c>
      <c r="E88" s="12" t="s">
        <v>12</v>
      </c>
      <c r="F88" s="12" t="s">
        <v>13</v>
      </c>
      <c r="G88" s="12" t="s">
        <v>22</v>
      </c>
      <c r="H88" s="12" t="s">
        <v>23</v>
      </c>
      <c r="I88" s="13">
        <v>3</v>
      </c>
      <c r="J88" s="13">
        <v>3411.148878</v>
      </c>
      <c r="K88" s="13">
        <v>42572</v>
      </c>
    </row>
    <row r="89" spans="1:11">
      <c r="A89" s="12" t="s">
        <v>84</v>
      </c>
      <c r="B89" s="12" t="s">
        <v>135</v>
      </c>
      <c r="C89" s="12" t="s">
        <v>144</v>
      </c>
      <c r="D89" s="12" t="s">
        <v>145</v>
      </c>
      <c r="E89" s="12" t="s">
        <v>26</v>
      </c>
      <c r="F89" s="12" t="s">
        <v>27</v>
      </c>
      <c r="G89" s="12" t="s">
        <v>32</v>
      </c>
      <c r="H89" s="12" t="s">
        <v>33</v>
      </c>
      <c r="I89" s="13">
        <v>2</v>
      </c>
      <c r="J89" s="13">
        <v>402.92746799999998</v>
      </c>
      <c r="K89" s="13">
        <v>5693</v>
      </c>
    </row>
    <row r="90" spans="1:11">
      <c r="A90" s="12" t="s">
        <v>84</v>
      </c>
      <c r="B90" s="12" t="s">
        <v>135</v>
      </c>
      <c r="C90" s="12" t="s">
        <v>144</v>
      </c>
      <c r="D90" s="12" t="s">
        <v>145</v>
      </c>
      <c r="E90" s="12" t="s">
        <v>26</v>
      </c>
      <c r="F90" s="12" t="s">
        <v>27</v>
      </c>
      <c r="G90" s="12" t="s">
        <v>159</v>
      </c>
      <c r="H90" s="12" t="s">
        <v>160</v>
      </c>
      <c r="I90" s="13">
        <v>9</v>
      </c>
      <c r="J90" s="13">
        <v>1368.999873</v>
      </c>
      <c r="K90" s="13">
        <v>5439</v>
      </c>
    </row>
    <row r="91" spans="1:11">
      <c r="A91" s="12" t="s">
        <v>84</v>
      </c>
      <c r="B91" s="12" t="s">
        <v>135</v>
      </c>
      <c r="C91" s="12" t="s">
        <v>144</v>
      </c>
      <c r="D91" s="12" t="s">
        <v>145</v>
      </c>
      <c r="E91" s="12" t="s">
        <v>26</v>
      </c>
      <c r="F91" s="12" t="s">
        <v>27</v>
      </c>
      <c r="G91" s="12" t="s">
        <v>36</v>
      </c>
      <c r="H91" s="12" t="s">
        <v>37</v>
      </c>
      <c r="I91" s="13">
        <v>3</v>
      </c>
      <c r="J91" s="13">
        <v>1247.369183</v>
      </c>
      <c r="K91" s="13">
        <v>6448</v>
      </c>
    </row>
    <row r="92" spans="1:11">
      <c r="A92" s="12" t="s">
        <v>84</v>
      </c>
      <c r="B92" s="12" t="s">
        <v>135</v>
      </c>
      <c r="C92" s="12" t="s">
        <v>144</v>
      </c>
      <c r="D92" s="12" t="s">
        <v>145</v>
      </c>
      <c r="E92" s="12" t="s">
        <v>34</v>
      </c>
      <c r="F92" s="12" t="s">
        <v>35</v>
      </c>
      <c r="G92" s="12" t="s">
        <v>28</v>
      </c>
      <c r="H92" s="12" t="s">
        <v>29</v>
      </c>
      <c r="I92" s="13">
        <v>6</v>
      </c>
      <c r="J92" s="13">
        <v>4220.9999859999998</v>
      </c>
      <c r="K92" s="13">
        <v>11456</v>
      </c>
    </row>
    <row r="93" spans="1:11">
      <c r="A93" s="12" t="s">
        <v>84</v>
      </c>
      <c r="B93" s="12" t="s">
        <v>135</v>
      </c>
      <c r="C93" s="12" t="s">
        <v>144</v>
      </c>
      <c r="D93" s="12" t="s">
        <v>145</v>
      </c>
      <c r="E93" s="12" t="s">
        <v>34</v>
      </c>
      <c r="F93" s="12" t="s">
        <v>35</v>
      </c>
      <c r="G93" s="12" t="s">
        <v>30</v>
      </c>
      <c r="H93" s="12" t="s">
        <v>31</v>
      </c>
      <c r="I93" s="13">
        <v>12</v>
      </c>
      <c r="J93" s="13">
        <v>5826.1142609999997</v>
      </c>
      <c r="K93" s="13">
        <v>11095</v>
      </c>
    </row>
    <row r="94" spans="1:11">
      <c r="A94" s="12" t="s">
        <v>84</v>
      </c>
      <c r="B94" s="12" t="s">
        <v>135</v>
      </c>
      <c r="C94" s="12" t="s">
        <v>144</v>
      </c>
      <c r="D94" s="12" t="s">
        <v>145</v>
      </c>
      <c r="E94" s="12" t="s">
        <v>34</v>
      </c>
      <c r="F94" s="12" t="s">
        <v>35</v>
      </c>
      <c r="G94" s="12" t="s">
        <v>32</v>
      </c>
      <c r="H94" s="12" t="s">
        <v>33</v>
      </c>
      <c r="I94" s="13">
        <v>8</v>
      </c>
      <c r="J94" s="13">
        <v>4608</v>
      </c>
      <c r="K94" s="13">
        <v>10484</v>
      </c>
    </row>
    <row r="95" spans="1:11">
      <c r="A95" s="12" t="s">
        <v>84</v>
      </c>
      <c r="B95" s="12" t="s">
        <v>135</v>
      </c>
      <c r="C95" s="12" t="s">
        <v>144</v>
      </c>
      <c r="D95" s="12" t="s">
        <v>145</v>
      </c>
      <c r="E95" s="12" t="s">
        <v>34</v>
      </c>
      <c r="F95" s="12" t="s">
        <v>35</v>
      </c>
      <c r="G95" s="12" t="s">
        <v>159</v>
      </c>
      <c r="H95" s="12" t="s">
        <v>160</v>
      </c>
      <c r="I95" s="13">
        <v>12</v>
      </c>
      <c r="J95" s="13">
        <v>-3616.104859</v>
      </c>
      <c r="K95" s="13">
        <v>5675</v>
      </c>
    </row>
    <row r="96" spans="1:11">
      <c r="A96" s="12" t="s">
        <v>84</v>
      </c>
      <c r="B96" s="12" t="s">
        <v>135</v>
      </c>
      <c r="C96" s="12" t="s">
        <v>144</v>
      </c>
      <c r="D96" s="12" t="s">
        <v>145</v>
      </c>
      <c r="E96" s="12" t="s">
        <v>34</v>
      </c>
      <c r="F96" s="12" t="s">
        <v>35</v>
      </c>
      <c r="G96" s="12" t="s">
        <v>74</v>
      </c>
      <c r="H96" s="12" t="s">
        <v>75</v>
      </c>
      <c r="I96" s="13">
        <v>1</v>
      </c>
      <c r="J96" s="13">
        <v>-77</v>
      </c>
      <c r="K96" s="13">
        <v>0</v>
      </c>
    </row>
    <row r="97" spans="1:11">
      <c r="A97" s="12" t="s">
        <v>84</v>
      </c>
      <c r="B97" s="12" t="s">
        <v>135</v>
      </c>
      <c r="C97" s="12" t="s">
        <v>144</v>
      </c>
      <c r="D97" s="12" t="s">
        <v>145</v>
      </c>
      <c r="E97" s="12" t="s">
        <v>34</v>
      </c>
      <c r="F97" s="12" t="s">
        <v>35</v>
      </c>
      <c r="G97" s="12" t="s">
        <v>169</v>
      </c>
      <c r="H97" s="12" t="s">
        <v>170</v>
      </c>
      <c r="I97" s="13">
        <v>3</v>
      </c>
      <c r="J97" s="13">
        <v>702</v>
      </c>
      <c r="K97" s="13">
        <v>1998</v>
      </c>
    </row>
    <row r="98" spans="1:11">
      <c r="A98" s="12" t="s">
        <v>84</v>
      </c>
      <c r="B98" s="12" t="s">
        <v>135</v>
      </c>
      <c r="C98" s="12" t="s">
        <v>144</v>
      </c>
      <c r="D98" s="12" t="s">
        <v>145</v>
      </c>
      <c r="E98" s="12" t="s">
        <v>34</v>
      </c>
      <c r="F98" s="12" t="s">
        <v>35</v>
      </c>
      <c r="G98" s="12" t="s">
        <v>38</v>
      </c>
      <c r="H98" s="12" t="s">
        <v>39</v>
      </c>
      <c r="I98" s="13">
        <v>6</v>
      </c>
      <c r="J98" s="13">
        <v>2514</v>
      </c>
      <c r="K98" s="13">
        <v>6857</v>
      </c>
    </row>
    <row r="99" spans="1:11">
      <c r="A99" s="12" t="s">
        <v>84</v>
      </c>
      <c r="B99" s="12" t="s">
        <v>135</v>
      </c>
      <c r="C99" s="12" t="s">
        <v>144</v>
      </c>
      <c r="D99" s="12" t="s">
        <v>145</v>
      </c>
      <c r="E99" s="12" t="s">
        <v>40</v>
      </c>
      <c r="F99" s="12" t="s">
        <v>41</v>
      </c>
      <c r="G99" s="12" t="s">
        <v>42</v>
      </c>
      <c r="H99" s="12" t="s">
        <v>41</v>
      </c>
      <c r="I99" s="13">
        <v>12</v>
      </c>
      <c r="J99" s="13">
        <v>18187</v>
      </c>
      <c r="K99" s="13">
        <v>18187</v>
      </c>
    </row>
    <row r="100" spans="1:11">
      <c r="A100" s="12" t="s">
        <v>84</v>
      </c>
      <c r="B100" s="12" t="s">
        <v>135</v>
      </c>
      <c r="C100" s="12" t="s">
        <v>144</v>
      </c>
      <c r="D100" s="12" t="s">
        <v>145</v>
      </c>
      <c r="E100" s="12" t="s">
        <v>40</v>
      </c>
      <c r="F100" s="12" t="s">
        <v>41</v>
      </c>
      <c r="G100" s="12" t="s">
        <v>161</v>
      </c>
      <c r="H100" s="12" t="s">
        <v>162</v>
      </c>
      <c r="I100" s="13">
        <v>1</v>
      </c>
      <c r="J100" s="13">
        <v>-95</v>
      </c>
      <c r="K100" s="13">
        <v>-95</v>
      </c>
    </row>
    <row r="101" spans="1:11">
      <c r="A101" s="12" t="s">
        <v>84</v>
      </c>
      <c r="B101" s="12" t="s">
        <v>135</v>
      </c>
      <c r="C101" s="12" t="s">
        <v>144</v>
      </c>
      <c r="D101" s="12" t="s">
        <v>145</v>
      </c>
      <c r="E101" s="12" t="s">
        <v>163</v>
      </c>
      <c r="F101" s="12" t="s">
        <v>164</v>
      </c>
      <c r="G101" s="12" t="s">
        <v>165</v>
      </c>
      <c r="H101" s="12" t="s">
        <v>164</v>
      </c>
      <c r="I101" s="13">
        <v>8</v>
      </c>
      <c r="J101" s="13">
        <v>0</v>
      </c>
      <c r="K101" s="13">
        <v>0</v>
      </c>
    </row>
    <row r="102" spans="1:11">
      <c r="A102" s="12" t="s">
        <v>84</v>
      </c>
      <c r="B102" s="12" t="s">
        <v>135</v>
      </c>
      <c r="C102" s="12" t="s">
        <v>144</v>
      </c>
      <c r="D102" s="12" t="s">
        <v>145</v>
      </c>
      <c r="E102" s="12" t="s">
        <v>168</v>
      </c>
      <c r="F102" s="12" t="s">
        <v>162</v>
      </c>
      <c r="G102" s="12" t="s">
        <v>161</v>
      </c>
      <c r="H102" s="12" t="s">
        <v>162</v>
      </c>
      <c r="I102" s="13">
        <v>-1</v>
      </c>
      <c r="J102" s="13">
        <v>-352</v>
      </c>
      <c r="K102" s="13">
        <v>-352</v>
      </c>
    </row>
    <row r="103" spans="1:11">
      <c r="A103" s="12" t="s">
        <v>84</v>
      </c>
      <c r="B103" s="12" t="s">
        <v>135</v>
      </c>
      <c r="C103" s="12" t="s">
        <v>144</v>
      </c>
      <c r="D103" s="12" t="s">
        <v>145</v>
      </c>
      <c r="E103" s="12" t="s">
        <v>76</v>
      </c>
      <c r="F103" s="12" t="s">
        <v>76</v>
      </c>
      <c r="G103" s="12" t="s">
        <v>76</v>
      </c>
      <c r="H103" s="12" t="s">
        <v>76</v>
      </c>
      <c r="I103" s="13">
        <v>-1705</v>
      </c>
      <c r="J103" s="13">
        <v>-858</v>
      </c>
      <c r="K103" s="13">
        <v>-858</v>
      </c>
    </row>
    <row r="104" spans="1:11">
      <c r="A104" s="12" t="s">
        <v>85</v>
      </c>
      <c r="B104" s="12" t="s">
        <v>146</v>
      </c>
      <c r="C104" s="12" t="s">
        <v>147</v>
      </c>
      <c r="D104" s="12" t="s">
        <v>148</v>
      </c>
      <c r="E104" s="12" t="s">
        <v>12</v>
      </c>
      <c r="F104" s="12" t="s">
        <v>13</v>
      </c>
      <c r="G104" s="12" t="s">
        <v>16</v>
      </c>
      <c r="H104" s="12" t="s">
        <v>17</v>
      </c>
      <c r="I104" s="13">
        <v>7</v>
      </c>
      <c r="J104" s="13">
        <v>5758.9991449999998</v>
      </c>
      <c r="K104" s="13">
        <v>209999</v>
      </c>
    </row>
    <row r="105" spans="1:11">
      <c r="A105" s="12" t="s">
        <v>85</v>
      </c>
      <c r="B105" s="12" t="s">
        <v>146</v>
      </c>
      <c r="C105" s="12" t="s">
        <v>147</v>
      </c>
      <c r="D105" s="12" t="s">
        <v>148</v>
      </c>
      <c r="E105" s="12" t="s">
        <v>12</v>
      </c>
      <c r="F105" s="12" t="s">
        <v>13</v>
      </c>
      <c r="G105" s="12" t="s">
        <v>14</v>
      </c>
      <c r="H105" s="12" t="s">
        <v>15</v>
      </c>
      <c r="I105" s="13">
        <v>11</v>
      </c>
      <c r="J105" s="13">
        <v>18226.740673</v>
      </c>
      <c r="K105" s="13">
        <v>224380</v>
      </c>
    </row>
    <row r="106" spans="1:11">
      <c r="A106" s="12" t="s">
        <v>85</v>
      </c>
      <c r="B106" s="12" t="s">
        <v>146</v>
      </c>
      <c r="C106" s="12" t="s">
        <v>147</v>
      </c>
      <c r="D106" s="12" t="s">
        <v>148</v>
      </c>
      <c r="E106" s="12" t="s">
        <v>12</v>
      </c>
      <c r="F106" s="12" t="s">
        <v>13</v>
      </c>
      <c r="G106" s="12" t="s">
        <v>18</v>
      </c>
      <c r="H106" s="12" t="s">
        <v>19</v>
      </c>
      <c r="I106" s="13">
        <v>3</v>
      </c>
      <c r="J106" s="13">
        <v>2633.1575979999998</v>
      </c>
      <c r="K106" s="13">
        <v>38380</v>
      </c>
    </row>
    <row r="107" spans="1:11">
      <c r="A107" s="12" t="s">
        <v>85</v>
      </c>
      <c r="B107" s="12" t="s">
        <v>146</v>
      </c>
      <c r="C107" s="12" t="s">
        <v>147</v>
      </c>
      <c r="D107" s="12" t="s">
        <v>148</v>
      </c>
      <c r="E107" s="12" t="s">
        <v>12</v>
      </c>
      <c r="F107" s="12" t="s">
        <v>13</v>
      </c>
      <c r="G107" s="12" t="s">
        <v>22</v>
      </c>
      <c r="H107" s="12" t="s">
        <v>23</v>
      </c>
      <c r="I107" s="13">
        <v>4</v>
      </c>
      <c r="J107" s="13">
        <v>4159.982798</v>
      </c>
      <c r="K107" s="13">
        <v>52000</v>
      </c>
    </row>
    <row r="108" spans="1:11">
      <c r="A108" s="12" t="s">
        <v>85</v>
      </c>
      <c r="B108" s="12" t="s">
        <v>146</v>
      </c>
      <c r="C108" s="12" t="s">
        <v>147</v>
      </c>
      <c r="D108" s="12" t="s">
        <v>148</v>
      </c>
      <c r="E108" s="12" t="s">
        <v>12</v>
      </c>
      <c r="F108" s="12" t="s">
        <v>13</v>
      </c>
      <c r="G108" s="12" t="s">
        <v>24</v>
      </c>
      <c r="H108" s="12" t="s">
        <v>25</v>
      </c>
      <c r="I108" s="13">
        <v>1</v>
      </c>
      <c r="J108" s="13">
        <v>1276</v>
      </c>
      <c r="K108" s="13">
        <v>26476</v>
      </c>
    </row>
    <row r="109" spans="1:11">
      <c r="A109" s="12" t="s">
        <v>85</v>
      </c>
      <c r="B109" s="12" t="s">
        <v>146</v>
      </c>
      <c r="C109" s="12" t="s">
        <v>147</v>
      </c>
      <c r="D109" s="12" t="s">
        <v>148</v>
      </c>
      <c r="E109" s="12" t="s">
        <v>26</v>
      </c>
      <c r="F109" s="12" t="s">
        <v>27</v>
      </c>
      <c r="G109" s="12" t="s">
        <v>28</v>
      </c>
      <c r="H109" s="12" t="s">
        <v>29</v>
      </c>
      <c r="I109" s="13">
        <v>3</v>
      </c>
      <c r="J109" s="13">
        <v>782.99986999999999</v>
      </c>
      <c r="K109" s="13">
        <v>6543</v>
      </c>
    </row>
    <row r="110" spans="1:11">
      <c r="A110" s="12" t="s">
        <v>85</v>
      </c>
      <c r="B110" s="12" t="s">
        <v>146</v>
      </c>
      <c r="C110" s="12" t="s">
        <v>147</v>
      </c>
      <c r="D110" s="12" t="s">
        <v>148</v>
      </c>
      <c r="E110" s="12" t="s">
        <v>26</v>
      </c>
      <c r="F110" s="12" t="s">
        <v>27</v>
      </c>
      <c r="G110" s="12" t="s">
        <v>30</v>
      </c>
      <c r="H110" s="12" t="s">
        <v>31</v>
      </c>
      <c r="I110" s="13">
        <v>1</v>
      </c>
      <c r="J110" s="13">
        <v>65.999998000000005</v>
      </c>
      <c r="K110" s="13">
        <v>276</v>
      </c>
    </row>
    <row r="111" spans="1:11">
      <c r="A111" s="12" t="s">
        <v>85</v>
      </c>
      <c r="B111" s="12" t="s">
        <v>146</v>
      </c>
      <c r="C111" s="12" t="s">
        <v>147</v>
      </c>
      <c r="D111" s="12" t="s">
        <v>148</v>
      </c>
      <c r="E111" s="12" t="s">
        <v>26</v>
      </c>
      <c r="F111" s="12" t="s">
        <v>27</v>
      </c>
      <c r="G111" s="12" t="s">
        <v>32</v>
      </c>
      <c r="H111" s="12" t="s">
        <v>33</v>
      </c>
      <c r="I111" s="13">
        <v>5</v>
      </c>
      <c r="J111" s="13">
        <v>1349.927995</v>
      </c>
      <c r="K111" s="13">
        <v>21010</v>
      </c>
    </row>
    <row r="112" spans="1:11">
      <c r="A112" s="12" t="s">
        <v>85</v>
      </c>
      <c r="B112" s="12" t="s">
        <v>146</v>
      </c>
      <c r="C112" s="12" t="s">
        <v>147</v>
      </c>
      <c r="D112" s="12" t="s">
        <v>148</v>
      </c>
      <c r="E112" s="12" t="s">
        <v>26</v>
      </c>
      <c r="F112" s="12" t="s">
        <v>27</v>
      </c>
      <c r="G112" s="12" t="s">
        <v>159</v>
      </c>
      <c r="H112" s="12" t="s">
        <v>160</v>
      </c>
      <c r="I112" s="13">
        <v>20</v>
      </c>
      <c r="J112" s="13">
        <v>3021.9998289999999</v>
      </c>
      <c r="K112" s="13">
        <v>12002</v>
      </c>
    </row>
    <row r="113" spans="1:11">
      <c r="A113" s="12" t="s">
        <v>85</v>
      </c>
      <c r="B113" s="12" t="s">
        <v>146</v>
      </c>
      <c r="C113" s="12" t="s">
        <v>147</v>
      </c>
      <c r="D113" s="12" t="s">
        <v>148</v>
      </c>
      <c r="E113" s="12" t="s">
        <v>26</v>
      </c>
      <c r="F113" s="12" t="s">
        <v>27</v>
      </c>
      <c r="G113" s="12" t="s">
        <v>36</v>
      </c>
      <c r="H113" s="12" t="s">
        <v>37</v>
      </c>
      <c r="I113" s="13">
        <v>11</v>
      </c>
      <c r="J113" s="13">
        <v>8241.9461439999995</v>
      </c>
      <c r="K113" s="13">
        <v>43419</v>
      </c>
    </row>
    <row r="114" spans="1:11">
      <c r="A114" s="12" t="s">
        <v>85</v>
      </c>
      <c r="B114" s="12" t="s">
        <v>146</v>
      </c>
      <c r="C114" s="12" t="s">
        <v>147</v>
      </c>
      <c r="D114" s="12" t="s">
        <v>148</v>
      </c>
      <c r="E114" s="12" t="s">
        <v>26</v>
      </c>
      <c r="F114" s="12" t="s">
        <v>27</v>
      </c>
      <c r="G114" s="12" t="s">
        <v>166</v>
      </c>
      <c r="H114" s="12" t="s">
        <v>167</v>
      </c>
      <c r="I114" s="13">
        <v>1</v>
      </c>
      <c r="J114" s="13">
        <v>757</v>
      </c>
      <c r="K114" s="13">
        <v>6467</v>
      </c>
    </row>
    <row r="115" spans="1:11">
      <c r="A115" s="12" t="s">
        <v>85</v>
      </c>
      <c r="B115" s="12" t="s">
        <v>146</v>
      </c>
      <c r="C115" s="12" t="s">
        <v>147</v>
      </c>
      <c r="D115" s="12" t="s">
        <v>148</v>
      </c>
      <c r="E115" s="12" t="s">
        <v>26</v>
      </c>
      <c r="F115" s="12" t="s">
        <v>27</v>
      </c>
      <c r="G115" s="12" t="s">
        <v>177</v>
      </c>
      <c r="H115" s="12" t="s">
        <v>178</v>
      </c>
      <c r="I115" s="13">
        <v>2</v>
      </c>
      <c r="J115" s="13">
        <v>944</v>
      </c>
      <c r="K115" s="13">
        <v>9504</v>
      </c>
    </row>
    <row r="116" spans="1:11">
      <c r="A116" s="12" t="s">
        <v>85</v>
      </c>
      <c r="B116" s="12" t="s">
        <v>146</v>
      </c>
      <c r="C116" s="12" t="s">
        <v>147</v>
      </c>
      <c r="D116" s="12" t="s">
        <v>148</v>
      </c>
      <c r="E116" s="12" t="s">
        <v>34</v>
      </c>
      <c r="F116" s="12" t="s">
        <v>35</v>
      </c>
      <c r="G116" s="12" t="s">
        <v>28</v>
      </c>
      <c r="H116" s="12" t="s">
        <v>29</v>
      </c>
      <c r="I116" s="13">
        <v>14</v>
      </c>
      <c r="J116" s="13">
        <v>6697.6802449999996</v>
      </c>
      <c r="K116" s="13">
        <v>22847</v>
      </c>
    </row>
    <row r="117" spans="1:11">
      <c r="A117" s="12" t="s">
        <v>85</v>
      </c>
      <c r="B117" s="12" t="s">
        <v>146</v>
      </c>
      <c r="C117" s="12" t="s">
        <v>147</v>
      </c>
      <c r="D117" s="12" t="s">
        <v>148</v>
      </c>
      <c r="E117" s="12" t="s">
        <v>34</v>
      </c>
      <c r="F117" s="12" t="s">
        <v>35</v>
      </c>
      <c r="G117" s="12" t="s">
        <v>30</v>
      </c>
      <c r="H117" s="12" t="s">
        <v>31</v>
      </c>
      <c r="I117" s="13">
        <v>15</v>
      </c>
      <c r="J117" s="13">
        <v>10501.162546</v>
      </c>
      <c r="K117" s="13">
        <v>15909</v>
      </c>
    </row>
    <row r="118" spans="1:11">
      <c r="A118" s="12" t="s">
        <v>85</v>
      </c>
      <c r="B118" s="12" t="s">
        <v>146</v>
      </c>
      <c r="C118" s="12" t="s">
        <v>147</v>
      </c>
      <c r="D118" s="12" t="s">
        <v>148</v>
      </c>
      <c r="E118" s="12" t="s">
        <v>34</v>
      </c>
      <c r="F118" s="12" t="s">
        <v>35</v>
      </c>
      <c r="G118" s="12" t="s">
        <v>32</v>
      </c>
      <c r="H118" s="12" t="s">
        <v>33</v>
      </c>
      <c r="I118" s="13">
        <v>10</v>
      </c>
      <c r="J118" s="13">
        <v>7630.681936</v>
      </c>
      <c r="K118" s="13">
        <v>13848</v>
      </c>
    </row>
    <row r="119" spans="1:11">
      <c r="A119" s="12" t="s">
        <v>85</v>
      </c>
      <c r="B119" s="12" t="s">
        <v>146</v>
      </c>
      <c r="C119" s="12" t="s">
        <v>147</v>
      </c>
      <c r="D119" s="12" t="s">
        <v>148</v>
      </c>
      <c r="E119" s="12" t="s">
        <v>34</v>
      </c>
      <c r="F119" s="12" t="s">
        <v>35</v>
      </c>
      <c r="G119" s="12" t="s">
        <v>159</v>
      </c>
      <c r="H119" s="12" t="s">
        <v>160</v>
      </c>
      <c r="I119" s="13">
        <v>29</v>
      </c>
      <c r="J119" s="13">
        <v>213.87392299999999</v>
      </c>
      <c r="K119" s="13">
        <v>18312</v>
      </c>
    </row>
    <row r="120" spans="1:11">
      <c r="A120" s="12" t="s">
        <v>85</v>
      </c>
      <c r="B120" s="12" t="s">
        <v>146</v>
      </c>
      <c r="C120" s="12" t="s">
        <v>147</v>
      </c>
      <c r="D120" s="12" t="s">
        <v>148</v>
      </c>
      <c r="E120" s="12" t="s">
        <v>34</v>
      </c>
      <c r="F120" s="12" t="s">
        <v>35</v>
      </c>
      <c r="G120" s="12" t="s">
        <v>36</v>
      </c>
      <c r="H120" s="12" t="s">
        <v>37</v>
      </c>
      <c r="I120" s="13">
        <v>1</v>
      </c>
      <c r="J120" s="13">
        <v>-1098</v>
      </c>
      <c r="K120" s="13">
        <v>0</v>
      </c>
    </row>
    <row r="121" spans="1:11">
      <c r="A121" s="12" t="s">
        <v>85</v>
      </c>
      <c r="B121" s="12" t="s">
        <v>146</v>
      </c>
      <c r="C121" s="12" t="s">
        <v>147</v>
      </c>
      <c r="D121" s="12" t="s">
        <v>148</v>
      </c>
      <c r="E121" s="12" t="s">
        <v>34</v>
      </c>
      <c r="F121" s="12" t="s">
        <v>35</v>
      </c>
      <c r="G121" s="12" t="s">
        <v>74</v>
      </c>
      <c r="H121" s="12" t="s">
        <v>75</v>
      </c>
      <c r="I121" s="13">
        <v>5</v>
      </c>
      <c r="J121" s="13">
        <v>-823.01920099999995</v>
      </c>
      <c r="K121" s="13">
        <v>0</v>
      </c>
    </row>
    <row r="122" spans="1:11">
      <c r="A122" s="12" t="s">
        <v>85</v>
      </c>
      <c r="B122" s="12" t="s">
        <v>146</v>
      </c>
      <c r="C122" s="12" t="s">
        <v>147</v>
      </c>
      <c r="D122" s="12" t="s">
        <v>148</v>
      </c>
      <c r="E122" s="12" t="s">
        <v>34</v>
      </c>
      <c r="F122" s="12" t="s">
        <v>35</v>
      </c>
      <c r="G122" s="12" t="s">
        <v>38</v>
      </c>
      <c r="H122" s="12" t="s">
        <v>39</v>
      </c>
      <c r="I122" s="13">
        <v>2</v>
      </c>
      <c r="J122" s="13">
        <v>507</v>
      </c>
      <c r="K122" s="13">
        <v>1314</v>
      </c>
    </row>
    <row r="123" spans="1:11">
      <c r="A123" s="12" t="s">
        <v>85</v>
      </c>
      <c r="B123" s="12" t="s">
        <v>146</v>
      </c>
      <c r="C123" s="12" t="s">
        <v>147</v>
      </c>
      <c r="D123" s="12" t="s">
        <v>148</v>
      </c>
      <c r="E123" s="12" t="s">
        <v>40</v>
      </c>
      <c r="F123" s="12" t="s">
        <v>41</v>
      </c>
      <c r="G123" s="12" t="s">
        <v>42</v>
      </c>
      <c r="H123" s="12" t="s">
        <v>41</v>
      </c>
      <c r="I123" s="13">
        <v>68</v>
      </c>
      <c r="J123" s="13">
        <v>-2397</v>
      </c>
      <c r="K123" s="13">
        <v>-2397</v>
      </c>
    </row>
    <row r="124" spans="1:11">
      <c r="A124" s="12" t="s">
        <v>85</v>
      </c>
      <c r="B124" s="12" t="s">
        <v>146</v>
      </c>
      <c r="C124" s="12" t="s">
        <v>147</v>
      </c>
      <c r="D124" s="12" t="s">
        <v>148</v>
      </c>
      <c r="E124" s="12" t="s">
        <v>40</v>
      </c>
      <c r="F124" s="12" t="s">
        <v>41</v>
      </c>
      <c r="G124" s="12" t="s">
        <v>161</v>
      </c>
      <c r="H124" s="12" t="s">
        <v>162</v>
      </c>
      <c r="I124" s="13">
        <v>4</v>
      </c>
      <c r="J124" s="13">
        <v>-380</v>
      </c>
      <c r="K124" s="13">
        <v>-380</v>
      </c>
    </row>
    <row r="125" spans="1:11">
      <c r="A125" s="12" t="s">
        <v>85</v>
      </c>
      <c r="B125" s="12" t="s">
        <v>146</v>
      </c>
      <c r="C125" s="12" t="s">
        <v>147</v>
      </c>
      <c r="D125" s="12" t="s">
        <v>148</v>
      </c>
      <c r="E125" s="12" t="s">
        <v>163</v>
      </c>
      <c r="F125" s="12" t="s">
        <v>164</v>
      </c>
      <c r="G125" s="12" t="s">
        <v>165</v>
      </c>
      <c r="H125" s="12" t="s">
        <v>164</v>
      </c>
      <c r="I125" s="13">
        <v>14</v>
      </c>
      <c r="J125" s="13">
        <v>0</v>
      </c>
      <c r="K125" s="13">
        <v>0</v>
      </c>
    </row>
    <row r="126" spans="1:11">
      <c r="A126" s="12" t="s">
        <v>85</v>
      </c>
      <c r="B126" s="12" t="s">
        <v>146</v>
      </c>
      <c r="C126" s="12" t="s">
        <v>147</v>
      </c>
      <c r="D126" s="12" t="s">
        <v>148</v>
      </c>
      <c r="E126" s="12" t="s">
        <v>179</v>
      </c>
      <c r="F126" s="12" t="s">
        <v>180</v>
      </c>
      <c r="G126" s="12" t="s">
        <v>181</v>
      </c>
      <c r="H126" s="12" t="s">
        <v>180</v>
      </c>
      <c r="I126" s="13">
        <v>1</v>
      </c>
      <c r="J126" s="13">
        <v>3333</v>
      </c>
      <c r="K126" s="13">
        <v>3333</v>
      </c>
    </row>
    <row r="127" spans="1:11">
      <c r="A127" s="12" t="s">
        <v>85</v>
      </c>
      <c r="B127" s="12" t="s">
        <v>146</v>
      </c>
      <c r="C127" s="12" t="s">
        <v>147</v>
      </c>
      <c r="D127" s="12" t="s">
        <v>148</v>
      </c>
      <c r="E127" s="12" t="s">
        <v>179</v>
      </c>
      <c r="F127" s="12" t="s">
        <v>180</v>
      </c>
      <c r="G127" s="12" t="s">
        <v>182</v>
      </c>
      <c r="H127" s="12" t="s">
        <v>183</v>
      </c>
      <c r="I127" s="13">
        <v>-1</v>
      </c>
      <c r="J127" s="13">
        <v>-3333</v>
      </c>
      <c r="K127" s="13">
        <v>-3333</v>
      </c>
    </row>
    <row r="128" spans="1:11">
      <c r="A128" s="12" t="s">
        <v>85</v>
      </c>
      <c r="B128" s="12" t="s">
        <v>146</v>
      </c>
      <c r="C128" s="12" t="s">
        <v>147</v>
      </c>
      <c r="D128" s="12" t="s">
        <v>148</v>
      </c>
      <c r="E128" s="12" t="s">
        <v>168</v>
      </c>
      <c r="F128" s="12" t="s">
        <v>162</v>
      </c>
      <c r="G128" s="12" t="s">
        <v>161</v>
      </c>
      <c r="H128" s="12" t="s">
        <v>162</v>
      </c>
      <c r="I128" s="13">
        <v>-2</v>
      </c>
      <c r="J128" s="13">
        <v>-952</v>
      </c>
      <c r="K128" s="13">
        <v>-952</v>
      </c>
    </row>
    <row r="129" spans="1:11">
      <c r="A129" s="12" t="s">
        <v>85</v>
      </c>
      <c r="B129" s="12" t="s">
        <v>146</v>
      </c>
      <c r="C129" s="12" t="s">
        <v>147</v>
      </c>
      <c r="D129" s="12" t="s">
        <v>148</v>
      </c>
      <c r="E129" s="12" t="s">
        <v>76</v>
      </c>
      <c r="F129" s="12" t="s">
        <v>76</v>
      </c>
      <c r="G129" s="12" t="s">
        <v>76</v>
      </c>
      <c r="H129" s="12" t="s">
        <v>76</v>
      </c>
      <c r="I129" s="13">
        <v>-1235</v>
      </c>
      <c r="J129" s="13">
        <v>-589</v>
      </c>
      <c r="K129" s="13">
        <v>-589</v>
      </c>
    </row>
    <row r="130" spans="1:11">
      <c r="A130" s="12" t="s">
        <v>85</v>
      </c>
      <c r="B130" s="12" t="s">
        <v>146</v>
      </c>
      <c r="C130" s="12" t="s">
        <v>184</v>
      </c>
      <c r="D130" s="12" t="s">
        <v>185</v>
      </c>
      <c r="E130" s="12" t="s">
        <v>26</v>
      </c>
      <c r="F130" s="12" t="s">
        <v>27</v>
      </c>
      <c r="G130" s="12" t="s">
        <v>159</v>
      </c>
      <c r="H130" s="12" t="s">
        <v>160</v>
      </c>
      <c r="I130" s="13">
        <v>1</v>
      </c>
      <c r="J130" s="13">
        <v>142</v>
      </c>
      <c r="K130" s="13">
        <v>562</v>
      </c>
    </row>
    <row r="131" spans="1:11">
      <c r="A131" s="12" t="s">
        <v>85</v>
      </c>
      <c r="B131" s="12" t="s">
        <v>146</v>
      </c>
      <c r="C131" s="12" t="s">
        <v>184</v>
      </c>
      <c r="D131" s="12" t="s">
        <v>185</v>
      </c>
      <c r="E131" s="12" t="s">
        <v>34</v>
      </c>
      <c r="F131" s="12" t="s">
        <v>35</v>
      </c>
      <c r="G131" s="12" t="s">
        <v>30</v>
      </c>
      <c r="H131" s="12" t="s">
        <v>31</v>
      </c>
      <c r="I131" s="13">
        <v>1</v>
      </c>
      <c r="J131" s="13">
        <v>938</v>
      </c>
      <c r="K131" s="13">
        <v>2467</v>
      </c>
    </row>
    <row r="132" spans="1:11">
      <c r="A132" s="12" t="s">
        <v>85</v>
      </c>
      <c r="B132" s="12" t="s">
        <v>146</v>
      </c>
      <c r="C132" s="12" t="s">
        <v>184</v>
      </c>
      <c r="D132" s="12" t="s">
        <v>185</v>
      </c>
      <c r="E132" s="12" t="s">
        <v>34</v>
      </c>
      <c r="F132" s="12" t="s">
        <v>35</v>
      </c>
      <c r="G132" s="12" t="s">
        <v>159</v>
      </c>
      <c r="H132" s="12" t="s">
        <v>160</v>
      </c>
      <c r="I132" s="13">
        <v>1</v>
      </c>
      <c r="J132" s="13">
        <v>178</v>
      </c>
      <c r="K132" s="13">
        <v>467</v>
      </c>
    </row>
    <row r="133" spans="1:11">
      <c r="A133" s="12" t="s">
        <v>85</v>
      </c>
      <c r="B133" s="12" t="s">
        <v>146</v>
      </c>
      <c r="C133" s="12" t="s">
        <v>149</v>
      </c>
      <c r="D133" s="12" t="s">
        <v>150</v>
      </c>
      <c r="E133" s="12" t="s">
        <v>12</v>
      </c>
      <c r="F133" s="12" t="s">
        <v>13</v>
      </c>
      <c r="G133" s="12" t="s">
        <v>16</v>
      </c>
      <c r="H133" s="12" t="s">
        <v>17</v>
      </c>
      <c r="I133" s="13">
        <v>6</v>
      </c>
      <c r="J133" s="13">
        <v>6085.730552</v>
      </c>
      <c r="K133" s="13">
        <v>182666</v>
      </c>
    </row>
    <row r="134" spans="1:11">
      <c r="A134" s="12" t="s">
        <v>85</v>
      </c>
      <c r="B134" s="12" t="s">
        <v>146</v>
      </c>
      <c r="C134" s="12" t="s">
        <v>149</v>
      </c>
      <c r="D134" s="12" t="s">
        <v>150</v>
      </c>
      <c r="E134" s="12" t="s">
        <v>12</v>
      </c>
      <c r="F134" s="12" t="s">
        <v>13</v>
      </c>
      <c r="G134" s="12" t="s">
        <v>14</v>
      </c>
      <c r="H134" s="12" t="s">
        <v>15</v>
      </c>
      <c r="I134" s="13">
        <v>6</v>
      </c>
      <c r="J134" s="13">
        <v>11319.024622999999</v>
      </c>
      <c r="K134" s="13">
        <v>139714</v>
      </c>
    </row>
    <row r="135" spans="1:11">
      <c r="A135" s="12" t="s">
        <v>85</v>
      </c>
      <c r="B135" s="12" t="s">
        <v>146</v>
      </c>
      <c r="C135" s="12" t="s">
        <v>149</v>
      </c>
      <c r="D135" s="12" t="s">
        <v>150</v>
      </c>
      <c r="E135" s="12" t="s">
        <v>12</v>
      </c>
      <c r="F135" s="12" t="s">
        <v>13</v>
      </c>
      <c r="G135" s="12" t="s">
        <v>18</v>
      </c>
      <c r="H135" s="12" t="s">
        <v>19</v>
      </c>
      <c r="I135" s="13">
        <v>5</v>
      </c>
      <c r="J135" s="13">
        <v>6194.0353089999999</v>
      </c>
      <c r="K135" s="13">
        <v>66190</v>
      </c>
    </row>
    <row r="136" spans="1:11">
      <c r="A136" s="12" t="s">
        <v>85</v>
      </c>
      <c r="B136" s="12" t="s">
        <v>146</v>
      </c>
      <c r="C136" s="12" t="s">
        <v>149</v>
      </c>
      <c r="D136" s="12" t="s">
        <v>150</v>
      </c>
      <c r="E136" s="12" t="s">
        <v>12</v>
      </c>
      <c r="F136" s="12" t="s">
        <v>13</v>
      </c>
      <c r="G136" s="12" t="s">
        <v>20</v>
      </c>
      <c r="H136" s="12" t="s">
        <v>21</v>
      </c>
      <c r="I136" s="13">
        <v>1</v>
      </c>
      <c r="J136" s="13">
        <v>866.70987400000001</v>
      </c>
      <c r="K136" s="13">
        <v>12286</v>
      </c>
    </row>
    <row r="137" spans="1:11">
      <c r="A137" s="12" t="s">
        <v>85</v>
      </c>
      <c r="B137" s="12" t="s">
        <v>146</v>
      </c>
      <c r="C137" s="12" t="s">
        <v>149</v>
      </c>
      <c r="D137" s="12" t="s">
        <v>150</v>
      </c>
      <c r="E137" s="12" t="s">
        <v>12</v>
      </c>
      <c r="F137" s="12" t="s">
        <v>13</v>
      </c>
      <c r="G137" s="12" t="s">
        <v>22</v>
      </c>
      <c r="H137" s="12" t="s">
        <v>23</v>
      </c>
      <c r="I137" s="13">
        <v>3</v>
      </c>
      <c r="J137" s="13">
        <v>3207.3638230000001</v>
      </c>
      <c r="K137" s="13">
        <v>40190</v>
      </c>
    </row>
    <row r="138" spans="1:11">
      <c r="A138" s="12" t="s">
        <v>85</v>
      </c>
      <c r="B138" s="12" t="s">
        <v>146</v>
      </c>
      <c r="C138" s="12" t="s">
        <v>149</v>
      </c>
      <c r="D138" s="12" t="s">
        <v>150</v>
      </c>
      <c r="E138" s="12" t="s">
        <v>12</v>
      </c>
      <c r="F138" s="12" t="s">
        <v>13</v>
      </c>
      <c r="G138" s="12" t="s">
        <v>24</v>
      </c>
      <c r="H138" s="12" t="s">
        <v>25</v>
      </c>
      <c r="I138" s="13">
        <v>1</v>
      </c>
      <c r="J138" s="13">
        <v>2467</v>
      </c>
      <c r="K138" s="13">
        <v>24667</v>
      </c>
    </row>
    <row r="139" spans="1:11">
      <c r="A139" s="12" t="s">
        <v>85</v>
      </c>
      <c r="B139" s="12" t="s">
        <v>146</v>
      </c>
      <c r="C139" s="12" t="s">
        <v>149</v>
      </c>
      <c r="D139" s="12" t="s">
        <v>150</v>
      </c>
      <c r="E139" s="12" t="s">
        <v>26</v>
      </c>
      <c r="F139" s="12" t="s">
        <v>27</v>
      </c>
      <c r="G139" s="12" t="s">
        <v>28</v>
      </c>
      <c r="H139" s="12" t="s">
        <v>29</v>
      </c>
      <c r="I139" s="13">
        <v>2</v>
      </c>
      <c r="J139" s="13">
        <v>521.99928999999997</v>
      </c>
      <c r="K139" s="13">
        <v>4362</v>
      </c>
    </row>
    <row r="140" spans="1:11">
      <c r="A140" s="12" t="s">
        <v>85</v>
      </c>
      <c r="B140" s="12" t="s">
        <v>146</v>
      </c>
      <c r="C140" s="12" t="s">
        <v>149</v>
      </c>
      <c r="D140" s="12" t="s">
        <v>150</v>
      </c>
      <c r="E140" s="12" t="s">
        <v>26</v>
      </c>
      <c r="F140" s="12" t="s">
        <v>27</v>
      </c>
      <c r="G140" s="12" t="s">
        <v>30</v>
      </c>
      <c r="H140" s="12" t="s">
        <v>31</v>
      </c>
      <c r="I140" s="13">
        <v>8</v>
      </c>
      <c r="J140" s="13">
        <v>663.47381600000006</v>
      </c>
      <c r="K140" s="13">
        <v>3640</v>
      </c>
    </row>
    <row r="141" spans="1:11">
      <c r="A141" s="12" t="s">
        <v>85</v>
      </c>
      <c r="B141" s="12" t="s">
        <v>146</v>
      </c>
      <c r="C141" s="12" t="s">
        <v>149</v>
      </c>
      <c r="D141" s="12" t="s">
        <v>150</v>
      </c>
      <c r="E141" s="12" t="s">
        <v>26</v>
      </c>
      <c r="F141" s="12" t="s">
        <v>27</v>
      </c>
      <c r="G141" s="12" t="s">
        <v>32</v>
      </c>
      <c r="H141" s="12" t="s">
        <v>33</v>
      </c>
      <c r="I141" s="13">
        <v>4</v>
      </c>
      <c r="J141" s="13">
        <v>1380.9631939999999</v>
      </c>
      <c r="K141" s="13">
        <v>12056</v>
      </c>
    </row>
    <row r="142" spans="1:11">
      <c r="A142" s="12" t="s">
        <v>85</v>
      </c>
      <c r="B142" s="12" t="s">
        <v>146</v>
      </c>
      <c r="C142" s="12" t="s">
        <v>149</v>
      </c>
      <c r="D142" s="12" t="s">
        <v>150</v>
      </c>
      <c r="E142" s="12" t="s">
        <v>26</v>
      </c>
      <c r="F142" s="12" t="s">
        <v>27</v>
      </c>
      <c r="G142" s="12" t="s">
        <v>159</v>
      </c>
      <c r="H142" s="12" t="s">
        <v>160</v>
      </c>
      <c r="I142" s="13">
        <v>20</v>
      </c>
      <c r="J142" s="13">
        <v>2942.9998650000002</v>
      </c>
      <c r="K142" s="13">
        <v>12573</v>
      </c>
    </row>
    <row r="143" spans="1:11">
      <c r="A143" s="12" t="s">
        <v>85</v>
      </c>
      <c r="B143" s="12" t="s">
        <v>146</v>
      </c>
      <c r="C143" s="12" t="s">
        <v>149</v>
      </c>
      <c r="D143" s="12" t="s">
        <v>150</v>
      </c>
      <c r="E143" s="12" t="s">
        <v>26</v>
      </c>
      <c r="F143" s="12" t="s">
        <v>27</v>
      </c>
      <c r="G143" s="12" t="s">
        <v>36</v>
      </c>
      <c r="H143" s="12" t="s">
        <v>37</v>
      </c>
      <c r="I143" s="13">
        <v>13</v>
      </c>
      <c r="J143" s="13">
        <v>8665.4110820000005</v>
      </c>
      <c r="K143" s="13">
        <v>45305</v>
      </c>
    </row>
    <row r="144" spans="1:11">
      <c r="A144" s="12" t="s">
        <v>85</v>
      </c>
      <c r="B144" s="12" t="s">
        <v>146</v>
      </c>
      <c r="C144" s="12" t="s">
        <v>149</v>
      </c>
      <c r="D144" s="12" t="s">
        <v>150</v>
      </c>
      <c r="E144" s="12" t="s">
        <v>26</v>
      </c>
      <c r="F144" s="12" t="s">
        <v>27</v>
      </c>
      <c r="G144" s="12" t="s">
        <v>166</v>
      </c>
      <c r="H144" s="12" t="s">
        <v>167</v>
      </c>
      <c r="I144" s="13">
        <v>1</v>
      </c>
      <c r="J144" s="13">
        <v>1819</v>
      </c>
      <c r="K144" s="13">
        <v>11333</v>
      </c>
    </row>
    <row r="145" spans="1:11">
      <c r="A145" s="12" t="s">
        <v>85</v>
      </c>
      <c r="B145" s="12" t="s">
        <v>146</v>
      </c>
      <c r="C145" s="12" t="s">
        <v>149</v>
      </c>
      <c r="D145" s="12" t="s">
        <v>150</v>
      </c>
      <c r="E145" s="12" t="s">
        <v>26</v>
      </c>
      <c r="F145" s="12" t="s">
        <v>27</v>
      </c>
      <c r="G145" s="12" t="s">
        <v>177</v>
      </c>
      <c r="H145" s="12" t="s">
        <v>178</v>
      </c>
      <c r="I145" s="13">
        <v>1</v>
      </c>
      <c r="J145" s="13">
        <v>472</v>
      </c>
      <c r="K145" s="13">
        <v>4752</v>
      </c>
    </row>
    <row r="146" spans="1:11">
      <c r="A146" s="12" t="s">
        <v>85</v>
      </c>
      <c r="B146" s="12" t="s">
        <v>146</v>
      </c>
      <c r="C146" s="12" t="s">
        <v>149</v>
      </c>
      <c r="D146" s="12" t="s">
        <v>150</v>
      </c>
      <c r="E146" s="12" t="s">
        <v>34</v>
      </c>
      <c r="F146" s="12" t="s">
        <v>35</v>
      </c>
      <c r="G146" s="12" t="s">
        <v>28</v>
      </c>
      <c r="H146" s="12" t="s">
        <v>29</v>
      </c>
      <c r="I146" s="13">
        <v>13</v>
      </c>
      <c r="J146" s="13">
        <v>7257.6559600000001</v>
      </c>
      <c r="K146" s="13">
        <v>22762</v>
      </c>
    </row>
    <row r="147" spans="1:11">
      <c r="A147" s="12" t="s">
        <v>85</v>
      </c>
      <c r="B147" s="12" t="s">
        <v>146</v>
      </c>
      <c r="C147" s="12" t="s">
        <v>149</v>
      </c>
      <c r="D147" s="12" t="s">
        <v>150</v>
      </c>
      <c r="E147" s="12" t="s">
        <v>34</v>
      </c>
      <c r="F147" s="12" t="s">
        <v>35</v>
      </c>
      <c r="G147" s="12" t="s">
        <v>30</v>
      </c>
      <c r="H147" s="12" t="s">
        <v>31</v>
      </c>
      <c r="I147" s="13">
        <v>24</v>
      </c>
      <c r="J147" s="13">
        <v>13164.150249</v>
      </c>
      <c r="K147" s="13">
        <v>24444</v>
      </c>
    </row>
    <row r="148" spans="1:11">
      <c r="A148" s="12" t="s">
        <v>85</v>
      </c>
      <c r="B148" s="12" t="s">
        <v>146</v>
      </c>
      <c r="C148" s="12" t="s">
        <v>149</v>
      </c>
      <c r="D148" s="12" t="s">
        <v>150</v>
      </c>
      <c r="E148" s="12" t="s">
        <v>34</v>
      </c>
      <c r="F148" s="12" t="s">
        <v>35</v>
      </c>
      <c r="G148" s="12" t="s">
        <v>32</v>
      </c>
      <c r="H148" s="12" t="s">
        <v>33</v>
      </c>
      <c r="I148" s="13">
        <v>8</v>
      </c>
      <c r="J148" s="13">
        <v>5261</v>
      </c>
      <c r="K148" s="13">
        <v>12458</v>
      </c>
    </row>
    <row r="149" spans="1:11">
      <c r="A149" s="12" t="s">
        <v>85</v>
      </c>
      <c r="B149" s="12" t="s">
        <v>146</v>
      </c>
      <c r="C149" s="12" t="s">
        <v>149</v>
      </c>
      <c r="D149" s="12" t="s">
        <v>150</v>
      </c>
      <c r="E149" s="12" t="s">
        <v>34</v>
      </c>
      <c r="F149" s="12" t="s">
        <v>35</v>
      </c>
      <c r="G149" s="12" t="s">
        <v>159</v>
      </c>
      <c r="H149" s="12" t="s">
        <v>160</v>
      </c>
      <c r="I149" s="13">
        <v>26</v>
      </c>
      <c r="J149" s="13">
        <v>-687.42635399999995</v>
      </c>
      <c r="K149" s="13">
        <v>14313</v>
      </c>
    </row>
    <row r="150" spans="1:11">
      <c r="A150" s="12" t="s">
        <v>85</v>
      </c>
      <c r="B150" s="12" t="s">
        <v>146</v>
      </c>
      <c r="C150" s="12" t="s">
        <v>149</v>
      </c>
      <c r="D150" s="12" t="s">
        <v>150</v>
      </c>
      <c r="E150" s="12" t="s">
        <v>34</v>
      </c>
      <c r="F150" s="12" t="s">
        <v>35</v>
      </c>
      <c r="G150" s="12" t="s">
        <v>36</v>
      </c>
      <c r="H150" s="12" t="s">
        <v>37</v>
      </c>
      <c r="I150" s="13">
        <v>4</v>
      </c>
      <c r="J150" s="13">
        <v>-6248.5119050000003</v>
      </c>
      <c r="K150" s="13">
        <v>4175</v>
      </c>
    </row>
    <row r="151" spans="1:11">
      <c r="A151" s="12" t="s">
        <v>85</v>
      </c>
      <c r="B151" s="12" t="s">
        <v>146</v>
      </c>
      <c r="C151" s="12" t="s">
        <v>149</v>
      </c>
      <c r="D151" s="12" t="s">
        <v>150</v>
      </c>
      <c r="E151" s="12" t="s">
        <v>34</v>
      </c>
      <c r="F151" s="12" t="s">
        <v>35</v>
      </c>
      <c r="G151" s="12" t="s">
        <v>74</v>
      </c>
      <c r="H151" s="12" t="s">
        <v>75</v>
      </c>
      <c r="I151" s="13">
        <v>5</v>
      </c>
      <c r="J151" s="13">
        <v>-365.47313100000002</v>
      </c>
      <c r="K151" s="13">
        <v>1143</v>
      </c>
    </row>
    <row r="152" spans="1:11">
      <c r="A152" s="12" t="s">
        <v>85</v>
      </c>
      <c r="B152" s="12" t="s">
        <v>146</v>
      </c>
      <c r="C152" s="12" t="s">
        <v>149</v>
      </c>
      <c r="D152" s="12" t="s">
        <v>150</v>
      </c>
      <c r="E152" s="12" t="s">
        <v>34</v>
      </c>
      <c r="F152" s="12" t="s">
        <v>35</v>
      </c>
      <c r="G152" s="12" t="s">
        <v>38</v>
      </c>
      <c r="H152" s="12" t="s">
        <v>39</v>
      </c>
      <c r="I152" s="13">
        <v>1</v>
      </c>
      <c r="J152" s="13">
        <v>152</v>
      </c>
      <c r="K152" s="13">
        <v>381</v>
      </c>
    </row>
    <row r="153" spans="1:11">
      <c r="A153" s="12" t="s">
        <v>85</v>
      </c>
      <c r="B153" s="12" t="s">
        <v>146</v>
      </c>
      <c r="C153" s="12" t="s">
        <v>149</v>
      </c>
      <c r="D153" s="12" t="s">
        <v>150</v>
      </c>
      <c r="E153" s="12" t="s">
        <v>40</v>
      </c>
      <c r="F153" s="12" t="s">
        <v>41</v>
      </c>
      <c r="G153" s="12" t="s">
        <v>42</v>
      </c>
      <c r="H153" s="12" t="s">
        <v>41</v>
      </c>
      <c r="I153" s="13">
        <v>103</v>
      </c>
      <c r="J153" s="13">
        <v>1915</v>
      </c>
      <c r="K153" s="13">
        <v>1915</v>
      </c>
    </row>
    <row r="154" spans="1:11">
      <c r="A154" s="12" t="s">
        <v>85</v>
      </c>
      <c r="B154" s="12" t="s">
        <v>146</v>
      </c>
      <c r="C154" s="12" t="s">
        <v>149</v>
      </c>
      <c r="D154" s="12" t="s">
        <v>150</v>
      </c>
      <c r="E154" s="12" t="s">
        <v>40</v>
      </c>
      <c r="F154" s="12" t="s">
        <v>41</v>
      </c>
      <c r="G154" s="12" t="s">
        <v>161</v>
      </c>
      <c r="H154" s="12" t="s">
        <v>162</v>
      </c>
      <c r="I154" s="13">
        <v>5</v>
      </c>
      <c r="J154" s="13">
        <v>-475</v>
      </c>
      <c r="K154" s="13">
        <v>-475</v>
      </c>
    </row>
    <row r="155" spans="1:11">
      <c r="A155" s="12" t="s">
        <v>85</v>
      </c>
      <c r="B155" s="12" t="s">
        <v>146</v>
      </c>
      <c r="C155" s="12" t="s">
        <v>149</v>
      </c>
      <c r="D155" s="12" t="s">
        <v>150</v>
      </c>
      <c r="E155" s="12" t="s">
        <v>163</v>
      </c>
      <c r="F155" s="12" t="s">
        <v>164</v>
      </c>
      <c r="G155" s="12" t="s">
        <v>165</v>
      </c>
      <c r="H155" s="12" t="s">
        <v>164</v>
      </c>
      <c r="I155" s="13">
        <v>9</v>
      </c>
      <c r="J155" s="13">
        <v>0</v>
      </c>
      <c r="K155" s="13">
        <v>0</v>
      </c>
    </row>
    <row r="156" spans="1:11">
      <c r="A156" s="12" t="s">
        <v>85</v>
      </c>
      <c r="B156" s="12" t="s">
        <v>146</v>
      </c>
      <c r="C156" s="12" t="s">
        <v>149</v>
      </c>
      <c r="D156" s="12" t="s">
        <v>150</v>
      </c>
      <c r="E156" s="12" t="s">
        <v>186</v>
      </c>
      <c r="F156" s="12" t="s">
        <v>187</v>
      </c>
      <c r="G156" s="12" t="s">
        <v>188</v>
      </c>
      <c r="H156" s="12" t="s">
        <v>187</v>
      </c>
      <c r="I156" s="13">
        <v>3</v>
      </c>
      <c r="J156" s="13">
        <v>-3905</v>
      </c>
      <c r="K156" s="13">
        <v>-3905</v>
      </c>
    </row>
    <row r="157" spans="1:11">
      <c r="A157" s="12" t="s">
        <v>85</v>
      </c>
      <c r="B157" s="12" t="s">
        <v>146</v>
      </c>
      <c r="C157" s="12" t="s">
        <v>149</v>
      </c>
      <c r="D157" s="12" t="s">
        <v>150</v>
      </c>
      <c r="E157" s="12" t="s">
        <v>189</v>
      </c>
      <c r="F157" s="12" t="s">
        <v>190</v>
      </c>
      <c r="G157" s="12" t="s">
        <v>36</v>
      </c>
      <c r="H157" s="12" t="s">
        <v>37</v>
      </c>
      <c r="I157" s="13">
        <v>1</v>
      </c>
      <c r="J157" s="13">
        <v>43.9</v>
      </c>
      <c r="K157" s="13">
        <v>754</v>
      </c>
    </row>
    <row r="158" spans="1:11">
      <c r="A158" s="12" t="s">
        <v>85</v>
      </c>
      <c r="B158" s="12" t="s">
        <v>146</v>
      </c>
      <c r="C158" s="12" t="s">
        <v>149</v>
      </c>
      <c r="D158" s="12" t="s">
        <v>150</v>
      </c>
      <c r="E158" s="12" t="s">
        <v>76</v>
      </c>
      <c r="F158" s="12" t="s">
        <v>76</v>
      </c>
      <c r="G158" s="12" t="s">
        <v>76</v>
      </c>
      <c r="H158" s="12" t="s">
        <v>76</v>
      </c>
      <c r="I158" s="13">
        <v>-1290</v>
      </c>
      <c r="J158" s="13">
        <v>-614</v>
      </c>
      <c r="K158" s="13">
        <v>-614</v>
      </c>
    </row>
    <row r="159" spans="1:11">
      <c r="A159" s="12" t="s">
        <v>85</v>
      </c>
      <c r="B159" s="12" t="s">
        <v>146</v>
      </c>
      <c r="C159" s="12" t="s">
        <v>151</v>
      </c>
      <c r="D159" s="12" t="s">
        <v>152</v>
      </c>
      <c r="E159" s="12" t="s">
        <v>12</v>
      </c>
      <c r="F159" s="12" t="s">
        <v>13</v>
      </c>
      <c r="G159" s="12" t="s">
        <v>16</v>
      </c>
      <c r="H159" s="12" t="s">
        <v>17</v>
      </c>
      <c r="I159" s="13">
        <v>10</v>
      </c>
      <c r="J159" s="13">
        <v>14482.120729</v>
      </c>
      <c r="K159" s="13">
        <v>355238</v>
      </c>
    </row>
    <row r="160" spans="1:11">
      <c r="A160" s="12" t="s">
        <v>85</v>
      </c>
      <c r="B160" s="12" t="s">
        <v>146</v>
      </c>
      <c r="C160" s="12" t="s">
        <v>151</v>
      </c>
      <c r="D160" s="12" t="s">
        <v>152</v>
      </c>
      <c r="E160" s="12" t="s">
        <v>12</v>
      </c>
      <c r="F160" s="12" t="s">
        <v>13</v>
      </c>
      <c r="G160" s="12" t="s">
        <v>14</v>
      </c>
      <c r="H160" s="12" t="s">
        <v>15</v>
      </c>
      <c r="I160" s="13">
        <v>21</v>
      </c>
      <c r="J160" s="13">
        <v>37723.558619000003</v>
      </c>
      <c r="K160" s="13">
        <v>484285</v>
      </c>
    </row>
    <row r="161" spans="1:11">
      <c r="A161" s="12" t="s">
        <v>85</v>
      </c>
      <c r="B161" s="12" t="s">
        <v>146</v>
      </c>
      <c r="C161" s="12" t="s">
        <v>151</v>
      </c>
      <c r="D161" s="12" t="s">
        <v>152</v>
      </c>
      <c r="E161" s="12" t="s">
        <v>12</v>
      </c>
      <c r="F161" s="12" t="s">
        <v>13</v>
      </c>
      <c r="G161" s="12" t="s">
        <v>18</v>
      </c>
      <c r="H161" s="12" t="s">
        <v>19</v>
      </c>
      <c r="I161" s="13">
        <v>2</v>
      </c>
      <c r="J161" s="13">
        <v>2918.0452089999999</v>
      </c>
      <c r="K161" s="13">
        <v>29333</v>
      </c>
    </row>
    <row r="162" spans="1:11">
      <c r="A162" s="12" t="s">
        <v>85</v>
      </c>
      <c r="B162" s="12" t="s">
        <v>146</v>
      </c>
      <c r="C162" s="12" t="s">
        <v>151</v>
      </c>
      <c r="D162" s="12" t="s">
        <v>152</v>
      </c>
      <c r="E162" s="12" t="s">
        <v>12</v>
      </c>
      <c r="F162" s="12" t="s">
        <v>13</v>
      </c>
      <c r="G162" s="12" t="s">
        <v>20</v>
      </c>
      <c r="H162" s="12" t="s">
        <v>21</v>
      </c>
      <c r="I162" s="13">
        <v>1</v>
      </c>
      <c r="J162" s="13">
        <v>1198</v>
      </c>
      <c r="K162" s="13">
        <v>17048</v>
      </c>
    </row>
    <row r="163" spans="1:11">
      <c r="A163" s="12" t="s">
        <v>85</v>
      </c>
      <c r="B163" s="12" t="s">
        <v>146</v>
      </c>
      <c r="C163" s="12" t="s">
        <v>151</v>
      </c>
      <c r="D163" s="12" t="s">
        <v>152</v>
      </c>
      <c r="E163" s="12" t="s">
        <v>12</v>
      </c>
      <c r="F163" s="12" t="s">
        <v>13</v>
      </c>
      <c r="G163" s="12" t="s">
        <v>24</v>
      </c>
      <c r="H163" s="12" t="s">
        <v>25</v>
      </c>
      <c r="I163" s="13">
        <v>4</v>
      </c>
      <c r="J163" s="13">
        <v>8677</v>
      </c>
      <c r="K163" s="13">
        <v>100477</v>
      </c>
    </row>
    <row r="164" spans="1:11">
      <c r="A164" s="12" t="s">
        <v>85</v>
      </c>
      <c r="B164" s="12" t="s">
        <v>146</v>
      </c>
      <c r="C164" s="12" t="s">
        <v>151</v>
      </c>
      <c r="D164" s="12" t="s">
        <v>152</v>
      </c>
      <c r="E164" s="12" t="s">
        <v>26</v>
      </c>
      <c r="F164" s="12" t="s">
        <v>27</v>
      </c>
      <c r="G164" s="12" t="s">
        <v>28</v>
      </c>
      <c r="H164" s="12" t="s">
        <v>29</v>
      </c>
      <c r="I164" s="13">
        <v>1</v>
      </c>
      <c r="J164" s="13">
        <v>260.99995899999999</v>
      </c>
      <c r="K164" s="13">
        <v>2181</v>
      </c>
    </row>
    <row r="165" spans="1:11">
      <c r="A165" s="12" t="s">
        <v>85</v>
      </c>
      <c r="B165" s="12" t="s">
        <v>146</v>
      </c>
      <c r="C165" s="12" t="s">
        <v>151</v>
      </c>
      <c r="D165" s="12" t="s">
        <v>152</v>
      </c>
      <c r="E165" s="12" t="s">
        <v>26</v>
      </c>
      <c r="F165" s="12" t="s">
        <v>27</v>
      </c>
      <c r="G165" s="12" t="s">
        <v>30</v>
      </c>
      <c r="H165" s="12" t="s">
        <v>31</v>
      </c>
      <c r="I165" s="13">
        <v>4</v>
      </c>
      <c r="J165" s="13">
        <v>263.99999200000002</v>
      </c>
      <c r="K165" s="13">
        <v>1104</v>
      </c>
    </row>
    <row r="166" spans="1:11">
      <c r="A166" s="12" t="s">
        <v>85</v>
      </c>
      <c r="B166" s="12" t="s">
        <v>146</v>
      </c>
      <c r="C166" s="12" t="s">
        <v>151</v>
      </c>
      <c r="D166" s="12" t="s">
        <v>152</v>
      </c>
      <c r="E166" s="12" t="s">
        <v>26</v>
      </c>
      <c r="F166" s="12" t="s">
        <v>27</v>
      </c>
      <c r="G166" s="12" t="s">
        <v>32</v>
      </c>
      <c r="H166" s="12" t="s">
        <v>33</v>
      </c>
      <c r="I166" s="13">
        <v>10</v>
      </c>
      <c r="J166" s="13">
        <v>3714.9988640000001</v>
      </c>
      <c r="K166" s="13">
        <v>41055</v>
      </c>
    </row>
    <row r="167" spans="1:11">
      <c r="A167" s="12" t="s">
        <v>85</v>
      </c>
      <c r="B167" s="12" t="s">
        <v>146</v>
      </c>
      <c r="C167" s="12" t="s">
        <v>151</v>
      </c>
      <c r="D167" s="12" t="s">
        <v>152</v>
      </c>
      <c r="E167" s="12" t="s">
        <v>26</v>
      </c>
      <c r="F167" s="12" t="s">
        <v>27</v>
      </c>
      <c r="G167" s="12" t="s">
        <v>159</v>
      </c>
      <c r="H167" s="12" t="s">
        <v>160</v>
      </c>
      <c r="I167" s="13">
        <v>14</v>
      </c>
      <c r="J167" s="13">
        <v>2169.9999550000002</v>
      </c>
      <c r="K167" s="13">
        <v>8630</v>
      </c>
    </row>
    <row r="168" spans="1:11">
      <c r="A168" s="12" t="s">
        <v>85</v>
      </c>
      <c r="B168" s="12" t="s">
        <v>146</v>
      </c>
      <c r="C168" s="12" t="s">
        <v>151</v>
      </c>
      <c r="D168" s="12" t="s">
        <v>152</v>
      </c>
      <c r="E168" s="12" t="s">
        <v>26</v>
      </c>
      <c r="F168" s="12" t="s">
        <v>27</v>
      </c>
      <c r="G168" s="12" t="s">
        <v>36</v>
      </c>
      <c r="H168" s="12" t="s">
        <v>37</v>
      </c>
      <c r="I168" s="13">
        <v>16</v>
      </c>
      <c r="J168" s="13">
        <v>10944.382008</v>
      </c>
      <c r="K168" s="13">
        <v>58991</v>
      </c>
    </row>
    <row r="169" spans="1:11">
      <c r="A169" s="12" t="s">
        <v>85</v>
      </c>
      <c r="B169" s="12" t="s">
        <v>146</v>
      </c>
      <c r="C169" s="12" t="s">
        <v>151</v>
      </c>
      <c r="D169" s="12" t="s">
        <v>152</v>
      </c>
      <c r="E169" s="12" t="s">
        <v>26</v>
      </c>
      <c r="F169" s="12" t="s">
        <v>27</v>
      </c>
      <c r="G169" s="12" t="s">
        <v>38</v>
      </c>
      <c r="H169" s="12" t="s">
        <v>39</v>
      </c>
      <c r="I169" s="13">
        <v>1</v>
      </c>
      <c r="J169" s="13">
        <v>213</v>
      </c>
      <c r="K169" s="13">
        <v>943</v>
      </c>
    </row>
    <row r="170" spans="1:11">
      <c r="A170" s="12" t="s">
        <v>85</v>
      </c>
      <c r="B170" s="12" t="s">
        <v>146</v>
      </c>
      <c r="C170" s="12" t="s">
        <v>151</v>
      </c>
      <c r="D170" s="12" t="s">
        <v>152</v>
      </c>
      <c r="E170" s="12" t="s">
        <v>34</v>
      </c>
      <c r="F170" s="12" t="s">
        <v>35</v>
      </c>
      <c r="G170" s="12" t="s">
        <v>28</v>
      </c>
      <c r="H170" s="12" t="s">
        <v>29</v>
      </c>
      <c r="I170" s="13">
        <v>9</v>
      </c>
      <c r="J170" s="13">
        <v>-1024.0000279999999</v>
      </c>
      <c r="K170" s="13">
        <v>11123</v>
      </c>
    </row>
    <row r="171" spans="1:11">
      <c r="A171" s="12" t="s">
        <v>85</v>
      </c>
      <c r="B171" s="12" t="s">
        <v>146</v>
      </c>
      <c r="C171" s="12" t="s">
        <v>151</v>
      </c>
      <c r="D171" s="12" t="s">
        <v>152</v>
      </c>
      <c r="E171" s="12" t="s">
        <v>34</v>
      </c>
      <c r="F171" s="12" t="s">
        <v>35</v>
      </c>
      <c r="G171" s="12" t="s">
        <v>30</v>
      </c>
      <c r="H171" s="12" t="s">
        <v>31</v>
      </c>
      <c r="I171" s="13">
        <v>17</v>
      </c>
      <c r="J171" s="13">
        <v>9586.4929040000006</v>
      </c>
      <c r="K171" s="13">
        <v>17514</v>
      </c>
    </row>
    <row r="172" spans="1:11">
      <c r="A172" s="12" t="s">
        <v>85</v>
      </c>
      <c r="B172" s="12" t="s">
        <v>146</v>
      </c>
      <c r="C172" s="12" t="s">
        <v>151</v>
      </c>
      <c r="D172" s="12" t="s">
        <v>152</v>
      </c>
      <c r="E172" s="12" t="s">
        <v>34</v>
      </c>
      <c r="F172" s="12" t="s">
        <v>35</v>
      </c>
      <c r="G172" s="12" t="s">
        <v>32</v>
      </c>
      <c r="H172" s="12" t="s">
        <v>33</v>
      </c>
      <c r="I172" s="13">
        <v>4</v>
      </c>
      <c r="J172" s="13">
        <v>1873</v>
      </c>
      <c r="K172" s="13">
        <v>4228</v>
      </c>
    </row>
    <row r="173" spans="1:11">
      <c r="A173" s="12" t="s">
        <v>85</v>
      </c>
      <c r="B173" s="12" t="s">
        <v>146</v>
      </c>
      <c r="C173" s="12" t="s">
        <v>151</v>
      </c>
      <c r="D173" s="12" t="s">
        <v>152</v>
      </c>
      <c r="E173" s="12" t="s">
        <v>34</v>
      </c>
      <c r="F173" s="12" t="s">
        <v>35</v>
      </c>
      <c r="G173" s="12" t="s">
        <v>159</v>
      </c>
      <c r="H173" s="12" t="s">
        <v>160</v>
      </c>
      <c r="I173" s="13">
        <v>28</v>
      </c>
      <c r="J173" s="13">
        <v>3800.7809510000002</v>
      </c>
      <c r="K173" s="13">
        <v>16777</v>
      </c>
    </row>
    <row r="174" spans="1:11">
      <c r="A174" s="12" t="s">
        <v>85</v>
      </c>
      <c r="B174" s="12" t="s">
        <v>146</v>
      </c>
      <c r="C174" s="12" t="s">
        <v>151</v>
      </c>
      <c r="D174" s="12" t="s">
        <v>152</v>
      </c>
      <c r="E174" s="12" t="s">
        <v>34</v>
      </c>
      <c r="F174" s="12" t="s">
        <v>35</v>
      </c>
      <c r="G174" s="12" t="s">
        <v>36</v>
      </c>
      <c r="H174" s="12" t="s">
        <v>37</v>
      </c>
      <c r="I174" s="13">
        <v>7</v>
      </c>
      <c r="J174" s="13">
        <v>-10444.595918000001</v>
      </c>
      <c r="K174" s="13">
        <v>7258</v>
      </c>
    </row>
    <row r="175" spans="1:11">
      <c r="A175" s="12" t="s">
        <v>85</v>
      </c>
      <c r="B175" s="12" t="s">
        <v>146</v>
      </c>
      <c r="C175" s="12" t="s">
        <v>151</v>
      </c>
      <c r="D175" s="12" t="s">
        <v>152</v>
      </c>
      <c r="E175" s="12" t="s">
        <v>34</v>
      </c>
      <c r="F175" s="12" t="s">
        <v>35</v>
      </c>
      <c r="G175" s="12" t="s">
        <v>74</v>
      </c>
      <c r="H175" s="12" t="s">
        <v>75</v>
      </c>
      <c r="I175" s="13">
        <v>3</v>
      </c>
      <c r="J175" s="13">
        <v>-439.995724</v>
      </c>
      <c r="K175" s="13">
        <v>0</v>
      </c>
    </row>
    <row r="176" spans="1:11">
      <c r="A176" s="12" t="s">
        <v>85</v>
      </c>
      <c r="B176" s="12" t="s">
        <v>146</v>
      </c>
      <c r="C176" s="12" t="s">
        <v>151</v>
      </c>
      <c r="D176" s="12" t="s">
        <v>152</v>
      </c>
      <c r="E176" s="12" t="s">
        <v>34</v>
      </c>
      <c r="F176" s="12" t="s">
        <v>35</v>
      </c>
      <c r="G176" s="12" t="s">
        <v>169</v>
      </c>
      <c r="H176" s="12" t="s">
        <v>170</v>
      </c>
      <c r="I176" s="13">
        <v>2</v>
      </c>
      <c r="J176" s="13">
        <v>679.85794299999998</v>
      </c>
      <c r="K176" s="13">
        <v>4380</v>
      </c>
    </row>
    <row r="177" spans="1:11">
      <c r="A177" s="12" t="s">
        <v>85</v>
      </c>
      <c r="B177" s="12" t="s">
        <v>146</v>
      </c>
      <c r="C177" s="12" t="s">
        <v>151</v>
      </c>
      <c r="D177" s="12" t="s">
        <v>152</v>
      </c>
      <c r="E177" s="12" t="s">
        <v>34</v>
      </c>
      <c r="F177" s="12" t="s">
        <v>35</v>
      </c>
      <c r="G177" s="12" t="s">
        <v>38</v>
      </c>
      <c r="H177" s="12" t="s">
        <v>39</v>
      </c>
      <c r="I177" s="13">
        <v>6</v>
      </c>
      <c r="J177" s="13">
        <v>1224</v>
      </c>
      <c r="K177" s="13">
        <v>3124</v>
      </c>
    </row>
    <row r="178" spans="1:11">
      <c r="A178" s="12" t="s">
        <v>85</v>
      </c>
      <c r="B178" s="12" t="s">
        <v>146</v>
      </c>
      <c r="C178" s="12" t="s">
        <v>151</v>
      </c>
      <c r="D178" s="12" t="s">
        <v>152</v>
      </c>
      <c r="E178" s="12" t="s">
        <v>40</v>
      </c>
      <c r="F178" s="12" t="s">
        <v>41</v>
      </c>
      <c r="G178" s="12" t="s">
        <v>42</v>
      </c>
      <c r="H178" s="12" t="s">
        <v>41</v>
      </c>
      <c r="I178" s="13">
        <v>91</v>
      </c>
      <c r="J178" s="13">
        <v>1</v>
      </c>
      <c r="K178" s="13">
        <v>1</v>
      </c>
    </row>
    <row r="179" spans="1:11">
      <c r="A179" s="12" t="s">
        <v>85</v>
      </c>
      <c r="B179" s="12" t="s">
        <v>146</v>
      </c>
      <c r="C179" s="12" t="s">
        <v>151</v>
      </c>
      <c r="D179" s="12" t="s">
        <v>152</v>
      </c>
      <c r="E179" s="12" t="s">
        <v>40</v>
      </c>
      <c r="F179" s="12" t="s">
        <v>41</v>
      </c>
      <c r="G179" s="12" t="s">
        <v>161</v>
      </c>
      <c r="H179" s="12" t="s">
        <v>162</v>
      </c>
      <c r="I179" s="13">
        <v>6</v>
      </c>
      <c r="J179" s="13">
        <v>-570</v>
      </c>
      <c r="K179" s="13">
        <v>-570</v>
      </c>
    </row>
    <row r="180" spans="1:11">
      <c r="A180" s="12" t="s">
        <v>85</v>
      </c>
      <c r="B180" s="12" t="s">
        <v>146</v>
      </c>
      <c r="C180" s="12" t="s">
        <v>151</v>
      </c>
      <c r="D180" s="12" t="s">
        <v>152</v>
      </c>
      <c r="E180" s="12" t="s">
        <v>163</v>
      </c>
      <c r="F180" s="12" t="s">
        <v>164</v>
      </c>
      <c r="G180" s="12" t="s">
        <v>165</v>
      </c>
      <c r="H180" s="12" t="s">
        <v>164</v>
      </c>
      <c r="I180" s="13">
        <v>12</v>
      </c>
      <c r="J180" s="13">
        <v>0</v>
      </c>
      <c r="K180" s="13">
        <v>0</v>
      </c>
    </row>
    <row r="181" spans="1:11">
      <c r="A181" s="12" t="s">
        <v>85</v>
      </c>
      <c r="B181" s="12" t="s">
        <v>146</v>
      </c>
      <c r="C181" s="12" t="s">
        <v>151</v>
      </c>
      <c r="D181" s="12" t="s">
        <v>152</v>
      </c>
      <c r="E181" s="12" t="s">
        <v>76</v>
      </c>
      <c r="F181" s="12" t="s">
        <v>76</v>
      </c>
      <c r="G181" s="12" t="s">
        <v>76</v>
      </c>
      <c r="H181" s="12" t="s">
        <v>76</v>
      </c>
      <c r="I181" s="13">
        <v>-2584</v>
      </c>
      <c r="J181" s="13">
        <v>-1230</v>
      </c>
      <c r="K181" s="13">
        <v>-1230</v>
      </c>
    </row>
    <row r="182" spans="1:11">
      <c r="A182" s="12" t="s">
        <v>85</v>
      </c>
      <c r="B182" s="12" t="s">
        <v>146</v>
      </c>
      <c r="C182" s="12" t="s">
        <v>153</v>
      </c>
      <c r="D182" s="12" t="s">
        <v>154</v>
      </c>
      <c r="E182" s="12" t="s">
        <v>12</v>
      </c>
      <c r="F182" s="12" t="s">
        <v>13</v>
      </c>
      <c r="G182" s="12" t="s">
        <v>16</v>
      </c>
      <c r="H182" s="12" t="s">
        <v>17</v>
      </c>
      <c r="I182" s="13">
        <v>8</v>
      </c>
      <c r="J182" s="13">
        <v>8415.7061200000007</v>
      </c>
      <c r="K182" s="13">
        <v>297047</v>
      </c>
    </row>
    <row r="183" spans="1:11">
      <c r="A183" s="12" t="s">
        <v>85</v>
      </c>
      <c r="B183" s="12" t="s">
        <v>146</v>
      </c>
      <c r="C183" s="12" t="s">
        <v>153</v>
      </c>
      <c r="D183" s="12" t="s">
        <v>154</v>
      </c>
      <c r="E183" s="12" t="s">
        <v>12</v>
      </c>
      <c r="F183" s="12" t="s">
        <v>13</v>
      </c>
      <c r="G183" s="12" t="s">
        <v>14</v>
      </c>
      <c r="H183" s="12" t="s">
        <v>15</v>
      </c>
      <c r="I183" s="13">
        <v>15</v>
      </c>
      <c r="J183" s="13">
        <v>26978.924385999999</v>
      </c>
      <c r="K183" s="13">
        <v>340665</v>
      </c>
    </row>
    <row r="184" spans="1:11">
      <c r="A184" s="12" t="s">
        <v>85</v>
      </c>
      <c r="B184" s="12" t="s">
        <v>146</v>
      </c>
      <c r="C184" s="12" t="s">
        <v>153</v>
      </c>
      <c r="D184" s="12" t="s">
        <v>154</v>
      </c>
      <c r="E184" s="12" t="s">
        <v>12</v>
      </c>
      <c r="F184" s="12" t="s">
        <v>13</v>
      </c>
      <c r="G184" s="12" t="s">
        <v>18</v>
      </c>
      <c r="H184" s="12" t="s">
        <v>19</v>
      </c>
      <c r="I184" s="13">
        <v>6</v>
      </c>
      <c r="J184" s="13">
        <v>6939.0269259999995</v>
      </c>
      <c r="K184" s="13">
        <v>85714</v>
      </c>
    </row>
    <row r="185" spans="1:11">
      <c r="A185" s="12" t="s">
        <v>85</v>
      </c>
      <c r="B185" s="12" t="s">
        <v>146</v>
      </c>
      <c r="C185" s="12" t="s">
        <v>153</v>
      </c>
      <c r="D185" s="12" t="s">
        <v>154</v>
      </c>
      <c r="E185" s="12" t="s">
        <v>12</v>
      </c>
      <c r="F185" s="12" t="s">
        <v>13</v>
      </c>
      <c r="G185" s="12" t="s">
        <v>22</v>
      </c>
      <c r="H185" s="12" t="s">
        <v>23</v>
      </c>
      <c r="I185" s="13">
        <v>2</v>
      </c>
      <c r="J185" s="13">
        <v>2114.6707529999999</v>
      </c>
      <c r="K185" s="13">
        <v>26476</v>
      </c>
    </row>
    <row r="186" spans="1:11">
      <c r="A186" s="12" t="s">
        <v>85</v>
      </c>
      <c r="B186" s="12" t="s">
        <v>146</v>
      </c>
      <c r="C186" s="12" t="s">
        <v>153</v>
      </c>
      <c r="D186" s="12" t="s">
        <v>154</v>
      </c>
      <c r="E186" s="12" t="s">
        <v>12</v>
      </c>
      <c r="F186" s="12" t="s">
        <v>13</v>
      </c>
      <c r="G186" s="12" t="s">
        <v>24</v>
      </c>
      <c r="H186" s="12" t="s">
        <v>25</v>
      </c>
      <c r="I186" s="13">
        <v>7</v>
      </c>
      <c r="J186" s="13">
        <v>-42733</v>
      </c>
      <c r="K186" s="13">
        <v>136667</v>
      </c>
    </row>
    <row r="187" spans="1:11">
      <c r="A187" s="12" t="s">
        <v>85</v>
      </c>
      <c r="B187" s="12" t="s">
        <v>146</v>
      </c>
      <c r="C187" s="12" t="s">
        <v>153</v>
      </c>
      <c r="D187" s="12" t="s">
        <v>154</v>
      </c>
      <c r="E187" s="12" t="s">
        <v>26</v>
      </c>
      <c r="F187" s="12" t="s">
        <v>27</v>
      </c>
      <c r="G187" s="12" t="s">
        <v>28</v>
      </c>
      <c r="H187" s="12" t="s">
        <v>29</v>
      </c>
      <c r="I187" s="13">
        <v>4</v>
      </c>
      <c r="J187" s="13">
        <v>1120.9998390000001</v>
      </c>
      <c r="K187" s="13">
        <v>9391</v>
      </c>
    </row>
    <row r="188" spans="1:11">
      <c r="A188" s="12" t="s">
        <v>85</v>
      </c>
      <c r="B188" s="12" t="s">
        <v>146</v>
      </c>
      <c r="C188" s="12" t="s">
        <v>153</v>
      </c>
      <c r="D188" s="12" t="s">
        <v>154</v>
      </c>
      <c r="E188" s="12" t="s">
        <v>26</v>
      </c>
      <c r="F188" s="12" t="s">
        <v>27</v>
      </c>
      <c r="G188" s="12" t="s">
        <v>30</v>
      </c>
      <c r="H188" s="12" t="s">
        <v>31</v>
      </c>
      <c r="I188" s="13">
        <v>7</v>
      </c>
      <c r="J188" s="13">
        <v>613.99999000000003</v>
      </c>
      <c r="K188" s="13">
        <v>3364</v>
      </c>
    </row>
    <row r="189" spans="1:11">
      <c r="A189" s="12" t="s">
        <v>85</v>
      </c>
      <c r="B189" s="12" t="s">
        <v>146</v>
      </c>
      <c r="C189" s="12" t="s">
        <v>153</v>
      </c>
      <c r="D189" s="12" t="s">
        <v>154</v>
      </c>
      <c r="E189" s="12" t="s">
        <v>26</v>
      </c>
      <c r="F189" s="12" t="s">
        <v>27</v>
      </c>
      <c r="G189" s="12" t="s">
        <v>32</v>
      </c>
      <c r="H189" s="12" t="s">
        <v>33</v>
      </c>
      <c r="I189" s="13">
        <v>10</v>
      </c>
      <c r="J189" s="13">
        <v>-20238.875743000001</v>
      </c>
      <c r="K189" s="13">
        <v>22693</v>
      </c>
    </row>
    <row r="190" spans="1:11">
      <c r="A190" s="12" t="s">
        <v>85</v>
      </c>
      <c r="B190" s="12" t="s">
        <v>146</v>
      </c>
      <c r="C190" s="12" t="s">
        <v>153</v>
      </c>
      <c r="D190" s="12" t="s">
        <v>154</v>
      </c>
      <c r="E190" s="12" t="s">
        <v>26</v>
      </c>
      <c r="F190" s="12" t="s">
        <v>27</v>
      </c>
      <c r="G190" s="12" t="s">
        <v>159</v>
      </c>
      <c r="H190" s="12" t="s">
        <v>160</v>
      </c>
      <c r="I190" s="13">
        <v>18</v>
      </c>
      <c r="J190" s="13">
        <v>2667.9997779999999</v>
      </c>
      <c r="K190" s="13">
        <v>10878</v>
      </c>
    </row>
    <row r="191" spans="1:11">
      <c r="A191" s="12" t="s">
        <v>85</v>
      </c>
      <c r="B191" s="12" t="s">
        <v>146</v>
      </c>
      <c r="C191" s="12" t="s">
        <v>153</v>
      </c>
      <c r="D191" s="12" t="s">
        <v>154</v>
      </c>
      <c r="E191" s="12" t="s">
        <v>26</v>
      </c>
      <c r="F191" s="12" t="s">
        <v>27</v>
      </c>
      <c r="G191" s="12" t="s">
        <v>36</v>
      </c>
      <c r="H191" s="12" t="s">
        <v>37</v>
      </c>
      <c r="I191" s="13">
        <v>28</v>
      </c>
      <c r="J191" s="13">
        <v>20056.445108</v>
      </c>
      <c r="K191" s="13">
        <v>105924</v>
      </c>
    </row>
    <row r="192" spans="1:11">
      <c r="A192" s="12" t="s">
        <v>85</v>
      </c>
      <c r="B192" s="12" t="s">
        <v>146</v>
      </c>
      <c r="C192" s="12" t="s">
        <v>153</v>
      </c>
      <c r="D192" s="12" t="s">
        <v>154</v>
      </c>
      <c r="E192" s="12" t="s">
        <v>26</v>
      </c>
      <c r="F192" s="12" t="s">
        <v>27</v>
      </c>
      <c r="G192" s="12" t="s">
        <v>177</v>
      </c>
      <c r="H192" s="12" t="s">
        <v>178</v>
      </c>
      <c r="I192" s="13">
        <v>1</v>
      </c>
      <c r="J192" s="13">
        <v>554</v>
      </c>
      <c r="K192" s="13">
        <v>5514</v>
      </c>
    </row>
    <row r="193" spans="1:11">
      <c r="A193" s="12" t="s">
        <v>85</v>
      </c>
      <c r="B193" s="12" t="s">
        <v>146</v>
      </c>
      <c r="C193" s="12" t="s">
        <v>153</v>
      </c>
      <c r="D193" s="12" t="s">
        <v>154</v>
      </c>
      <c r="E193" s="12" t="s">
        <v>34</v>
      </c>
      <c r="F193" s="12" t="s">
        <v>35</v>
      </c>
      <c r="G193" s="12" t="s">
        <v>28</v>
      </c>
      <c r="H193" s="12" t="s">
        <v>29</v>
      </c>
      <c r="I193" s="13">
        <v>10</v>
      </c>
      <c r="J193" s="13">
        <v>3434.3717299999998</v>
      </c>
      <c r="K193" s="13">
        <v>12265</v>
      </c>
    </row>
    <row r="194" spans="1:11">
      <c r="A194" s="12" t="s">
        <v>85</v>
      </c>
      <c r="B194" s="12" t="s">
        <v>146</v>
      </c>
      <c r="C194" s="12" t="s">
        <v>153</v>
      </c>
      <c r="D194" s="12" t="s">
        <v>154</v>
      </c>
      <c r="E194" s="12" t="s">
        <v>34</v>
      </c>
      <c r="F194" s="12" t="s">
        <v>35</v>
      </c>
      <c r="G194" s="12" t="s">
        <v>30</v>
      </c>
      <c r="H194" s="12" t="s">
        <v>31</v>
      </c>
      <c r="I194" s="13">
        <v>26</v>
      </c>
      <c r="J194" s="13">
        <v>15569.465952</v>
      </c>
      <c r="K194" s="13">
        <v>26728</v>
      </c>
    </row>
    <row r="195" spans="1:11">
      <c r="A195" s="12" t="s">
        <v>85</v>
      </c>
      <c r="B195" s="12" t="s">
        <v>146</v>
      </c>
      <c r="C195" s="12" t="s">
        <v>153</v>
      </c>
      <c r="D195" s="12" t="s">
        <v>154</v>
      </c>
      <c r="E195" s="12" t="s">
        <v>34</v>
      </c>
      <c r="F195" s="12" t="s">
        <v>35</v>
      </c>
      <c r="G195" s="12" t="s">
        <v>32</v>
      </c>
      <c r="H195" s="12" t="s">
        <v>33</v>
      </c>
      <c r="I195" s="13">
        <v>17</v>
      </c>
      <c r="J195" s="13">
        <v>12042</v>
      </c>
      <c r="K195" s="13">
        <v>21459</v>
      </c>
    </row>
    <row r="196" spans="1:11">
      <c r="A196" s="12" t="s">
        <v>85</v>
      </c>
      <c r="B196" s="12" t="s">
        <v>146</v>
      </c>
      <c r="C196" s="12" t="s">
        <v>153</v>
      </c>
      <c r="D196" s="12" t="s">
        <v>154</v>
      </c>
      <c r="E196" s="12" t="s">
        <v>34</v>
      </c>
      <c r="F196" s="12" t="s">
        <v>35</v>
      </c>
      <c r="G196" s="12" t="s">
        <v>159</v>
      </c>
      <c r="H196" s="12" t="s">
        <v>160</v>
      </c>
      <c r="I196" s="13">
        <v>41</v>
      </c>
      <c r="J196" s="13">
        <v>-4500.7112619999998</v>
      </c>
      <c r="K196" s="13">
        <v>15429</v>
      </c>
    </row>
    <row r="197" spans="1:11">
      <c r="A197" s="12" t="s">
        <v>85</v>
      </c>
      <c r="B197" s="12" t="s">
        <v>146</v>
      </c>
      <c r="C197" s="12" t="s">
        <v>153</v>
      </c>
      <c r="D197" s="12" t="s">
        <v>154</v>
      </c>
      <c r="E197" s="12" t="s">
        <v>34</v>
      </c>
      <c r="F197" s="12" t="s">
        <v>35</v>
      </c>
      <c r="G197" s="12" t="s">
        <v>36</v>
      </c>
      <c r="H197" s="12" t="s">
        <v>37</v>
      </c>
      <c r="I197" s="13">
        <v>3</v>
      </c>
      <c r="J197" s="13">
        <v>-3559.666667</v>
      </c>
      <c r="K197" s="13">
        <v>1589</v>
      </c>
    </row>
    <row r="198" spans="1:11">
      <c r="A198" s="12" t="s">
        <v>85</v>
      </c>
      <c r="B198" s="12" t="s">
        <v>146</v>
      </c>
      <c r="C198" s="12" t="s">
        <v>153</v>
      </c>
      <c r="D198" s="12" t="s">
        <v>154</v>
      </c>
      <c r="E198" s="12" t="s">
        <v>34</v>
      </c>
      <c r="F198" s="12" t="s">
        <v>35</v>
      </c>
      <c r="G198" s="12" t="s">
        <v>74</v>
      </c>
      <c r="H198" s="12" t="s">
        <v>75</v>
      </c>
      <c r="I198" s="13">
        <v>11</v>
      </c>
      <c r="J198" s="13">
        <v>-1298.9942880000001</v>
      </c>
      <c r="K198" s="13">
        <v>0</v>
      </c>
    </row>
    <row r="199" spans="1:11">
      <c r="A199" s="12" t="s">
        <v>85</v>
      </c>
      <c r="B199" s="12" t="s">
        <v>146</v>
      </c>
      <c r="C199" s="12" t="s">
        <v>153</v>
      </c>
      <c r="D199" s="12" t="s">
        <v>154</v>
      </c>
      <c r="E199" s="12" t="s">
        <v>34</v>
      </c>
      <c r="F199" s="12" t="s">
        <v>35</v>
      </c>
      <c r="G199" s="12" t="s">
        <v>169</v>
      </c>
      <c r="H199" s="12" t="s">
        <v>170</v>
      </c>
      <c r="I199" s="13">
        <v>3</v>
      </c>
      <c r="J199" s="13">
        <v>751</v>
      </c>
      <c r="K199" s="13">
        <v>2275</v>
      </c>
    </row>
    <row r="200" spans="1:11">
      <c r="A200" s="12" t="s">
        <v>85</v>
      </c>
      <c r="B200" s="12" t="s">
        <v>146</v>
      </c>
      <c r="C200" s="12" t="s">
        <v>153</v>
      </c>
      <c r="D200" s="12" t="s">
        <v>154</v>
      </c>
      <c r="E200" s="12" t="s">
        <v>34</v>
      </c>
      <c r="F200" s="12" t="s">
        <v>35</v>
      </c>
      <c r="G200" s="12" t="s">
        <v>38</v>
      </c>
      <c r="H200" s="12" t="s">
        <v>39</v>
      </c>
      <c r="I200" s="13">
        <v>1</v>
      </c>
      <c r="J200" s="13">
        <v>292</v>
      </c>
      <c r="K200" s="13">
        <v>686</v>
      </c>
    </row>
    <row r="201" spans="1:11">
      <c r="A201" s="12" t="s">
        <v>85</v>
      </c>
      <c r="B201" s="12" t="s">
        <v>146</v>
      </c>
      <c r="C201" s="12" t="s">
        <v>153</v>
      </c>
      <c r="D201" s="12" t="s">
        <v>154</v>
      </c>
      <c r="E201" s="12" t="s">
        <v>40</v>
      </c>
      <c r="F201" s="12" t="s">
        <v>41</v>
      </c>
      <c r="G201" s="12" t="s">
        <v>42</v>
      </c>
      <c r="H201" s="12" t="s">
        <v>41</v>
      </c>
      <c r="I201" s="13">
        <v>77</v>
      </c>
      <c r="J201" s="13">
        <v>1367</v>
      </c>
      <c r="K201" s="13">
        <v>1367</v>
      </c>
    </row>
    <row r="202" spans="1:11">
      <c r="A202" s="12" t="s">
        <v>85</v>
      </c>
      <c r="B202" s="12" t="s">
        <v>146</v>
      </c>
      <c r="C202" s="12" t="s">
        <v>153</v>
      </c>
      <c r="D202" s="12" t="s">
        <v>154</v>
      </c>
      <c r="E202" s="12" t="s">
        <v>40</v>
      </c>
      <c r="F202" s="12" t="s">
        <v>41</v>
      </c>
      <c r="G202" s="12" t="s">
        <v>161</v>
      </c>
      <c r="H202" s="12" t="s">
        <v>162</v>
      </c>
      <c r="I202" s="13">
        <v>11</v>
      </c>
      <c r="J202" s="13">
        <v>-950</v>
      </c>
      <c r="K202" s="13">
        <v>-950</v>
      </c>
    </row>
    <row r="203" spans="1:11">
      <c r="A203" s="12" t="s">
        <v>85</v>
      </c>
      <c r="B203" s="12" t="s">
        <v>146</v>
      </c>
      <c r="C203" s="12" t="s">
        <v>153</v>
      </c>
      <c r="D203" s="12" t="s">
        <v>154</v>
      </c>
      <c r="E203" s="12" t="s">
        <v>163</v>
      </c>
      <c r="F203" s="12" t="s">
        <v>164</v>
      </c>
      <c r="G203" s="12" t="s">
        <v>165</v>
      </c>
      <c r="H203" s="12" t="s">
        <v>164</v>
      </c>
      <c r="I203" s="13">
        <v>26</v>
      </c>
      <c r="J203" s="13">
        <v>0</v>
      </c>
      <c r="K203" s="13">
        <v>0</v>
      </c>
    </row>
    <row r="204" spans="1:11">
      <c r="A204" s="12" t="s">
        <v>85</v>
      </c>
      <c r="B204" s="12" t="s">
        <v>146</v>
      </c>
      <c r="C204" s="12" t="s">
        <v>153</v>
      </c>
      <c r="D204" s="12" t="s">
        <v>154</v>
      </c>
      <c r="E204" s="12" t="s">
        <v>179</v>
      </c>
      <c r="F204" s="12" t="s">
        <v>180</v>
      </c>
      <c r="G204" s="12" t="s">
        <v>181</v>
      </c>
      <c r="H204" s="12" t="s">
        <v>180</v>
      </c>
      <c r="I204" s="13">
        <v>2</v>
      </c>
      <c r="J204" s="13">
        <v>3552</v>
      </c>
      <c r="K204" s="13">
        <v>3552</v>
      </c>
    </row>
    <row r="205" spans="1:11">
      <c r="A205" s="12" t="s">
        <v>85</v>
      </c>
      <c r="B205" s="12" t="s">
        <v>146</v>
      </c>
      <c r="C205" s="12" t="s">
        <v>153</v>
      </c>
      <c r="D205" s="12" t="s">
        <v>154</v>
      </c>
      <c r="E205" s="12" t="s">
        <v>179</v>
      </c>
      <c r="F205" s="12" t="s">
        <v>180</v>
      </c>
      <c r="G205" s="12" t="s">
        <v>182</v>
      </c>
      <c r="H205" s="12" t="s">
        <v>183</v>
      </c>
      <c r="I205" s="13">
        <v>-1</v>
      </c>
      <c r="J205" s="13">
        <v>-952</v>
      </c>
      <c r="K205" s="13">
        <v>-952</v>
      </c>
    </row>
    <row r="206" spans="1:11">
      <c r="A206" s="12" t="s">
        <v>85</v>
      </c>
      <c r="B206" s="12" t="s">
        <v>146</v>
      </c>
      <c r="C206" s="12" t="s">
        <v>153</v>
      </c>
      <c r="D206" s="12" t="s">
        <v>154</v>
      </c>
      <c r="E206" s="12" t="s">
        <v>179</v>
      </c>
      <c r="F206" s="12" t="s">
        <v>180</v>
      </c>
      <c r="G206" s="12" t="s">
        <v>191</v>
      </c>
      <c r="H206" s="12" t="s">
        <v>192</v>
      </c>
      <c r="I206" s="13">
        <v>-1</v>
      </c>
      <c r="J206" s="13">
        <v>-2600</v>
      </c>
      <c r="K206" s="13">
        <v>-2600</v>
      </c>
    </row>
    <row r="207" spans="1:11">
      <c r="A207" s="12" t="s">
        <v>85</v>
      </c>
      <c r="B207" s="12" t="s">
        <v>146</v>
      </c>
      <c r="C207" s="12" t="s">
        <v>153</v>
      </c>
      <c r="D207" s="12" t="s">
        <v>154</v>
      </c>
      <c r="E207" s="12" t="s">
        <v>168</v>
      </c>
      <c r="F207" s="12" t="s">
        <v>162</v>
      </c>
      <c r="G207" s="12" t="s">
        <v>161</v>
      </c>
      <c r="H207" s="12" t="s">
        <v>162</v>
      </c>
      <c r="I207" s="13">
        <v>-1</v>
      </c>
      <c r="J207" s="13">
        <v>-79</v>
      </c>
      <c r="K207" s="13">
        <v>-79</v>
      </c>
    </row>
    <row r="208" spans="1:11">
      <c r="A208" s="12" t="s">
        <v>85</v>
      </c>
      <c r="B208" s="12" t="s">
        <v>146</v>
      </c>
      <c r="C208" s="12" t="s">
        <v>153</v>
      </c>
      <c r="D208" s="12" t="s">
        <v>154</v>
      </c>
      <c r="E208" s="12" t="s">
        <v>76</v>
      </c>
      <c r="F208" s="12" t="s">
        <v>76</v>
      </c>
      <c r="G208" s="12" t="s">
        <v>76</v>
      </c>
      <c r="H208" s="12" t="s">
        <v>76</v>
      </c>
      <c r="I208" s="13">
        <v>-4030</v>
      </c>
      <c r="J208" s="13">
        <v>-1715</v>
      </c>
      <c r="K208" s="13">
        <v>-1715</v>
      </c>
    </row>
    <row r="209" spans="1:11">
      <c r="A209" s="12" t="s">
        <v>85</v>
      </c>
      <c r="B209" s="12" t="s">
        <v>146</v>
      </c>
      <c r="C209" s="12" t="s">
        <v>155</v>
      </c>
      <c r="D209" s="12" t="s">
        <v>156</v>
      </c>
      <c r="E209" s="12" t="s">
        <v>12</v>
      </c>
      <c r="F209" s="12" t="s">
        <v>13</v>
      </c>
      <c r="G209" s="12" t="s">
        <v>16</v>
      </c>
      <c r="H209" s="12" t="s">
        <v>17</v>
      </c>
      <c r="I209" s="13">
        <v>3</v>
      </c>
      <c r="J209" s="13">
        <v>8121.615401</v>
      </c>
      <c r="K209" s="13">
        <v>149809</v>
      </c>
    </row>
    <row r="210" spans="1:11">
      <c r="A210" s="12" t="s">
        <v>85</v>
      </c>
      <c r="B210" s="12" t="s">
        <v>146</v>
      </c>
      <c r="C210" s="12" t="s">
        <v>155</v>
      </c>
      <c r="D210" s="12" t="s">
        <v>156</v>
      </c>
      <c r="E210" s="12" t="s">
        <v>12</v>
      </c>
      <c r="F210" s="12" t="s">
        <v>13</v>
      </c>
      <c r="G210" s="12" t="s">
        <v>14</v>
      </c>
      <c r="H210" s="12" t="s">
        <v>15</v>
      </c>
      <c r="I210" s="13">
        <v>17</v>
      </c>
      <c r="J210" s="13">
        <v>26133.154470000001</v>
      </c>
      <c r="K210" s="13">
        <v>339044</v>
      </c>
    </row>
    <row r="211" spans="1:11">
      <c r="A211" s="12" t="s">
        <v>85</v>
      </c>
      <c r="B211" s="12" t="s">
        <v>146</v>
      </c>
      <c r="C211" s="12" t="s">
        <v>155</v>
      </c>
      <c r="D211" s="12" t="s">
        <v>156</v>
      </c>
      <c r="E211" s="12" t="s">
        <v>12</v>
      </c>
      <c r="F211" s="12" t="s">
        <v>13</v>
      </c>
      <c r="G211" s="12" t="s">
        <v>18</v>
      </c>
      <c r="H211" s="12" t="s">
        <v>19</v>
      </c>
      <c r="I211" s="13">
        <v>6</v>
      </c>
      <c r="J211" s="13">
        <v>8281.6803130000008</v>
      </c>
      <c r="K211" s="13">
        <v>87047</v>
      </c>
    </row>
    <row r="212" spans="1:11">
      <c r="A212" s="12" t="s">
        <v>85</v>
      </c>
      <c r="B212" s="12" t="s">
        <v>146</v>
      </c>
      <c r="C212" s="12" t="s">
        <v>155</v>
      </c>
      <c r="D212" s="12" t="s">
        <v>156</v>
      </c>
      <c r="E212" s="12" t="s">
        <v>12</v>
      </c>
      <c r="F212" s="12" t="s">
        <v>13</v>
      </c>
      <c r="G212" s="12" t="s">
        <v>22</v>
      </c>
      <c r="H212" s="12" t="s">
        <v>23</v>
      </c>
      <c r="I212" s="13">
        <v>2</v>
      </c>
      <c r="J212" s="13">
        <v>2188</v>
      </c>
      <c r="K212" s="13">
        <v>27428</v>
      </c>
    </row>
    <row r="213" spans="1:11">
      <c r="A213" s="12" t="s">
        <v>85</v>
      </c>
      <c r="B213" s="12" t="s">
        <v>146</v>
      </c>
      <c r="C213" s="12" t="s">
        <v>155</v>
      </c>
      <c r="D213" s="12" t="s">
        <v>156</v>
      </c>
      <c r="E213" s="12" t="s">
        <v>12</v>
      </c>
      <c r="F213" s="12" t="s">
        <v>13</v>
      </c>
      <c r="G213" s="12" t="s">
        <v>24</v>
      </c>
      <c r="H213" s="12" t="s">
        <v>25</v>
      </c>
      <c r="I213" s="13">
        <v>1</v>
      </c>
      <c r="J213" s="13">
        <v>1276</v>
      </c>
      <c r="K213" s="13">
        <v>26476</v>
      </c>
    </row>
    <row r="214" spans="1:11">
      <c r="A214" s="12" t="s">
        <v>85</v>
      </c>
      <c r="B214" s="12" t="s">
        <v>146</v>
      </c>
      <c r="C214" s="12" t="s">
        <v>155</v>
      </c>
      <c r="D214" s="12" t="s">
        <v>156</v>
      </c>
      <c r="E214" s="12" t="s">
        <v>26</v>
      </c>
      <c r="F214" s="12" t="s">
        <v>27</v>
      </c>
      <c r="G214" s="12" t="s">
        <v>28</v>
      </c>
      <c r="H214" s="12" t="s">
        <v>29</v>
      </c>
      <c r="I214" s="13">
        <v>1</v>
      </c>
      <c r="J214" s="13">
        <v>260.99996599999997</v>
      </c>
      <c r="K214" s="13">
        <v>2181</v>
      </c>
    </row>
    <row r="215" spans="1:11">
      <c r="A215" s="12" t="s">
        <v>85</v>
      </c>
      <c r="B215" s="12" t="s">
        <v>146</v>
      </c>
      <c r="C215" s="12" t="s">
        <v>155</v>
      </c>
      <c r="D215" s="12" t="s">
        <v>156</v>
      </c>
      <c r="E215" s="12" t="s">
        <v>26</v>
      </c>
      <c r="F215" s="12" t="s">
        <v>27</v>
      </c>
      <c r="G215" s="12" t="s">
        <v>30</v>
      </c>
      <c r="H215" s="12" t="s">
        <v>31</v>
      </c>
      <c r="I215" s="13">
        <v>1</v>
      </c>
      <c r="J215" s="13">
        <v>65.999998000000005</v>
      </c>
      <c r="K215" s="13">
        <v>276</v>
      </c>
    </row>
    <row r="216" spans="1:11">
      <c r="A216" s="12" t="s">
        <v>85</v>
      </c>
      <c r="B216" s="12" t="s">
        <v>146</v>
      </c>
      <c r="C216" s="12" t="s">
        <v>155</v>
      </c>
      <c r="D216" s="12" t="s">
        <v>156</v>
      </c>
      <c r="E216" s="12" t="s">
        <v>26</v>
      </c>
      <c r="F216" s="12" t="s">
        <v>27</v>
      </c>
      <c r="G216" s="12" t="s">
        <v>32</v>
      </c>
      <c r="H216" s="12" t="s">
        <v>33</v>
      </c>
      <c r="I216" s="13">
        <v>3</v>
      </c>
      <c r="J216" s="13">
        <v>1276.9998270000001</v>
      </c>
      <c r="K216" s="13">
        <v>17877</v>
      </c>
    </row>
    <row r="217" spans="1:11">
      <c r="A217" s="12" t="s">
        <v>85</v>
      </c>
      <c r="B217" s="12" t="s">
        <v>146</v>
      </c>
      <c r="C217" s="12" t="s">
        <v>155</v>
      </c>
      <c r="D217" s="12" t="s">
        <v>156</v>
      </c>
      <c r="E217" s="12" t="s">
        <v>26</v>
      </c>
      <c r="F217" s="12" t="s">
        <v>27</v>
      </c>
      <c r="G217" s="12" t="s">
        <v>159</v>
      </c>
      <c r="H217" s="12" t="s">
        <v>160</v>
      </c>
      <c r="I217" s="13">
        <v>24</v>
      </c>
      <c r="J217" s="13">
        <v>4816.9998740000001</v>
      </c>
      <c r="K217" s="13">
        <v>27107</v>
      </c>
    </row>
    <row r="218" spans="1:11">
      <c r="A218" s="12" t="s">
        <v>85</v>
      </c>
      <c r="B218" s="12" t="s">
        <v>146</v>
      </c>
      <c r="C218" s="12" t="s">
        <v>155</v>
      </c>
      <c r="D218" s="12" t="s">
        <v>156</v>
      </c>
      <c r="E218" s="12" t="s">
        <v>26</v>
      </c>
      <c r="F218" s="12" t="s">
        <v>27</v>
      </c>
      <c r="G218" s="12" t="s">
        <v>36</v>
      </c>
      <c r="H218" s="12" t="s">
        <v>37</v>
      </c>
      <c r="I218" s="13">
        <v>10</v>
      </c>
      <c r="J218" s="13">
        <v>8186.7324079999999</v>
      </c>
      <c r="K218" s="13">
        <v>41428</v>
      </c>
    </row>
    <row r="219" spans="1:11">
      <c r="A219" s="12" t="s">
        <v>85</v>
      </c>
      <c r="B219" s="12" t="s">
        <v>146</v>
      </c>
      <c r="C219" s="12" t="s">
        <v>155</v>
      </c>
      <c r="D219" s="12" t="s">
        <v>156</v>
      </c>
      <c r="E219" s="12" t="s">
        <v>34</v>
      </c>
      <c r="F219" s="12" t="s">
        <v>35</v>
      </c>
      <c r="G219" s="12" t="s">
        <v>28</v>
      </c>
      <c r="H219" s="12" t="s">
        <v>29</v>
      </c>
      <c r="I219" s="13">
        <v>6</v>
      </c>
      <c r="J219" s="13">
        <v>-234.510989</v>
      </c>
      <c r="K219" s="13">
        <v>8885</v>
      </c>
    </row>
    <row r="220" spans="1:11">
      <c r="A220" s="12" t="s">
        <v>85</v>
      </c>
      <c r="B220" s="12" t="s">
        <v>146</v>
      </c>
      <c r="C220" s="12" t="s">
        <v>155</v>
      </c>
      <c r="D220" s="12" t="s">
        <v>156</v>
      </c>
      <c r="E220" s="12" t="s">
        <v>34</v>
      </c>
      <c r="F220" s="12" t="s">
        <v>35</v>
      </c>
      <c r="G220" s="12" t="s">
        <v>30</v>
      </c>
      <c r="H220" s="12" t="s">
        <v>31</v>
      </c>
      <c r="I220" s="13">
        <v>19</v>
      </c>
      <c r="J220" s="13">
        <v>10756.685033</v>
      </c>
      <c r="K220" s="13">
        <v>17135</v>
      </c>
    </row>
    <row r="221" spans="1:11">
      <c r="A221" s="12" t="s">
        <v>85</v>
      </c>
      <c r="B221" s="12" t="s">
        <v>146</v>
      </c>
      <c r="C221" s="12" t="s">
        <v>155</v>
      </c>
      <c r="D221" s="12" t="s">
        <v>156</v>
      </c>
      <c r="E221" s="12" t="s">
        <v>34</v>
      </c>
      <c r="F221" s="12" t="s">
        <v>35</v>
      </c>
      <c r="G221" s="12" t="s">
        <v>32</v>
      </c>
      <c r="H221" s="12" t="s">
        <v>33</v>
      </c>
      <c r="I221" s="13">
        <v>6</v>
      </c>
      <c r="J221" s="13">
        <v>4894</v>
      </c>
      <c r="K221" s="13">
        <v>9726</v>
      </c>
    </row>
    <row r="222" spans="1:11">
      <c r="A222" s="12" t="s">
        <v>85</v>
      </c>
      <c r="B222" s="12" t="s">
        <v>146</v>
      </c>
      <c r="C222" s="12" t="s">
        <v>155</v>
      </c>
      <c r="D222" s="12" t="s">
        <v>156</v>
      </c>
      <c r="E222" s="12" t="s">
        <v>34</v>
      </c>
      <c r="F222" s="12" t="s">
        <v>35</v>
      </c>
      <c r="G222" s="12" t="s">
        <v>159</v>
      </c>
      <c r="H222" s="12" t="s">
        <v>160</v>
      </c>
      <c r="I222" s="13">
        <v>31</v>
      </c>
      <c r="J222" s="13">
        <v>-8404.1752070000002</v>
      </c>
      <c r="K222" s="13">
        <v>7253</v>
      </c>
    </row>
    <row r="223" spans="1:11">
      <c r="A223" s="12" t="s">
        <v>85</v>
      </c>
      <c r="B223" s="12" t="s">
        <v>146</v>
      </c>
      <c r="C223" s="12" t="s">
        <v>155</v>
      </c>
      <c r="D223" s="12" t="s">
        <v>156</v>
      </c>
      <c r="E223" s="12" t="s">
        <v>34</v>
      </c>
      <c r="F223" s="12" t="s">
        <v>35</v>
      </c>
      <c r="G223" s="12" t="s">
        <v>36</v>
      </c>
      <c r="H223" s="12" t="s">
        <v>37</v>
      </c>
      <c r="I223" s="13">
        <v>1</v>
      </c>
      <c r="J223" s="13">
        <v>-1834</v>
      </c>
      <c r="K223" s="13">
        <v>1223</v>
      </c>
    </row>
    <row r="224" spans="1:11">
      <c r="A224" s="12" t="s">
        <v>85</v>
      </c>
      <c r="B224" s="12" t="s">
        <v>146</v>
      </c>
      <c r="C224" s="12" t="s">
        <v>155</v>
      </c>
      <c r="D224" s="12" t="s">
        <v>156</v>
      </c>
      <c r="E224" s="12" t="s">
        <v>34</v>
      </c>
      <c r="F224" s="12" t="s">
        <v>35</v>
      </c>
      <c r="G224" s="12" t="s">
        <v>74</v>
      </c>
      <c r="H224" s="12" t="s">
        <v>75</v>
      </c>
      <c r="I224" s="13">
        <v>4</v>
      </c>
      <c r="J224" s="13">
        <v>-516.99786200000005</v>
      </c>
      <c r="K224" s="13">
        <v>0</v>
      </c>
    </row>
    <row r="225" spans="1:11">
      <c r="A225" s="12" t="s">
        <v>85</v>
      </c>
      <c r="B225" s="12" t="s">
        <v>146</v>
      </c>
      <c r="C225" s="12" t="s">
        <v>155</v>
      </c>
      <c r="D225" s="12" t="s">
        <v>156</v>
      </c>
      <c r="E225" s="12" t="s">
        <v>34</v>
      </c>
      <c r="F225" s="12" t="s">
        <v>35</v>
      </c>
      <c r="G225" s="12" t="s">
        <v>169</v>
      </c>
      <c r="H225" s="12" t="s">
        <v>170</v>
      </c>
      <c r="I225" s="13">
        <v>1</v>
      </c>
      <c r="J225" s="13">
        <v>234</v>
      </c>
      <c r="K225" s="13">
        <v>666</v>
      </c>
    </row>
    <row r="226" spans="1:11">
      <c r="A226" s="12" t="s">
        <v>85</v>
      </c>
      <c r="B226" s="12" t="s">
        <v>146</v>
      </c>
      <c r="C226" s="12" t="s">
        <v>155</v>
      </c>
      <c r="D226" s="12" t="s">
        <v>156</v>
      </c>
      <c r="E226" s="12" t="s">
        <v>34</v>
      </c>
      <c r="F226" s="12" t="s">
        <v>35</v>
      </c>
      <c r="G226" s="12" t="s">
        <v>38</v>
      </c>
      <c r="H226" s="12" t="s">
        <v>39</v>
      </c>
      <c r="I226" s="13">
        <v>3</v>
      </c>
      <c r="J226" s="13">
        <v>623</v>
      </c>
      <c r="K226" s="13">
        <v>1600</v>
      </c>
    </row>
    <row r="227" spans="1:11">
      <c r="A227" s="12" t="s">
        <v>85</v>
      </c>
      <c r="B227" s="12" t="s">
        <v>146</v>
      </c>
      <c r="C227" s="12" t="s">
        <v>155</v>
      </c>
      <c r="D227" s="12" t="s">
        <v>156</v>
      </c>
      <c r="E227" s="12" t="s">
        <v>40</v>
      </c>
      <c r="F227" s="12" t="s">
        <v>41</v>
      </c>
      <c r="G227" s="12" t="s">
        <v>42</v>
      </c>
      <c r="H227" s="12" t="s">
        <v>41</v>
      </c>
      <c r="I227" s="13">
        <v>65</v>
      </c>
      <c r="J227" s="13">
        <v>2165</v>
      </c>
      <c r="K227" s="13">
        <v>2165</v>
      </c>
    </row>
    <row r="228" spans="1:11">
      <c r="A228" s="12" t="s">
        <v>85</v>
      </c>
      <c r="B228" s="12" t="s">
        <v>146</v>
      </c>
      <c r="C228" s="12" t="s">
        <v>155</v>
      </c>
      <c r="D228" s="12" t="s">
        <v>156</v>
      </c>
      <c r="E228" s="12" t="s">
        <v>40</v>
      </c>
      <c r="F228" s="12" t="s">
        <v>41</v>
      </c>
      <c r="G228" s="12" t="s">
        <v>161</v>
      </c>
      <c r="H228" s="12" t="s">
        <v>162</v>
      </c>
      <c r="I228" s="13">
        <v>5</v>
      </c>
      <c r="J228" s="13">
        <v>-475</v>
      </c>
      <c r="K228" s="13">
        <v>-475</v>
      </c>
    </row>
    <row r="229" spans="1:11">
      <c r="A229" s="12" t="s">
        <v>85</v>
      </c>
      <c r="B229" s="12" t="s">
        <v>146</v>
      </c>
      <c r="C229" s="12" t="s">
        <v>155</v>
      </c>
      <c r="D229" s="12" t="s">
        <v>156</v>
      </c>
      <c r="E229" s="12" t="s">
        <v>163</v>
      </c>
      <c r="F229" s="12" t="s">
        <v>164</v>
      </c>
      <c r="G229" s="12" t="s">
        <v>165</v>
      </c>
      <c r="H229" s="12" t="s">
        <v>164</v>
      </c>
      <c r="I229" s="13">
        <v>20</v>
      </c>
      <c r="J229" s="13">
        <v>0</v>
      </c>
      <c r="K229" s="13">
        <v>0</v>
      </c>
    </row>
    <row r="230" spans="1:11">
      <c r="A230" s="12" t="s">
        <v>85</v>
      </c>
      <c r="B230" s="12" t="s">
        <v>146</v>
      </c>
      <c r="C230" s="12" t="s">
        <v>155</v>
      </c>
      <c r="D230" s="12" t="s">
        <v>156</v>
      </c>
      <c r="E230" s="12" t="s">
        <v>168</v>
      </c>
      <c r="F230" s="12" t="s">
        <v>162</v>
      </c>
      <c r="G230" s="12" t="s">
        <v>161</v>
      </c>
      <c r="H230" s="12" t="s">
        <v>162</v>
      </c>
      <c r="I230" s="13">
        <v>1</v>
      </c>
      <c r="J230" s="13">
        <v>-19048</v>
      </c>
      <c r="K230" s="13">
        <v>-19048</v>
      </c>
    </row>
    <row r="231" spans="1:11">
      <c r="A231" s="12" t="s">
        <v>85</v>
      </c>
      <c r="B231" s="12" t="s">
        <v>146</v>
      </c>
      <c r="C231" s="12" t="s">
        <v>155</v>
      </c>
      <c r="D231" s="12" t="s">
        <v>156</v>
      </c>
      <c r="E231" s="12" t="s">
        <v>186</v>
      </c>
      <c r="F231" s="12" t="s">
        <v>187</v>
      </c>
      <c r="G231" s="12" t="s">
        <v>188</v>
      </c>
      <c r="H231" s="12" t="s">
        <v>187</v>
      </c>
      <c r="I231" s="13">
        <v>1</v>
      </c>
      <c r="J231" s="13">
        <v>-952</v>
      </c>
      <c r="K231" s="13">
        <v>-952</v>
      </c>
    </row>
    <row r="232" spans="1:11">
      <c r="A232" s="12" t="s">
        <v>85</v>
      </c>
      <c r="B232" s="12" t="s">
        <v>146</v>
      </c>
      <c r="C232" s="12" t="s">
        <v>155</v>
      </c>
      <c r="D232" s="12" t="s">
        <v>156</v>
      </c>
      <c r="E232" s="12" t="s">
        <v>189</v>
      </c>
      <c r="F232" s="12" t="s">
        <v>190</v>
      </c>
      <c r="G232" s="12" t="s">
        <v>159</v>
      </c>
      <c r="H232" s="12" t="s">
        <v>160</v>
      </c>
      <c r="I232" s="13">
        <v>1</v>
      </c>
      <c r="J232" s="13">
        <v>-40</v>
      </c>
      <c r="K232" s="13">
        <v>450</v>
      </c>
    </row>
    <row r="233" spans="1:11">
      <c r="A233" s="12" t="s">
        <v>85</v>
      </c>
      <c r="B233" s="12" t="s">
        <v>146</v>
      </c>
      <c r="C233" s="12" t="s">
        <v>155</v>
      </c>
      <c r="D233" s="12" t="s">
        <v>156</v>
      </c>
      <c r="E233" s="12" t="s">
        <v>76</v>
      </c>
      <c r="F233" s="12" t="s">
        <v>76</v>
      </c>
      <c r="G233" s="12" t="s">
        <v>76</v>
      </c>
      <c r="H233" s="12" t="s">
        <v>76</v>
      </c>
      <c r="I233" s="13">
        <v>-4912</v>
      </c>
      <c r="J233" s="13">
        <v>-2340</v>
      </c>
      <c r="K233" s="13">
        <v>-2340</v>
      </c>
    </row>
    <row r="234" spans="1:11">
      <c r="A234" s="12" t="s">
        <v>85</v>
      </c>
      <c r="B234" s="12" t="s">
        <v>146</v>
      </c>
      <c r="C234" s="12" t="s">
        <v>157</v>
      </c>
      <c r="D234" s="12" t="s">
        <v>158</v>
      </c>
      <c r="E234" s="12" t="s">
        <v>12</v>
      </c>
      <c r="F234" s="12" t="s">
        <v>13</v>
      </c>
      <c r="G234" s="12" t="s">
        <v>14</v>
      </c>
      <c r="H234" s="12" t="s">
        <v>15</v>
      </c>
      <c r="I234" s="13">
        <v>20</v>
      </c>
      <c r="J234" s="13">
        <v>36678.735998999997</v>
      </c>
      <c r="K234" s="13">
        <v>455142</v>
      </c>
    </row>
    <row r="235" spans="1:11">
      <c r="A235" s="12" t="s">
        <v>85</v>
      </c>
      <c r="B235" s="12" t="s">
        <v>146</v>
      </c>
      <c r="C235" s="12" t="s">
        <v>157</v>
      </c>
      <c r="D235" s="12" t="s">
        <v>158</v>
      </c>
      <c r="E235" s="12" t="s">
        <v>12</v>
      </c>
      <c r="F235" s="12" t="s">
        <v>13</v>
      </c>
      <c r="G235" s="12" t="s">
        <v>18</v>
      </c>
      <c r="H235" s="12" t="s">
        <v>19</v>
      </c>
      <c r="I235" s="13">
        <v>3</v>
      </c>
      <c r="J235" s="13">
        <v>4523.9033010000003</v>
      </c>
      <c r="K235" s="13">
        <v>47333</v>
      </c>
    </row>
    <row r="236" spans="1:11">
      <c r="A236" s="12" t="s">
        <v>85</v>
      </c>
      <c r="B236" s="12" t="s">
        <v>146</v>
      </c>
      <c r="C236" s="12" t="s">
        <v>157</v>
      </c>
      <c r="D236" s="12" t="s">
        <v>158</v>
      </c>
      <c r="E236" s="12" t="s">
        <v>12</v>
      </c>
      <c r="F236" s="12" t="s">
        <v>13</v>
      </c>
      <c r="G236" s="12" t="s">
        <v>20</v>
      </c>
      <c r="H236" s="12" t="s">
        <v>21</v>
      </c>
      <c r="I236" s="13">
        <v>1</v>
      </c>
      <c r="J236" s="13">
        <v>856.85943399999996</v>
      </c>
      <c r="K236" s="13">
        <v>12286</v>
      </c>
    </row>
    <row r="237" spans="1:11">
      <c r="A237" s="12" t="s">
        <v>85</v>
      </c>
      <c r="B237" s="12" t="s">
        <v>146</v>
      </c>
      <c r="C237" s="12" t="s">
        <v>157</v>
      </c>
      <c r="D237" s="12" t="s">
        <v>158</v>
      </c>
      <c r="E237" s="12" t="s">
        <v>12</v>
      </c>
      <c r="F237" s="12" t="s">
        <v>13</v>
      </c>
      <c r="G237" s="12" t="s">
        <v>22</v>
      </c>
      <c r="H237" s="12" t="s">
        <v>23</v>
      </c>
      <c r="I237" s="13">
        <v>2</v>
      </c>
      <c r="J237" s="13">
        <v>2461.8560200000002</v>
      </c>
      <c r="K237" s="13">
        <v>30762</v>
      </c>
    </row>
    <row r="238" spans="1:11">
      <c r="A238" s="12" t="s">
        <v>85</v>
      </c>
      <c r="B238" s="12" t="s">
        <v>146</v>
      </c>
      <c r="C238" s="12" t="s">
        <v>157</v>
      </c>
      <c r="D238" s="12" t="s">
        <v>158</v>
      </c>
      <c r="E238" s="12" t="s">
        <v>12</v>
      </c>
      <c r="F238" s="12" t="s">
        <v>13</v>
      </c>
      <c r="G238" s="12" t="s">
        <v>24</v>
      </c>
      <c r="H238" s="12" t="s">
        <v>25</v>
      </c>
      <c r="I238" s="13">
        <v>3</v>
      </c>
      <c r="J238" s="13">
        <v>6543</v>
      </c>
      <c r="K238" s="13">
        <v>79143</v>
      </c>
    </row>
    <row r="239" spans="1:11">
      <c r="A239" s="12" t="s">
        <v>85</v>
      </c>
      <c r="B239" s="12" t="s">
        <v>146</v>
      </c>
      <c r="C239" s="12" t="s">
        <v>157</v>
      </c>
      <c r="D239" s="12" t="s">
        <v>158</v>
      </c>
      <c r="E239" s="12" t="s">
        <v>26</v>
      </c>
      <c r="F239" s="12" t="s">
        <v>27</v>
      </c>
      <c r="G239" s="12" t="s">
        <v>28</v>
      </c>
      <c r="H239" s="12" t="s">
        <v>29</v>
      </c>
      <c r="I239" s="13">
        <v>1</v>
      </c>
      <c r="J239" s="13">
        <v>260.99963100000002</v>
      </c>
      <c r="K239" s="13">
        <v>2181</v>
      </c>
    </row>
    <row r="240" spans="1:11">
      <c r="A240" s="12" t="s">
        <v>85</v>
      </c>
      <c r="B240" s="12" t="s">
        <v>146</v>
      </c>
      <c r="C240" s="12" t="s">
        <v>157</v>
      </c>
      <c r="D240" s="12" t="s">
        <v>158</v>
      </c>
      <c r="E240" s="12" t="s">
        <v>26</v>
      </c>
      <c r="F240" s="12" t="s">
        <v>27</v>
      </c>
      <c r="G240" s="12" t="s">
        <v>30</v>
      </c>
      <c r="H240" s="12" t="s">
        <v>31</v>
      </c>
      <c r="I240" s="13">
        <v>2</v>
      </c>
      <c r="J240" s="13">
        <v>131.99999700000001</v>
      </c>
      <c r="K240" s="13">
        <v>552</v>
      </c>
    </row>
    <row r="241" spans="1:11">
      <c r="A241" s="12" t="s">
        <v>85</v>
      </c>
      <c r="B241" s="12" t="s">
        <v>146</v>
      </c>
      <c r="C241" s="12" t="s">
        <v>157</v>
      </c>
      <c r="D241" s="12" t="s">
        <v>158</v>
      </c>
      <c r="E241" s="12" t="s">
        <v>26</v>
      </c>
      <c r="F241" s="12" t="s">
        <v>27</v>
      </c>
      <c r="G241" s="12" t="s">
        <v>32</v>
      </c>
      <c r="H241" s="12" t="s">
        <v>33</v>
      </c>
      <c r="I241" s="13">
        <v>8</v>
      </c>
      <c r="J241" s="13">
        <v>2238.966817</v>
      </c>
      <c r="K241" s="13">
        <v>22304</v>
      </c>
    </row>
    <row r="242" spans="1:11">
      <c r="A242" s="12" t="s">
        <v>85</v>
      </c>
      <c r="B242" s="12" t="s">
        <v>146</v>
      </c>
      <c r="C242" s="12" t="s">
        <v>157</v>
      </c>
      <c r="D242" s="12" t="s">
        <v>158</v>
      </c>
      <c r="E242" s="12" t="s">
        <v>26</v>
      </c>
      <c r="F242" s="12" t="s">
        <v>27</v>
      </c>
      <c r="G242" s="12" t="s">
        <v>159</v>
      </c>
      <c r="H242" s="12" t="s">
        <v>160</v>
      </c>
      <c r="I242" s="13">
        <v>23</v>
      </c>
      <c r="J242" s="13">
        <v>4019.9998310000001</v>
      </c>
      <c r="K242" s="13">
        <v>20640</v>
      </c>
    </row>
    <row r="243" spans="1:11">
      <c r="A243" s="12" t="s">
        <v>85</v>
      </c>
      <c r="B243" s="12" t="s">
        <v>146</v>
      </c>
      <c r="C243" s="12" t="s">
        <v>157</v>
      </c>
      <c r="D243" s="12" t="s">
        <v>158</v>
      </c>
      <c r="E243" s="12" t="s">
        <v>26</v>
      </c>
      <c r="F243" s="12" t="s">
        <v>27</v>
      </c>
      <c r="G243" s="12" t="s">
        <v>36</v>
      </c>
      <c r="H243" s="12" t="s">
        <v>37</v>
      </c>
      <c r="I243" s="13">
        <v>15</v>
      </c>
      <c r="J243" s="13">
        <v>12828.681388999999</v>
      </c>
      <c r="K243" s="13">
        <v>65761</v>
      </c>
    </row>
    <row r="244" spans="1:11">
      <c r="A244" s="12" t="s">
        <v>85</v>
      </c>
      <c r="B244" s="12" t="s">
        <v>146</v>
      </c>
      <c r="C244" s="12" t="s">
        <v>157</v>
      </c>
      <c r="D244" s="12" t="s">
        <v>158</v>
      </c>
      <c r="E244" s="12" t="s">
        <v>26</v>
      </c>
      <c r="F244" s="12" t="s">
        <v>27</v>
      </c>
      <c r="G244" s="12" t="s">
        <v>38</v>
      </c>
      <c r="H244" s="12" t="s">
        <v>39</v>
      </c>
      <c r="I244" s="13">
        <v>1</v>
      </c>
      <c r="J244" s="13">
        <v>213</v>
      </c>
      <c r="K244" s="13">
        <v>943</v>
      </c>
    </row>
    <row r="245" spans="1:11">
      <c r="A245" s="12" t="s">
        <v>85</v>
      </c>
      <c r="B245" s="12" t="s">
        <v>146</v>
      </c>
      <c r="C245" s="12" t="s">
        <v>157</v>
      </c>
      <c r="D245" s="12" t="s">
        <v>158</v>
      </c>
      <c r="E245" s="12" t="s">
        <v>34</v>
      </c>
      <c r="F245" s="12" t="s">
        <v>35</v>
      </c>
      <c r="G245" s="12" t="s">
        <v>28</v>
      </c>
      <c r="H245" s="12" t="s">
        <v>29</v>
      </c>
      <c r="I245" s="13">
        <v>4</v>
      </c>
      <c r="J245" s="13">
        <v>1646</v>
      </c>
      <c r="K245" s="13">
        <v>4342</v>
      </c>
    </row>
    <row r="246" spans="1:11">
      <c r="A246" s="12" t="s">
        <v>85</v>
      </c>
      <c r="B246" s="12" t="s">
        <v>146</v>
      </c>
      <c r="C246" s="12" t="s">
        <v>157</v>
      </c>
      <c r="D246" s="12" t="s">
        <v>158</v>
      </c>
      <c r="E246" s="12" t="s">
        <v>34</v>
      </c>
      <c r="F246" s="12" t="s">
        <v>35</v>
      </c>
      <c r="G246" s="12" t="s">
        <v>30</v>
      </c>
      <c r="H246" s="12" t="s">
        <v>31</v>
      </c>
      <c r="I246" s="13">
        <v>22</v>
      </c>
      <c r="J246" s="13">
        <v>12635.458703</v>
      </c>
      <c r="K246" s="13">
        <v>24897</v>
      </c>
    </row>
    <row r="247" spans="1:11">
      <c r="A247" s="12" t="s">
        <v>85</v>
      </c>
      <c r="B247" s="12" t="s">
        <v>146</v>
      </c>
      <c r="C247" s="12" t="s">
        <v>157</v>
      </c>
      <c r="D247" s="12" t="s">
        <v>158</v>
      </c>
      <c r="E247" s="12" t="s">
        <v>34</v>
      </c>
      <c r="F247" s="12" t="s">
        <v>35</v>
      </c>
      <c r="G247" s="12" t="s">
        <v>32</v>
      </c>
      <c r="H247" s="12" t="s">
        <v>33</v>
      </c>
      <c r="I247" s="13">
        <v>11</v>
      </c>
      <c r="J247" s="13">
        <v>8505</v>
      </c>
      <c r="K247" s="13">
        <v>15714</v>
      </c>
    </row>
    <row r="248" spans="1:11">
      <c r="A248" s="12" t="s">
        <v>85</v>
      </c>
      <c r="B248" s="12" t="s">
        <v>146</v>
      </c>
      <c r="C248" s="12" t="s">
        <v>157</v>
      </c>
      <c r="D248" s="12" t="s">
        <v>158</v>
      </c>
      <c r="E248" s="12" t="s">
        <v>34</v>
      </c>
      <c r="F248" s="12" t="s">
        <v>35</v>
      </c>
      <c r="G248" s="12" t="s">
        <v>159</v>
      </c>
      <c r="H248" s="12" t="s">
        <v>160</v>
      </c>
      <c r="I248" s="13">
        <v>16</v>
      </c>
      <c r="J248" s="13">
        <v>377.36527699999999</v>
      </c>
      <c r="K248" s="13">
        <v>5876</v>
      </c>
    </row>
    <row r="249" spans="1:11">
      <c r="A249" s="12" t="s">
        <v>85</v>
      </c>
      <c r="B249" s="12" t="s">
        <v>146</v>
      </c>
      <c r="C249" s="12" t="s">
        <v>157</v>
      </c>
      <c r="D249" s="12" t="s">
        <v>158</v>
      </c>
      <c r="E249" s="12" t="s">
        <v>34</v>
      </c>
      <c r="F249" s="12" t="s">
        <v>35</v>
      </c>
      <c r="G249" s="12" t="s">
        <v>74</v>
      </c>
      <c r="H249" s="12" t="s">
        <v>75</v>
      </c>
      <c r="I249" s="13">
        <v>1</v>
      </c>
      <c r="J249" s="13">
        <v>-94.001411000000004</v>
      </c>
      <c r="K249" s="13">
        <v>0</v>
      </c>
    </row>
    <row r="250" spans="1:11">
      <c r="A250" s="12" t="s">
        <v>85</v>
      </c>
      <c r="B250" s="12" t="s">
        <v>146</v>
      </c>
      <c r="C250" s="12" t="s">
        <v>157</v>
      </c>
      <c r="D250" s="12" t="s">
        <v>158</v>
      </c>
      <c r="E250" s="12" t="s">
        <v>34</v>
      </c>
      <c r="F250" s="12" t="s">
        <v>35</v>
      </c>
      <c r="G250" s="12" t="s">
        <v>169</v>
      </c>
      <c r="H250" s="12" t="s">
        <v>170</v>
      </c>
      <c r="I250" s="13">
        <v>1</v>
      </c>
      <c r="J250" s="13">
        <v>234</v>
      </c>
      <c r="K250" s="13">
        <v>666</v>
      </c>
    </row>
    <row r="251" spans="1:11">
      <c r="A251" s="12" t="s">
        <v>85</v>
      </c>
      <c r="B251" s="12" t="s">
        <v>146</v>
      </c>
      <c r="C251" s="12" t="s">
        <v>157</v>
      </c>
      <c r="D251" s="12" t="s">
        <v>158</v>
      </c>
      <c r="E251" s="12" t="s">
        <v>34</v>
      </c>
      <c r="F251" s="12" t="s">
        <v>35</v>
      </c>
      <c r="G251" s="12" t="s">
        <v>38</v>
      </c>
      <c r="H251" s="12" t="s">
        <v>39</v>
      </c>
      <c r="I251" s="13">
        <v>6</v>
      </c>
      <c r="J251" s="13">
        <v>1678</v>
      </c>
      <c r="K251" s="13">
        <v>4152</v>
      </c>
    </row>
    <row r="252" spans="1:11">
      <c r="A252" s="12" t="s">
        <v>85</v>
      </c>
      <c r="B252" s="12" t="s">
        <v>146</v>
      </c>
      <c r="C252" s="12" t="s">
        <v>157</v>
      </c>
      <c r="D252" s="12" t="s">
        <v>158</v>
      </c>
      <c r="E252" s="12" t="s">
        <v>40</v>
      </c>
      <c r="F252" s="12" t="s">
        <v>41</v>
      </c>
      <c r="G252" s="12" t="s">
        <v>42</v>
      </c>
      <c r="H252" s="12" t="s">
        <v>41</v>
      </c>
      <c r="I252" s="13">
        <v>55</v>
      </c>
      <c r="J252" s="13">
        <v>1062</v>
      </c>
      <c r="K252" s="13">
        <v>1062</v>
      </c>
    </row>
    <row r="253" spans="1:11">
      <c r="A253" s="12" t="s">
        <v>85</v>
      </c>
      <c r="B253" s="12" t="s">
        <v>146</v>
      </c>
      <c r="C253" s="12" t="s">
        <v>157</v>
      </c>
      <c r="D253" s="12" t="s">
        <v>158</v>
      </c>
      <c r="E253" s="12" t="s">
        <v>40</v>
      </c>
      <c r="F253" s="12" t="s">
        <v>41</v>
      </c>
      <c r="G253" s="12" t="s">
        <v>161</v>
      </c>
      <c r="H253" s="12" t="s">
        <v>162</v>
      </c>
      <c r="I253" s="13">
        <v>4</v>
      </c>
      <c r="J253" s="13">
        <v>-380</v>
      </c>
      <c r="K253" s="13">
        <v>-380</v>
      </c>
    </row>
    <row r="254" spans="1:11">
      <c r="A254" s="12" t="s">
        <v>85</v>
      </c>
      <c r="B254" s="12" t="s">
        <v>146</v>
      </c>
      <c r="C254" s="12" t="s">
        <v>157</v>
      </c>
      <c r="D254" s="12" t="s">
        <v>158</v>
      </c>
      <c r="E254" s="12" t="s">
        <v>163</v>
      </c>
      <c r="F254" s="12" t="s">
        <v>164</v>
      </c>
      <c r="G254" s="12" t="s">
        <v>165</v>
      </c>
      <c r="H254" s="12" t="s">
        <v>164</v>
      </c>
      <c r="I254" s="13">
        <v>7</v>
      </c>
      <c r="J254" s="13">
        <v>0</v>
      </c>
      <c r="K254" s="13">
        <v>0</v>
      </c>
    </row>
    <row r="255" spans="1:11">
      <c r="A255" s="12" t="s">
        <v>85</v>
      </c>
      <c r="B255" s="12" t="s">
        <v>146</v>
      </c>
      <c r="C255" s="12" t="s">
        <v>157</v>
      </c>
      <c r="D255" s="12" t="s">
        <v>158</v>
      </c>
      <c r="E255" s="12" t="s">
        <v>76</v>
      </c>
      <c r="F255" s="12" t="s">
        <v>76</v>
      </c>
      <c r="G255" s="12" t="s">
        <v>76</v>
      </c>
      <c r="H255" s="12" t="s">
        <v>76</v>
      </c>
      <c r="I255" s="13">
        <v>-606</v>
      </c>
      <c r="J255" s="13">
        <v>-288</v>
      </c>
      <c r="K255" s="13">
        <v>-288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tart" altText="Start">
                <anchor moveWithCells="1" sizeWithCells="1">
                  <from>
                    <xdr:col>1</xdr:col>
                    <xdr:colOff>0</xdr:colOff>
                    <xdr:row>2</xdr:row>
                    <xdr:rowOff>12700</xdr:rowOff>
                  </from>
                  <to>
                    <xdr:col>4</xdr:col>
                    <xdr:colOff>368300</xdr:colOff>
                    <xdr:row>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learData">
                <anchor moveWithCells="1" sizeWithCells="1">
                  <from>
                    <xdr:col>5</xdr:col>
                    <xdr:colOff>88900</xdr:colOff>
                    <xdr:row>2</xdr:row>
                    <xdr:rowOff>38100</xdr:rowOff>
                  </from>
                  <to>
                    <xdr:col>7</xdr:col>
                    <xdr:colOff>749300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085EE-BDEB-9F43-9CEC-DF4D72DA7AEA}">
  <sheetPr codeName="工作表3"/>
  <dimension ref="A1:J18"/>
  <sheetViews>
    <sheetView workbookViewId="0">
      <selection activeCell="A19" sqref="A19:XFD267"/>
    </sheetView>
  </sheetViews>
  <sheetFormatPr baseColWidth="10" defaultRowHeight="15"/>
  <sheetData>
    <row r="1" spans="1:10">
      <c r="A1" s="14" t="s">
        <v>98</v>
      </c>
      <c r="B1" s="14" t="s">
        <v>108</v>
      </c>
      <c r="C1" s="14" t="s">
        <v>109</v>
      </c>
      <c r="D1" s="14" t="s">
        <v>101</v>
      </c>
      <c r="E1" s="14" t="s">
        <v>110</v>
      </c>
      <c r="F1" s="14" t="s">
        <v>111</v>
      </c>
      <c r="G1" s="14" t="s">
        <v>112</v>
      </c>
      <c r="H1" s="14" t="s">
        <v>113</v>
      </c>
      <c r="I1" s="14" t="s">
        <v>11</v>
      </c>
      <c r="J1" s="14" t="s">
        <v>106</v>
      </c>
    </row>
    <row r="2" spans="1:10">
      <c r="A2" s="12" t="s">
        <v>84</v>
      </c>
      <c r="B2" s="12" t="s">
        <v>135</v>
      </c>
      <c r="C2" s="12" t="s">
        <v>136</v>
      </c>
      <c r="D2" s="12" t="s">
        <v>137</v>
      </c>
      <c r="E2" s="12" t="s">
        <v>43</v>
      </c>
      <c r="F2" s="12" t="s">
        <v>44</v>
      </c>
      <c r="G2" s="12" t="s">
        <v>45</v>
      </c>
      <c r="H2" s="12" t="s">
        <v>46</v>
      </c>
      <c r="I2" s="13">
        <v>2</v>
      </c>
      <c r="J2" s="13">
        <v>2369.9993909999998</v>
      </c>
    </row>
    <row r="3" spans="1:10">
      <c r="A3" s="12" t="s">
        <v>84</v>
      </c>
      <c r="B3" s="12" t="s">
        <v>135</v>
      </c>
      <c r="C3" s="12" t="s">
        <v>138</v>
      </c>
      <c r="D3" s="12" t="s">
        <v>139</v>
      </c>
      <c r="E3" s="12" t="s">
        <v>43</v>
      </c>
      <c r="F3" s="12" t="s">
        <v>44</v>
      </c>
      <c r="G3" s="12" t="s">
        <v>140</v>
      </c>
      <c r="H3" s="12" t="s">
        <v>141</v>
      </c>
      <c r="I3" s="13">
        <v>3</v>
      </c>
      <c r="J3" s="13">
        <v>2301.0193650000001</v>
      </c>
    </row>
    <row r="4" spans="1:10">
      <c r="A4" s="12" t="s">
        <v>84</v>
      </c>
      <c r="B4" s="12" t="s">
        <v>135</v>
      </c>
      <c r="C4" s="12" t="s">
        <v>142</v>
      </c>
      <c r="D4" s="12" t="s">
        <v>143</v>
      </c>
      <c r="E4" s="12" t="s">
        <v>43</v>
      </c>
      <c r="F4" s="12" t="s">
        <v>44</v>
      </c>
      <c r="G4" s="12" t="s">
        <v>140</v>
      </c>
      <c r="H4" s="12" t="s">
        <v>141</v>
      </c>
      <c r="I4" s="13">
        <v>5</v>
      </c>
      <c r="J4" s="13">
        <v>3864.2859680000001</v>
      </c>
    </row>
    <row r="5" spans="1:10">
      <c r="A5" s="12" t="s">
        <v>84</v>
      </c>
      <c r="B5" s="12" t="s">
        <v>135</v>
      </c>
      <c r="C5" s="12" t="s">
        <v>142</v>
      </c>
      <c r="D5" s="12" t="s">
        <v>143</v>
      </c>
      <c r="E5" s="12" t="s">
        <v>43</v>
      </c>
      <c r="F5" s="12" t="s">
        <v>44</v>
      </c>
      <c r="G5" s="12" t="s">
        <v>45</v>
      </c>
      <c r="H5" s="12" t="s">
        <v>46</v>
      </c>
      <c r="I5" s="13">
        <v>1</v>
      </c>
      <c r="J5" s="13">
        <v>1422.999693</v>
      </c>
    </row>
    <row r="6" spans="1:10">
      <c r="A6" s="12" t="s">
        <v>84</v>
      </c>
      <c r="B6" s="12" t="s">
        <v>135</v>
      </c>
      <c r="C6" s="12" t="s">
        <v>144</v>
      </c>
      <c r="D6" s="12" t="s">
        <v>145</v>
      </c>
      <c r="E6" s="12" t="s">
        <v>43</v>
      </c>
      <c r="F6" s="12" t="s">
        <v>44</v>
      </c>
      <c r="G6" s="12" t="s">
        <v>140</v>
      </c>
      <c r="H6" s="12" t="s">
        <v>141</v>
      </c>
      <c r="I6" s="13">
        <v>1</v>
      </c>
      <c r="J6" s="13">
        <v>781.36918300000002</v>
      </c>
    </row>
    <row r="7" spans="1:10">
      <c r="A7" s="12" t="s">
        <v>85</v>
      </c>
      <c r="B7" s="12" t="s">
        <v>146</v>
      </c>
      <c r="C7" s="12" t="s">
        <v>147</v>
      </c>
      <c r="D7" s="12" t="s">
        <v>148</v>
      </c>
      <c r="E7" s="12" t="s">
        <v>43</v>
      </c>
      <c r="F7" s="12" t="s">
        <v>44</v>
      </c>
      <c r="G7" s="12" t="s">
        <v>140</v>
      </c>
      <c r="H7" s="12" t="s">
        <v>141</v>
      </c>
      <c r="I7" s="13">
        <v>4</v>
      </c>
      <c r="J7" s="13">
        <v>3040.9470620000002</v>
      </c>
    </row>
    <row r="8" spans="1:10">
      <c r="A8" s="12" t="s">
        <v>85</v>
      </c>
      <c r="B8" s="12" t="s">
        <v>146</v>
      </c>
      <c r="C8" s="12" t="s">
        <v>147</v>
      </c>
      <c r="D8" s="12" t="s">
        <v>148</v>
      </c>
      <c r="E8" s="12" t="s">
        <v>43</v>
      </c>
      <c r="F8" s="12" t="s">
        <v>44</v>
      </c>
      <c r="G8" s="12" t="s">
        <v>45</v>
      </c>
      <c r="H8" s="12" t="s">
        <v>46</v>
      </c>
      <c r="I8" s="13">
        <v>3</v>
      </c>
      <c r="J8" s="13">
        <v>4268.9990820000003</v>
      </c>
    </row>
    <row r="9" spans="1:10">
      <c r="A9" s="12" t="s">
        <v>85</v>
      </c>
      <c r="B9" s="12" t="s">
        <v>146</v>
      </c>
      <c r="C9" s="12" t="s">
        <v>149</v>
      </c>
      <c r="D9" s="12" t="s">
        <v>150</v>
      </c>
      <c r="E9" s="12" t="s">
        <v>43</v>
      </c>
      <c r="F9" s="12" t="s">
        <v>44</v>
      </c>
      <c r="G9" s="12" t="s">
        <v>140</v>
      </c>
      <c r="H9" s="12" t="s">
        <v>141</v>
      </c>
      <c r="I9" s="13">
        <v>4</v>
      </c>
      <c r="J9" s="13">
        <v>2998.4119190000001</v>
      </c>
    </row>
    <row r="10" spans="1:10">
      <c r="A10" s="12" t="s">
        <v>85</v>
      </c>
      <c r="B10" s="12" t="s">
        <v>146</v>
      </c>
      <c r="C10" s="12" t="s">
        <v>149</v>
      </c>
      <c r="D10" s="12" t="s">
        <v>150</v>
      </c>
      <c r="E10" s="12" t="s">
        <v>43</v>
      </c>
      <c r="F10" s="12" t="s">
        <v>44</v>
      </c>
      <c r="G10" s="12" t="s">
        <v>45</v>
      </c>
      <c r="H10" s="12" t="s">
        <v>46</v>
      </c>
      <c r="I10" s="13">
        <v>3</v>
      </c>
      <c r="J10" s="13">
        <v>4268.9991630000004</v>
      </c>
    </row>
    <row r="11" spans="1:10">
      <c r="A11" s="12" t="s">
        <v>85</v>
      </c>
      <c r="B11" s="12" t="s">
        <v>146</v>
      </c>
      <c r="C11" s="12" t="s">
        <v>151</v>
      </c>
      <c r="D11" s="12" t="s">
        <v>152</v>
      </c>
      <c r="E11" s="12" t="s">
        <v>43</v>
      </c>
      <c r="F11" s="12" t="s">
        <v>44</v>
      </c>
      <c r="G11" s="12" t="s">
        <v>140</v>
      </c>
      <c r="H11" s="12" t="s">
        <v>141</v>
      </c>
      <c r="I11" s="13">
        <v>7</v>
      </c>
      <c r="J11" s="13">
        <v>5277.3829239999995</v>
      </c>
    </row>
    <row r="12" spans="1:10">
      <c r="A12" s="12" t="s">
        <v>85</v>
      </c>
      <c r="B12" s="12" t="s">
        <v>146</v>
      </c>
      <c r="C12" s="12" t="s">
        <v>151</v>
      </c>
      <c r="D12" s="12" t="s">
        <v>152</v>
      </c>
      <c r="E12" s="12" t="s">
        <v>43</v>
      </c>
      <c r="F12" s="12" t="s">
        <v>44</v>
      </c>
      <c r="G12" s="12" t="s">
        <v>45</v>
      </c>
      <c r="H12" s="12" t="s">
        <v>46</v>
      </c>
      <c r="I12" s="13">
        <v>3</v>
      </c>
      <c r="J12" s="13">
        <v>4268.999084</v>
      </c>
    </row>
    <row r="13" spans="1:10">
      <c r="A13" s="12" t="s">
        <v>85</v>
      </c>
      <c r="B13" s="12" t="s">
        <v>146</v>
      </c>
      <c r="C13" s="12" t="s">
        <v>153</v>
      </c>
      <c r="D13" s="12" t="s">
        <v>154</v>
      </c>
      <c r="E13" s="12" t="s">
        <v>43</v>
      </c>
      <c r="F13" s="12" t="s">
        <v>44</v>
      </c>
      <c r="G13" s="12" t="s">
        <v>140</v>
      </c>
      <c r="H13" s="12" t="s">
        <v>141</v>
      </c>
      <c r="I13" s="13">
        <v>10</v>
      </c>
      <c r="J13" s="13">
        <v>7532.447169</v>
      </c>
    </row>
    <row r="14" spans="1:10">
      <c r="A14" s="12" t="s">
        <v>85</v>
      </c>
      <c r="B14" s="12" t="s">
        <v>146</v>
      </c>
      <c r="C14" s="12" t="s">
        <v>153</v>
      </c>
      <c r="D14" s="12" t="s">
        <v>154</v>
      </c>
      <c r="E14" s="12" t="s">
        <v>43</v>
      </c>
      <c r="F14" s="12" t="s">
        <v>44</v>
      </c>
      <c r="G14" s="12" t="s">
        <v>45</v>
      </c>
      <c r="H14" s="12" t="s">
        <v>46</v>
      </c>
      <c r="I14" s="13">
        <v>7</v>
      </c>
      <c r="J14" s="13">
        <v>9960.9979390000008</v>
      </c>
    </row>
    <row r="15" spans="1:10">
      <c r="A15" s="12" t="s">
        <v>85</v>
      </c>
      <c r="B15" s="12" t="s">
        <v>146</v>
      </c>
      <c r="C15" s="12" t="s">
        <v>155</v>
      </c>
      <c r="D15" s="12" t="s">
        <v>156</v>
      </c>
      <c r="E15" s="12" t="s">
        <v>43</v>
      </c>
      <c r="F15" s="12" t="s">
        <v>44</v>
      </c>
      <c r="G15" s="12" t="s">
        <v>140</v>
      </c>
      <c r="H15" s="12" t="s">
        <v>141</v>
      </c>
      <c r="I15" s="13">
        <v>2</v>
      </c>
      <c r="J15" s="13">
        <v>1562.733635</v>
      </c>
    </row>
    <row r="16" spans="1:10">
      <c r="A16" s="12" t="s">
        <v>85</v>
      </c>
      <c r="B16" s="12" t="s">
        <v>146</v>
      </c>
      <c r="C16" s="12" t="s">
        <v>155</v>
      </c>
      <c r="D16" s="12" t="s">
        <v>156</v>
      </c>
      <c r="E16" s="12" t="s">
        <v>43</v>
      </c>
      <c r="F16" s="12" t="s">
        <v>44</v>
      </c>
      <c r="G16" s="12" t="s">
        <v>45</v>
      </c>
      <c r="H16" s="12" t="s">
        <v>46</v>
      </c>
      <c r="I16" s="13">
        <v>4</v>
      </c>
      <c r="J16" s="13">
        <v>5691.9987730000003</v>
      </c>
    </row>
    <row r="17" spans="1:10">
      <c r="A17" s="12" t="s">
        <v>85</v>
      </c>
      <c r="B17" s="12" t="s">
        <v>146</v>
      </c>
      <c r="C17" s="12" t="s">
        <v>157</v>
      </c>
      <c r="D17" s="12" t="s">
        <v>158</v>
      </c>
      <c r="E17" s="12" t="s">
        <v>43</v>
      </c>
      <c r="F17" s="12" t="s">
        <v>44</v>
      </c>
      <c r="G17" s="12" t="s">
        <v>140</v>
      </c>
      <c r="H17" s="12" t="s">
        <v>141</v>
      </c>
      <c r="I17" s="13">
        <v>4</v>
      </c>
      <c r="J17" s="13">
        <v>3125.6832519999998</v>
      </c>
    </row>
    <row r="18" spans="1:10">
      <c r="A18" s="12" t="s">
        <v>85</v>
      </c>
      <c r="B18" s="12" t="s">
        <v>146</v>
      </c>
      <c r="C18" s="12" t="s">
        <v>157</v>
      </c>
      <c r="D18" s="12" t="s">
        <v>158</v>
      </c>
      <c r="E18" s="12" t="s">
        <v>43</v>
      </c>
      <c r="F18" s="12" t="s">
        <v>44</v>
      </c>
      <c r="G18" s="12" t="s">
        <v>45</v>
      </c>
      <c r="H18" s="12" t="s">
        <v>46</v>
      </c>
      <c r="I18" s="13">
        <v>6</v>
      </c>
      <c r="J18" s="13">
        <v>8537.9981370000005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29668D-D4D5-CE4A-A39F-CC5779E87D02}">
  <sheetPr codeName="工作表4"/>
  <dimension ref="A1:AD4"/>
  <sheetViews>
    <sheetView workbookViewId="0">
      <selection activeCell="K28" sqref="K28"/>
    </sheetView>
  </sheetViews>
  <sheetFormatPr baseColWidth="10" defaultRowHeight="15"/>
  <cols>
    <col min="3" max="5" width="10.83203125" style="16"/>
    <col min="6" max="6" width="10.83203125" style="17"/>
    <col min="9" max="10" width="10.83203125" style="17"/>
    <col min="15" max="15" width="10.83203125" style="17"/>
    <col min="17" max="17" width="10.83203125" style="17"/>
    <col min="20" max="20" width="10.83203125" style="17"/>
    <col min="23" max="23" width="10.83203125" style="17"/>
    <col min="26" max="26" width="10.83203125" style="17"/>
    <col min="29" max="29" width="10.83203125" style="17"/>
  </cols>
  <sheetData>
    <row r="1" spans="1:30">
      <c r="A1" s="11" t="s">
        <v>98</v>
      </c>
      <c r="B1" s="11" t="s">
        <v>99</v>
      </c>
      <c r="C1" s="15" t="s">
        <v>47</v>
      </c>
      <c r="D1" s="16" t="s">
        <v>48</v>
      </c>
      <c r="E1" s="21" t="s">
        <v>114</v>
      </c>
      <c r="F1" s="17" t="s">
        <v>49</v>
      </c>
      <c r="G1" s="17" t="s">
        <v>50</v>
      </c>
      <c r="H1" s="17" t="s">
        <v>51</v>
      </c>
      <c r="I1" s="17" t="s">
        <v>115</v>
      </c>
      <c r="J1" s="17" t="s">
        <v>52</v>
      </c>
      <c r="K1" t="s">
        <v>88</v>
      </c>
      <c r="L1" t="s">
        <v>89</v>
      </c>
      <c r="M1" t="s">
        <v>116</v>
      </c>
      <c r="N1" t="s">
        <v>90</v>
      </c>
      <c r="O1" s="17" t="s">
        <v>117</v>
      </c>
      <c r="P1" t="s">
        <v>118</v>
      </c>
      <c r="Q1" s="17" t="s">
        <v>119</v>
      </c>
      <c r="R1" t="s">
        <v>53</v>
      </c>
      <c r="S1" t="s">
        <v>120</v>
      </c>
      <c r="T1" s="17" t="s">
        <v>121</v>
      </c>
      <c r="U1" t="s">
        <v>54</v>
      </c>
      <c r="V1" t="s">
        <v>122</v>
      </c>
      <c r="W1" s="17" t="s">
        <v>123</v>
      </c>
      <c r="X1" t="s">
        <v>55</v>
      </c>
      <c r="Y1" t="s">
        <v>124</v>
      </c>
      <c r="Z1" s="17" t="s">
        <v>125</v>
      </c>
      <c r="AA1" t="s">
        <v>56</v>
      </c>
      <c r="AB1" t="s">
        <v>126</v>
      </c>
      <c r="AC1" s="17" t="s">
        <v>127</v>
      </c>
      <c r="AD1" t="s">
        <v>57</v>
      </c>
    </row>
    <row r="2" spans="1:30">
      <c r="A2" s="12" t="s">
        <v>84</v>
      </c>
      <c r="B2" t="s">
        <v>81</v>
      </c>
      <c r="C2" s="16">
        <v>1000000</v>
      </c>
      <c r="D2" s="16">
        <v>800000</v>
      </c>
      <c r="E2" s="16">
        <v>106.87210709700003</v>
      </c>
      <c r="F2" s="17">
        <v>1.0687210709700003E-4</v>
      </c>
      <c r="G2">
        <v>209.12100000000001</v>
      </c>
      <c r="H2">
        <v>7.3999999999999996E-2</v>
      </c>
      <c r="I2" s="17">
        <v>0.13018598353384281</v>
      </c>
      <c r="J2" s="17">
        <v>1.7592700477546326</v>
      </c>
      <c r="K2">
        <v>16</v>
      </c>
      <c r="L2">
        <v>20</v>
      </c>
      <c r="M2">
        <v>12</v>
      </c>
      <c r="N2">
        <v>120</v>
      </c>
      <c r="O2" s="17">
        <v>0.1</v>
      </c>
      <c r="Q2" s="17">
        <v>0</v>
      </c>
      <c r="R2">
        <v>20</v>
      </c>
      <c r="T2" s="17">
        <v>0</v>
      </c>
      <c r="U2">
        <v>7</v>
      </c>
      <c r="W2" s="17">
        <v>0</v>
      </c>
      <c r="X2">
        <v>14</v>
      </c>
      <c r="Z2" s="17">
        <v>0</v>
      </c>
      <c r="AA2">
        <v>12</v>
      </c>
      <c r="AC2" s="17">
        <v>0</v>
      </c>
      <c r="AD2">
        <v>1606.3249999999996</v>
      </c>
    </row>
    <row r="3" spans="1:30">
      <c r="A3" s="12" t="s">
        <v>85</v>
      </c>
      <c r="B3" t="s">
        <v>82</v>
      </c>
      <c r="C3" s="16">
        <v>1000000</v>
      </c>
      <c r="D3" s="16">
        <v>800000</v>
      </c>
      <c r="E3" s="16">
        <v>385.32715605100009</v>
      </c>
      <c r="F3" s="17">
        <v>3.8532715605100006E-4</v>
      </c>
      <c r="G3">
        <v>401.80999999999989</v>
      </c>
      <c r="H3">
        <v>7.3999999999999996E-2</v>
      </c>
      <c r="I3" s="17">
        <v>7.7535445340125714E-2</v>
      </c>
      <c r="J3" s="17">
        <v>1.0477762883800772</v>
      </c>
      <c r="K3">
        <v>14</v>
      </c>
      <c r="L3">
        <v>20</v>
      </c>
      <c r="M3">
        <v>34</v>
      </c>
      <c r="N3">
        <v>120</v>
      </c>
      <c r="O3" s="17">
        <v>0.28333333333333333</v>
      </c>
      <c r="Q3" s="17">
        <v>0</v>
      </c>
      <c r="R3">
        <v>45</v>
      </c>
      <c r="T3" s="17">
        <v>0</v>
      </c>
      <c r="U3">
        <v>13</v>
      </c>
      <c r="W3" s="17">
        <v>0</v>
      </c>
      <c r="X3">
        <v>90</v>
      </c>
      <c r="Z3" s="17">
        <v>0</v>
      </c>
      <c r="AA3">
        <v>57</v>
      </c>
      <c r="AC3" s="17">
        <v>0</v>
      </c>
      <c r="AD3">
        <v>5182.2749999999987</v>
      </c>
    </row>
    <row r="4" spans="1:30">
      <c r="B4" t="s">
        <v>58</v>
      </c>
      <c r="C4" s="16">
        <v>2000000</v>
      </c>
      <c r="D4" s="16">
        <v>1600000</v>
      </c>
      <c r="E4" s="16">
        <v>492.19926314800011</v>
      </c>
      <c r="F4" s="17">
        <v>2.4609963157400008E-4</v>
      </c>
    </row>
  </sheetData>
  <phoneticPr fontId="2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CE78C8-321E-FB49-8304-2713E47E37A4}">
  <sheetPr codeName="工作表8"/>
  <dimension ref="A1:M110"/>
  <sheetViews>
    <sheetView workbookViewId="0">
      <selection activeCell="O9" sqref="O9"/>
    </sheetView>
  </sheetViews>
  <sheetFormatPr baseColWidth="10" defaultRowHeight="15"/>
  <sheetData>
    <row r="1" spans="1:13">
      <c r="A1" t="s">
        <v>59</v>
      </c>
      <c r="D1" t="s">
        <v>60</v>
      </c>
      <c r="E1" s="17">
        <v>1</v>
      </c>
      <c r="M1" t="s">
        <v>62</v>
      </c>
    </row>
    <row r="2" spans="1:13">
      <c r="A2" t="s">
        <v>83</v>
      </c>
    </row>
    <row r="13" spans="1:13" s="19" customFormat="1">
      <c r="A13" s="22">
        <v>2.4609963157400008E-4</v>
      </c>
      <c r="B13" s="22"/>
      <c r="C13" s="22"/>
      <c r="D13" s="22">
        <v>1.0687210709700003E-4</v>
      </c>
      <c r="E13" s="22"/>
      <c r="F13" s="22"/>
      <c r="G13" s="22">
        <v>3.8532715605100006E-4</v>
      </c>
      <c r="H13" s="22"/>
      <c r="I13" s="22"/>
    </row>
    <row r="15" spans="1:13">
      <c r="A15" t="s">
        <v>61</v>
      </c>
      <c r="D15" s="17">
        <v>6.7000000000000004E-2</v>
      </c>
    </row>
    <row r="32" spans="1:3">
      <c r="A32" t="s">
        <v>63</v>
      </c>
      <c r="C32" t="s">
        <v>83</v>
      </c>
    </row>
    <row r="47" spans="1:1">
      <c r="A47" t="s">
        <v>64</v>
      </c>
    </row>
    <row r="66" spans="1:1">
      <c r="A66" t="s">
        <v>65</v>
      </c>
    </row>
    <row r="110" spans="1:1">
      <c r="A110" t="s">
        <v>66</v>
      </c>
    </row>
  </sheetData>
  <mergeCells count="3">
    <mergeCell ref="A13:C13"/>
    <mergeCell ref="D13:F13"/>
    <mergeCell ref="G13:I13"/>
  </mergeCells>
  <phoneticPr fontId="2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C5E31-3033-624D-8E38-E53ADF63AE50}">
  <sheetPr codeName="工作表5"/>
  <dimension ref="A1:J15"/>
  <sheetViews>
    <sheetView workbookViewId="0">
      <selection activeCell="G1" sqref="G1:G1048576 J1:J1048576"/>
    </sheetView>
  </sheetViews>
  <sheetFormatPr baseColWidth="10" defaultRowHeight="15"/>
  <cols>
    <col min="1" max="1" width="10.83203125" style="20"/>
    <col min="5" max="6" width="10.83203125" style="16"/>
    <col min="7" max="7" width="10.83203125" style="17"/>
    <col min="10" max="10" width="10.83203125" style="17"/>
  </cols>
  <sheetData>
    <row r="1" spans="1:10">
      <c r="A1" s="20" t="s">
        <v>86</v>
      </c>
      <c r="B1" t="s">
        <v>87</v>
      </c>
      <c r="C1" s="11" t="s">
        <v>100</v>
      </c>
      <c r="D1" t="s">
        <v>128</v>
      </c>
      <c r="E1" s="21" t="s">
        <v>129</v>
      </c>
      <c r="F1" s="16" t="s">
        <v>130</v>
      </c>
      <c r="G1" s="17" t="s">
        <v>131</v>
      </c>
      <c r="H1" t="s">
        <v>132</v>
      </c>
      <c r="I1" t="s">
        <v>133</v>
      </c>
      <c r="J1" s="17" t="s">
        <v>134</v>
      </c>
    </row>
    <row r="2" spans="1:10">
      <c r="A2" s="20" t="s">
        <v>84</v>
      </c>
      <c r="B2" t="s">
        <v>135</v>
      </c>
      <c r="C2" s="12" t="s">
        <v>136</v>
      </c>
      <c r="D2" t="s">
        <v>137</v>
      </c>
      <c r="E2" s="16">
        <v>162.17500000000001</v>
      </c>
      <c r="F2" s="16">
        <v>0.86999999999999966</v>
      </c>
      <c r="G2" s="17">
        <v>5.3645753044550618E-3</v>
      </c>
      <c r="H2">
        <v>5</v>
      </c>
      <c r="J2" s="17">
        <v>0</v>
      </c>
    </row>
    <row r="3" spans="1:10">
      <c r="A3" s="20" t="s">
        <v>84</v>
      </c>
      <c r="B3" t="s">
        <v>135</v>
      </c>
      <c r="C3" s="12" t="s">
        <v>138</v>
      </c>
      <c r="D3" t="s">
        <v>139</v>
      </c>
      <c r="E3" s="16">
        <v>486.01599999999996</v>
      </c>
      <c r="F3" s="16">
        <v>51.127000000000002</v>
      </c>
      <c r="G3" s="17">
        <v>0.1051961252304451</v>
      </c>
      <c r="H3">
        <v>17</v>
      </c>
      <c r="J3" s="17">
        <v>0</v>
      </c>
    </row>
    <row r="4" spans="1:10">
      <c r="A4" s="20" t="s">
        <v>84</v>
      </c>
      <c r="B4" t="s">
        <v>135</v>
      </c>
      <c r="C4" s="12" t="s">
        <v>142</v>
      </c>
      <c r="D4" t="s">
        <v>143</v>
      </c>
      <c r="E4" s="16">
        <v>402.15599999999995</v>
      </c>
      <c r="F4" s="16">
        <v>33.597999999999999</v>
      </c>
      <c r="G4" s="17">
        <v>8.3544694098807437E-2</v>
      </c>
      <c r="H4">
        <v>11</v>
      </c>
      <c r="J4" s="17">
        <v>0</v>
      </c>
    </row>
    <row r="5" spans="1:10">
      <c r="A5" s="20" t="s">
        <v>84</v>
      </c>
      <c r="B5" t="s">
        <v>135</v>
      </c>
      <c r="C5" s="12" t="s">
        <v>171</v>
      </c>
      <c r="D5" t="s">
        <v>172</v>
      </c>
      <c r="E5" s="16">
        <v>27.332999999999998</v>
      </c>
      <c r="F5" s="16">
        <v>-41.400999999999996</v>
      </c>
      <c r="G5" s="17">
        <v>-1.5146892035268722</v>
      </c>
      <c r="H5">
        <v>2</v>
      </c>
      <c r="J5" s="17">
        <v>0</v>
      </c>
    </row>
    <row r="6" spans="1:10">
      <c r="A6" s="20" t="s">
        <v>84</v>
      </c>
      <c r="B6" t="s">
        <v>135</v>
      </c>
      <c r="C6" s="12" t="s">
        <v>173</v>
      </c>
      <c r="D6" t="s">
        <v>174</v>
      </c>
      <c r="E6" s="16">
        <v>57.090999999999994</v>
      </c>
      <c r="F6" s="16">
        <v>-0.32400000000000007</v>
      </c>
      <c r="G6" s="17">
        <v>-5.6751501988054178E-3</v>
      </c>
      <c r="H6">
        <v>2</v>
      </c>
      <c r="J6" s="17">
        <v>0</v>
      </c>
    </row>
    <row r="7" spans="1:10">
      <c r="A7" s="20" t="s">
        <v>84</v>
      </c>
      <c r="B7" t="s">
        <v>135</v>
      </c>
      <c r="C7" s="12" t="s">
        <v>175</v>
      </c>
      <c r="D7" t="s">
        <v>176</v>
      </c>
      <c r="E7" s="16">
        <v>89.432999999999993</v>
      </c>
      <c r="F7" s="16">
        <v>10.201000000000001</v>
      </c>
      <c r="G7" s="17">
        <v>0.11406304160656583</v>
      </c>
      <c r="H7">
        <v>2</v>
      </c>
      <c r="J7" s="17">
        <v>0</v>
      </c>
    </row>
    <row r="8" spans="1:10">
      <c r="A8" s="20" t="s">
        <v>84</v>
      </c>
      <c r="B8" t="s">
        <v>135</v>
      </c>
      <c r="C8" s="12" t="s">
        <v>144</v>
      </c>
      <c r="D8" t="s">
        <v>145</v>
      </c>
      <c r="E8" s="16">
        <v>382.12100000000004</v>
      </c>
      <c r="F8" s="16">
        <v>52.801000000000016</v>
      </c>
      <c r="G8" s="17">
        <v>0.13817874442912065</v>
      </c>
      <c r="H8">
        <v>15</v>
      </c>
      <c r="J8" s="17">
        <v>0</v>
      </c>
    </row>
    <row r="9" spans="1:10">
      <c r="A9" s="20" t="s">
        <v>85</v>
      </c>
      <c r="B9" t="s">
        <v>146</v>
      </c>
      <c r="C9" s="12" t="s">
        <v>147</v>
      </c>
      <c r="D9" t="s">
        <v>148</v>
      </c>
      <c r="E9" s="16">
        <v>718.36799999999971</v>
      </c>
      <c r="F9" s="16">
        <v>66.53100000000002</v>
      </c>
      <c r="G9" s="17">
        <v>9.2614091941734658E-2</v>
      </c>
      <c r="H9">
        <v>26</v>
      </c>
      <c r="J9" s="17">
        <v>0</v>
      </c>
    </row>
    <row r="10" spans="1:10">
      <c r="A10" s="20" t="s">
        <v>85</v>
      </c>
      <c r="B10" t="s">
        <v>146</v>
      </c>
      <c r="C10" s="12" t="s">
        <v>184</v>
      </c>
      <c r="D10" t="s">
        <v>185</v>
      </c>
      <c r="E10" s="16">
        <v>3.496</v>
      </c>
      <c r="F10" s="16">
        <v>1.2579999999999998</v>
      </c>
      <c r="G10" s="17">
        <v>0.35983981693363837</v>
      </c>
    </row>
    <row r="11" spans="1:10">
      <c r="A11" s="20" t="s">
        <v>85</v>
      </c>
      <c r="B11" t="s">
        <v>146</v>
      </c>
      <c r="C11" s="12" t="s">
        <v>149</v>
      </c>
      <c r="D11" t="s">
        <v>150</v>
      </c>
      <c r="E11" s="16">
        <v>637.0849999999997</v>
      </c>
      <c r="F11" s="16">
        <v>62.104000000000021</v>
      </c>
      <c r="G11" s="17">
        <v>9.7481497759325755E-2</v>
      </c>
      <c r="H11">
        <v>22</v>
      </c>
      <c r="J11" s="17">
        <v>0</v>
      </c>
    </row>
    <row r="12" spans="1:10">
      <c r="A12" s="20" t="s">
        <v>85</v>
      </c>
      <c r="B12" t="s">
        <v>146</v>
      </c>
      <c r="C12" s="12" t="s">
        <v>151</v>
      </c>
      <c r="D12" t="s">
        <v>152</v>
      </c>
      <c r="E12" s="16">
        <v>1161.8900000000003</v>
      </c>
      <c r="F12" s="16">
        <v>86.02200000000002</v>
      </c>
      <c r="G12" s="17">
        <v>7.4036268493575114E-2</v>
      </c>
      <c r="H12">
        <v>38</v>
      </c>
      <c r="J12" s="17">
        <v>0</v>
      </c>
    </row>
    <row r="13" spans="1:10">
      <c r="A13" s="20" t="s">
        <v>85</v>
      </c>
      <c r="B13" t="s">
        <v>146</v>
      </c>
      <c r="C13" s="12" t="s">
        <v>153</v>
      </c>
      <c r="D13" t="s">
        <v>154</v>
      </c>
      <c r="E13" s="16">
        <v>1123.3870000000002</v>
      </c>
      <c r="F13" s="16">
        <v>27.841000000000012</v>
      </c>
      <c r="G13" s="17">
        <v>2.4783088997825335E-2</v>
      </c>
      <c r="H13">
        <v>38</v>
      </c>
      <c r="J13" s="17">
        <v>0</v>
      </c>
    </row>
    <row r="14" spans="1:10">
      <c r="A14" s="20" t="s">
        <v>85</v>
      </c>
      <c r="B14" t="s">
        <v>146</v>
      </c>
      <c r="C14" s="12" t="s">
        <v>155</v>
      </c>
      <c r="D14" t="s">
        <v>156</v>
      </c>
      <c r="E14" s="16">
        <v>744.9609999999999</v>
      </c>
      <c r="F14" s="16">
        <v>45.437000000000026</v>
      </c>
      <c r="G14" s="17">
        <v>6.0992454638565015E-2</v>
      </c>
      <c r="H14">
        <v>29</v>
      </c>
      <c r="J14" s="17">
        <v>0</v>
      </c>
    </row>
    <row r="15" spans="1:10">
      <c r="A15" s="20" t="s">
        <v>85</v>
      </c>
      <c r="B15" t="s">
        <v>146</v>
      </c>
      <c r="C15" s="12" t="s">
        <v>157</v>
      </c>
      <c r="D15" t="s">
        <v>158</v>
      </c>
      <c r="E15" s="16">
        <v>793.08800000000008</v>
      </c>
      <c r="F15" s="16">
        <v>96.133999999999986</v>
      </c>
      <c r="G15" s="17">
        <v>0.12121479583602321</v>
      </c>
      <c r="H15">
        <v>29</v>
      </c>
      <c r="J15" s="17">
        <v>0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B3650-B4F2-454D-8566-003C384BDE90}">
  <sheetPr codeName="工作表7"/>
  <dimension ref="A1:C3"/>
  <sheetViews>
    <sheetView workbookViewId="0">
      <selection activeCell="B21" sqref="B21"/>
    </sheetView>
  </sheetViews>
  <sheetFormatPr baseColWidth="10" defaultRowHeight="15"/>
  <sheetData>
    <row r="1" spans="1:3">
      <c r="A1" s="20" t="s">
        <v>86</v>
      </c>
    </row>
    <row r="2" spans="1:3">
      <c r="A2" s="20" t="s">
        <v>84</v>
      </c>
      <c r="B2">
        <v>7</v>
      </c>
      <c r="C2" t="str">
        <f>VLOOKUP(A2,target!A:B,2,FALSE)</f>
        <v>C</v>
      </c>
    </row>
    <row r="3" spans="1:3">
      <c r="A3" s="20" t="s">
        <v>85</v>
      </c>
      <c r="B3">
        <v>7</v>
      </c>
      <c r="C3" t="str">
        <f>VLOOKUP(A3,target!A:B,2,FALSE)</f>
        <v>B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3</vt:i4>
      </vt:variant>
    </vt:vector>
  </HeadingPairs>
  <TitlesOfParts>
    <vt:vector size="10" baseType="lpstr">
      <vt:lpstr>target</vt:lpstr>
      <vt:lpstr>A_SalesData</vt:lpstr>
      <vt:lpstr>B_ACPP+Data</vt:lpstr>
      <vt:lpstr>Shop_data_summary</vt:lpstr>
      <vt:lpstr>Chart</vt:lpstr>
      <vt:lpstr>Staff_data_summary</vt:lpstr>
      <vt:lpstr>testoo</vt:lpstr>
      <vt:lpstr>Shop_data_summary!Extract</vt:lpstr>
      <vt:lpstr>Staff_data_summary!Extract</vt:lpstr>
      <vt:lpstr>testoo!Extract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</dc:creator>
  <cp:lastModifiedBy>Steve</cp:lastModifiedBy>
  <dcterms:created xsi:type="dcterms:W3CDTF">2020-06-05T01:49:19Z</dcterms:created>
  <dcterms:modified xsi:type="dcterms:W3CDTF">2020-06-17T02:42:59Z</dcterms:modified>
</cp:coreProperties>
</file>