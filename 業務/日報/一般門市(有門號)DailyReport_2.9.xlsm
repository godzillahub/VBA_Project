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日報/"/>
    </mc:Choice>
  </mc:AlternateContent>
  <xr:revisionPtr revIDLastSave="0" documentId="13_ncr:1_{B0651CB2-9323-9B40-8303-935B5D4A3DC3}" xr6:coauthVersionLast="45" xr6:coauthVersionMax="45" xr10:uidLastSave="{00000000-0000-0000-0000-000000000000}"/>
  <bookViews>
    <workbookView xWindow="0" yWindow="460" windowWidth="33600" windowHeight="19420" tabRatio="500" xr2:uid="{00000000-000D-0000-FFFF-FFFF00000000}"/>
  </bookViews>
  <sheets>
    <sheet name="日報" sheetId="2" r:id="rId1"/>
    <sheet name="每日營業" sheetId="1" r:id="rId2"/>
    <sheet name="每月累積" sheetId="6" r:id="rId3"/>
    <sheet name="同期比較" sheetId="7" r:id="rId4"/>
    <sheet name="SAcare" sheetId="8" r:id="rId5"/>
    <sheet name="SACare價目表" sheetId="9" r:id="rId6"/>
  </sheets>
  <definedNames>
    <definedName name="_xlnm._FilterDatabase" localSheetId="3" hidden="1">同期比較!$A$10:$L$10</definedName>
    <definedName name="_xlnm._FilterDatabase" localSheetId="1" hidden="1">每日營業!$A$10:$ALK$10</definedName>
    <definedName name="_xlnm._FilterDatabase" localSheetId="2" hidden="1">每月累積!$A$10:$ALK$10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0" i="8" l="1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G33" i="2"/>
  <c r="D33" i="2"/>
  <c r="H33" i="2" s="1"/>
  <c r="H32" i="2"/>
  <c r="C21" i="2" l="1"/>
  <c r="C38" i="2"/>
  <c r="D42" i="2"/>
  <c r="H42" i="2" s="1"/>
  <c r="G42" i="2"/>
  <c r="C42" i="2"/>
  <c r="H41" i="2"/>
  <c r="H40" i="2"/>
  <c r="H2" i="2"/>
  <c r="B4" i="2" s="1"/>
  <c r="C10" i="2"/>
  <c r="C27" i="2"/>
  <c r="C26" i="2"/>
  <c r="C24" i="2"/>
  <c r="C9" i="2"/>
  <c r="C29" i="2"/>
  <c r="D10" i="2"/>
  <c r="D39" i="2"/>
  <c r="G10" i="2"/>
  <c r="H10" i="2" s="1"/>
  <c r="G31" i="2"/>
  <c r="E18" i="2"/>
  <c r="E10" i="2"/>
  <c r="E39" i="2" s="1"/>
  <c r="F39" i="2" s="1"/>
  <c r="E31" i="2"/>
  <c r="D38" i="2"/>
  <c r="H38" i="2" s="1"/>
  <c r="G38" i="2"/>
  <c r="H34" i="2"/>
  <c r="F34" i="2"/>
  <c r="H30" i="2"/>
  <c r="F30" i="2"/>
  <c r="D29" i="2"/>
  <c r="F29" i="2"/>
  <c r="G29" i="2"/>
  <c r="H29" i="2" s="1"/>
  <c r="E29" i="2"/>
  <c r="H28" i="2"/>
  <c r="F28" i="2"/>
  <c r="D27" i="2"/>
  <c r="H27" i="2" s="1"/>
  <c r="G27" i="2"/>
  <c r="E27" i="2"/>
  <c r="D26" i="2"/>
  <c r="F26" i="2" s="1"/>
  <c r="G26" i="2"/>
  <c r="E26" i="2"/>
  <c r="H25" i="2"/>
  <c r="F25" i="2"/>
  <c r="D24" i="2"/>
  <c r="G24" i="2"/>
  <c r="E24" i="2"/>
  <c r="F24" i="2" s="1"/>
  <c r="H23" i="2"/>
  <c r="F23" i="2"/>
  <c r="H22" i="2"/>
  <c r="F22" i="2"/>
  <c r="D21" i="2"/>
  <c r="F21" i="2" s="1"/>
  <c r="G21" i="2"/>
  <c r="E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D9" i="2"/>
  <c r="F9" i="2" s="1"/>
  <c r="G9" i="2"/>
  <c r="H7" i="2"/>
  <c r="F7" i="2"/>
  <c r="H5" i="2"/>
  <c r="F27" i="2"/>
  <c r="H24" i="2"/>
  <c r="F10" i="2"/>
  <c r="D31" i="2"/>
  <c r="F31" i="2"/>
  <c r="H31" i="2"/>
  <c r="C31" i="2" l="1"/>
  <c r="C33" i="2"/>
  <c r="C39" i="2"/>
  <c r="H21" i="2"/>
  <c r="G39" i="2"/>
  <c r="H39" i="2" s="1"/>
  <c r="H26" i="2"/>
  <c r="H9" i="2"/>
</calcChain>
</file>

<file path=xl/sharedStrings.xml><?xml version="1.0" encoding="utf-8"?>
<sst xmlns="http://schemas.openxmlformats.org/spreadsheetml/2006/main" count="429" uniqueCount="307">
  <si>
    <t>門市別：</t>
    <phoneticPr fontId="2" type="noConversion"/>
  </si>
  <si>
    <t>本日銷售人數</t>
    <phoneticPr fontId="2" type="noConversion"/>
  </si>
  <si>
    <t>本日休假人數</t>
    <phoneticPr fontId="2" type="noConversion"/>
  </si>
  <si>
    <t>本月日數</t>
    <phoneticPr fontId="2" type="noConversion"/>
  </si>
  <si>
    <t>日</t>
    <phoneticPr fontId="2" type="noConversion"/>
  </si>
  <si>
    <t>應達成率</t>
    <phoneticPr fontId="2" type="noConversion"/>
  </si>
  <si>
    <t>　</t>
  </si>
  <si>
    <t>本月累積</t>
    <phoneticPr fontId="2" type="noConversion"/>
  </si>
  <si>
    <t>本月目標</t>
    <phoneticPr fontId="2" type="noConversion"/>
  </si>
  <si>
    <t>達成率</t>
    <phoneticPr fontId="2" type="noConversion"/>
  </si>
  <si>
    <t>上月同期</t>
  </si>
  <si>
    <t>與上月同期比</t>
    <phoneticPr fontId="2" type="noConversion"/>
  </si>
  <si>
    <t>總營業額</t>
    <phoneticPr fontId="2" type="noConversion"/>
  </si>
  <si>
    <t>扣除iPhone營業額</t>
    <phoneticPr fontId="2" type="noConversion"/>
  </si>
  <si>
    <t>零售營業額</t>
    <phoneticPr fontId="2" type="noConversion"/>
  </si>
  <si>
    <t>專案營業額</t>
    <phoneticPr fontId="2" type="noConversion"/>
  </si>
  <si>
    <t>Apple主機營業額</t>
    <phoneticPr fontId="4" type="noConversion"/>
  </si>
  <si>
    <t>Apple配件營業額</t>
    <phoneticPr fontId="2" type="noConversion"/>
  </si>
  <si>
    <t>CPU 台數</t>
    <phoneticPr fontId="4" type="noConversion"/>
  </si>
  <si>
    <t>iPad 台數</t>
    <phoneticPr fontId="2" type="noConversion"/>
  </si>
  <si>
    <t>iPad Pro 台數</t>
    <phoneticPr fontId="2" type="noConversion"/>
  </si>
  <si>
    <t>iPhone 台數</t>
    <phoneticPr fontId="2" type="noConversion"/>
  </si>
  <si>
    <t>iPhone 營業額</t>
    <phoneticPr fontId="2" type="noConversion"/>
  </si>
  <si>
    <r>
      <rPr>
        <sz val="10"/>
        <color indexed="8"/>
        <rFont val="Monaco"/>
        <family val="2"/>
      </rPr>
      <t></t>
    </r>
    <r>
      <rPr>
        <sz val="10"/>
        <color indexed="8"/>
        <rFont val="新細明體"/>
        <family val="1"/>
        <charset val="136"/>
        <scheme val="minor"/>
      </rPr>
      <t>Watch 台數</t>
    </r>
    <phoneticPr fontId="2" type="noConversion"/>
  </si>
  <si>
    <t>SA Care for Watch</t>
  </si>
  <si>
    <t>SA Care for Watch 搭售率</t>
  </si>
  <si>
    <t>iPod 台數</t>
    <phoneticPr fontId="4" type="noConversion"/>
  </si>
  <si>
    <t>ACPP-MAC</t>
    <phoneticPr fontId="2" type="noConversion"/>
  </si>
  <si>
    <t>ACPP-MAC 搭售率</t>
    <phoneticPr fontId="2" type="noConversion"/>
  </si>
  <si>
    <t>SA Care for CPU</t>
    <phoneticPr fontId="2" type="noConversion"/>
  </si>
  <si>
    <t>SA Care for CPU 搭售率</t>
    <phoneticPr fontId="2" type="noConversion"/>
  </si>
  <si>
    <t>ACPP+SA Care 搭售率</t>
    <phoneticPr fontId="2" type="noConversion"/>
  </si>
  <si>
    <t>SA Care for iOS</t>
    <phoneticPr fontId="2" type="noConversion"/>
  </si>
  <si>
    <t>SA Care for iOS搭售率</t>
    <phoneticPr fontId="2" type="noConversion"/>
  </si>
  <si>
    <t>3PP配件營業額</t>
    <phoneticPr fontId="2" type="noConversion"/>
  </si>
  <si>
    <t>3PP搭售率</t>
    <phoneticPr fontId="2" type="noConversion"/>
  </si>
  <si>
    <t>時價商品</t>
    <phoneticPr fontId="2" type="noConversion"/>
  </si>
  <si>
    <t>其他營業額</t>
    <phoneticPr fontId="2" type="noConversion"/>
  </si>
  <si>
    <t>人均產值</t>
    <phoneticPr fontId="2" type="noConversion"/>
  </si>
  <si>
    <t>備註：</t>
    <phoneticPr fontId="2" type="noConversion"/>
  </si>
  <si>
    <t>1.請勿更動工作表名稱與欄位位置</t>
    <phoneticPr fontId="2" type="noConversion"/>
  </si>
  <si>
    <t>2.執行計算前請先清除舊資料確保正確</t>
    <phoneticPr fontId="2" type="noConversion"/>
  </si>
  <si>
    <t>舊換新台數:</t>
    <phoneticPr fontId="2" type="noConversion"/>
  </si>
  <si>
    <t>團客人數:</t>
    <phoneticPr fontId="2" type="noConversion"/>
  </si>
  <si>
    <t>One to many/ many to many 次數:</t>
    <phoneticPr fontId="2" type="noConversion"/>
  </si>
  <si>
    <t>本日營運概況</t>
    <phoneticPr fontId="2" type="noConversion"/>
  </si>
  <si>
    <t>新竹光復</t>
    <phoneticPr fontId="2" type="noConversion"/>
  </si>
  <si>
    <t xml:space="preserve"> </t>
    <phoneticPr fontId="2" type="noConversion"/>
  </si>
  <si>
    <t>門號申辦數</t>
    <phoneticPr fontId="2" type="noConversion"/>
  </si>
  <si>
    <t>來客數</t>
    <phoneticPr fontId="2" type="noConversion"/>
  </si>
  <si>
    <t>成交筆數</t>
    <phoneticPr fontId="2" type="noConversion"/>
  </si>
  <si>
    <t>提袋率</t>
    <phoneticPr fontId="2" type="noConversion"/>
  </si>
  <si>
    <t>STUDIO A Care for iPad ($2,690)</t>
  </si>
  <si>
    <t>STUDIO A Care for iPhone ($3,690)</t>
  </si>
  <si>
    <t>STUDIO A Care for Mac B (30001~50000 $3,690)</t>
  </si>
  <si>
    <t>STUDIO A Care for iPhone X ($4,690)</t>
  </si>
  <si>
    <t>存代</t>
    <phoneticPr fontId="2" type="noConversion"/>
  </si>
  <si>
    <t>存貨名稱</t>
    <phoneticPr fontId="2" type="noConversion"/>
  </si>
  <si>
    <t>價格</t>
    <phoneticPr fontId="2" type="noConversion"/>
  </si>
  <si>
    <t>STUDIO A Care+ for iPhone 整新機 ($3,690)</t>
  </si>
  <si>
    <t>STUDIO A Care+ for iPad 整新機 ($2,690)</t>
  </si>
  <si>
    <t>STUDIO A Care for iPad Pro ($3,690)</t>
  </si>
  <si>
    <t>STUDIO A Care+ for iPadPro 整新機 ($3,690)</t>
  </si>
  <si>
    <t>STUDIO A Care+ for iPhone 續保機 ($3,690)</t>
  </si>
  <si>
    <t>STUDIO A Care+ for iPad 續保機 ($2,690)</t>
  </si>
  <si>
    <t>STUDIO A Care+ for iPadPro 續保機 ($3,690)</t>
  </si>
  <si>
    <t>STUDIO A Care for Mac C (50001~80000 $4,690)</t>
  </si>
  <si>
    <t>STUDIO A Care for Mac D (80001以上 $6,690)</t>
  </si>
  <si>
    <t>STUDIO A Care for Watch ($1,990)</t>
  </si>
  <si>
    <t>STUDIO A Care+ for iPhone X 整新機 ($4,690)</t>
  </si>
  <si>
    <t>從下欄開始貼上</t>
    <phoneticPr fontId="2" type="noConversion"/>
  </si>
  <si>
    <t>今日</t>
    <phoneticPr fontId="2" type="noConversion"/>
  </si>
  <si>
    <t>e筆app數量</t>
    <phoneticPr fontId="2" type="noConversion"/>
  </si>
  <si>
    <t>包膜金額</t>
    <phoneticPr fontId="2" type="noConversion"/>
  </si>
  <si>
    <t>e筆App數</t>
    <phoneticPr fontId="2" type="noConversion"/>
  </si>
  <si>
    <t>毛利額</t>
    <phoneticPr fontId="2" type="noConversion"/>
  </si>
  <si>
    <t>STUDIO A Care+ for iPhone X/XS/XS MAX 續保機 ($3,752)</t>
  </si>
  <si>
    <t>STUDIO A Care for iPhone X/XS/XS MAX 檢測新機 ($4,690)</t>
  </si>
  <si>
    <t>STUDIO A Care for iPad/iPad Mini 檢測新機 ($2,690)</t>
  </si>
  <si>
    <t>STUDIO A Care for iPad Pro 檢測新機 ($3,690)</t>
  </si>
  <si>
    <t>99900367</t>
    <phoneticPr fontId="20" type="noConversion"/>
  </si>
  <si>
    <t>99900368</t>
    <phoneticPr fontId="20" type="noConversion"/>
  </si>
  <si>
    <t>99900415</t>
    <phoneticPr fontId="20" type="noConversion"/>
  </si>
  <si>
    <t>99900416</t>
    <phoneticPr fontId="20" type="noConversion"/>
  </si>
  <si>
    <t>99900421</t>
    <phoneticPr fontId="20" type="noConversion"/>
  </si>
  <si>
    <t>99900876</t>
    <phoneticPr fontId="20" type="noConversion"/>
  </si>
  <si>
    <t>99900877</t>
    <phoneticPr fontId="20" type="noConversion"/>
  </si>
  <si>
    <t>99900878</t>
    <phoneticPr fontId="20" type="noConversion"/>
  </si>
  <si>
    <t>99900879</t>
    <phoneticPr fontId="20" type="noConversion"/>
  </si>
  <si>
    <t>99900881</t>
    <phoneticPr fontId="20" type="noConversion"/>
  </si>
  <si>
    <t>99900882</t>
    <phoneticPr fontId="20" type="noConversion"/>
  </si>
  <si>
    <t>99900883</t>
    <phoneticPr fontId="20" type="noConversion"/>
  </si>
  <si>
    <t>99900960</t>
    <phoneticPr fontId="20" type="noConversion"/>
  </si>
  <si>
    <t>99901000</t>
    <phoneticPr fontId="20" type="noConversion"/>
  </si>
  <si>
    <t>99901003</t>
    <phoneticPr fontId="20" type="noConversion"/>
  </si>
  <si>
    <t>999S00367</t>
    <phoneticPr fontId="20" type="noConversion"/>
  </si>
  <si>
    <t>999S00368</t>
    <phoneticPr fontId="20" type="noConversion"/>
  </si>
  <si>
    <t>999S00415</t>
    <phoneticPr fontId="20" type="noConversion"/>
  </si>
  <si>
    <t>999S00416</t>
    <phoneticPr fontId="20" type="noConversion"/>
  </si>
  <si>
    <t>999S00421</t>
    <phoneticPr fontId="20" type="noConversion"/>
  </si>
  <si>
    <t>999S00876</t>
    <phoneticPr fontId="20" type="noConversion"/>
  </si>
  <si>
    <t>999S00877</t>
    <phoneticPr fontId="20" type="noConversion"/>
  </si>
  <si>
    <t>999S00878</t>
    <phoneticPr fontId="20" type="noConversion"/>
  </si>
  <si>
    <t>999S00879</t>
    <phoneticPr fontId="20" type="noConversion"/>
  </si>
  <si>
    <t>999S00881</t>
    <phoneticPr fontId="20" type="noConversion"/>
  </si>
  <si>
    <t>999S00882</t>
    <phoneticPr fontId="20" type="noConversion"/>
  </si>
  <si>
    <t>999S00883</t>
    <phoneticPr fontId="20" type="noConversion"/>
  </si>
  <si>
    <t>999S00960</t>
    <phoneticPr fontId="20" type="noConversion"/>
  </si>
  <si>
    <t>999S01000</t>
    <phoneticPr fontId="20" type="noConversion"/>
  </si>
  <si>
    <t>999S01003</t>
    <phoneticPr fontId="20" type="noConversion"/>
  </si>
  <si>
    <t>99901066</t>
    <phoneticPr fontId="20" type="noConversion"/>
  </si>
  <si>
    <t>999S01066</t>
    <phoneticPr fontId="20" type="noConversion"/>
  </si>
  <si>
    <t>99901068</t>
    <phoneticPr fontId="20" type="noConversion"/>
  </si>
  <si>
    <t>STUDIO A Care for iPhone 檢測新機 ($3,690)</t>
  </si>
  <si>
    <t>99901083</t>
    <phoneticPr fontId="20" type="noConversion"/>
  </si>
  <si>
    <t>99901067</t>
    <phoneticPr fontId="20" type="noConversion"/>
  </si>
  <si>
    <t>99901069</t>
    <phoneticPr fontId="20" type="noConversion"/>
  </si>
  <si>
    <t>999S01068</t>
    <phoneticPr fontId="20" type="noConversion"/>
  </si>
  <si>
    <t>999S01083</t>
    <phoneticPr fontId="20" type="noConversion"/>
  </si>
  <si>
    <t>999S01067</t>
    <phoneticPr fontId="20" type="noConversion"/>
  </si>
  <si>
    <t>999S01069</t>
    <phoneticPr fontId="20" type="noConversion"/>
  </si>
  <si>
    <t>99901102</t>
    <phoneticPr fontId="20" type="noConversion"/>
  </si>
  <si>
    <t>STUDIO A Care for iPad Pro ($2,990)</t>
  </si>
  <si>
    <t>99901103</t>
    <phoneticPr fontId="20" type="noConversion"/>
  </si>
  <si>
    <t>STUDIO A Care for iPad Pro 檢測新機 ($2,990)</t>
  </si>
  <si>
    <t>99901104</t>
    <phoneticPr fontId="20" type="noConversion"/>
  </si>
  <si>
    <t>STUDIO A Care+ for iPad Pro 整新機 ($2,990)</t>
  </si>
  <si>
    <t>99901105</t>
    <phoneticPr fontId="20" type="noConversion"/>
  </si>
  <si>
    <t>STUDIO A Care+ for iPad Pro 續保機 ($2,392)</t>
  </si>
  <si>
    <t>999S01102</t>
    <phoneticPr fontId="20" type="noConversion"/>
  </si>
  <si>
    <t>999S01103</t>
    <phoneticPr fontId="20" type="noConversion"/>
  </si>
  <si>
    <t>999S01104</t>
    <phoneticPr fontId="20" type="noConversion"/>
  </si>
  <si>
    <t>999S01105</t>
    <phoneticPr fontId="20" type="noConversion"/>
  </si>
  <si>
    <t>S.A CARE 2.0 for iPhone 7/8 二年期 ($3,790)</t>
    <phoneticPr fontId="21" type="noConversion"/>
  </si>
  <si>
    <t>S.A CARE 2.0 for iPhone 7+/8+/XR 二年期 ($4,690)</t>
  </si>
  <si>
    <t>S.A CARE 2.0 for iPhone XS/XS MAX 二年期 ($6,590)</t>
  </si>
  <si>
    <t>S.A CARE 2.0 for iPad/iPad Air/iPad Mini 二年期 ($1,990)</t>
    <phoneticPr fontId="21" type="noConversion"/>
  </si>
  <si>
    <t>S.A CARE 2.0 for iPad Pro 二年期 ($3,490)</t>
  </si>
  <si>
    <t>S.A CARE 2.0 for Apple Watch S3 二年期 ($1,690)</t>
  </si>
  <si>
    <t>S.A CARE 2.0 for Apple Watch S4 二年期 ($2,390)</t>
  </si>
  <si>
    <t>S.A CARE 2.0 for MacBook/MacBook Air 三年期 ($7,190)</t>
  </si>
  <si>
    <t>S.A CARE 2.0 for MacBook Pro 13吋 三年期 ($8,090)</t>
  </si>
  <si>
    <t>S.A CARE 2.0 for MacBook Pro 15吋 三年期 ($11,090)</t>
  </si>
  <si>
    <t>S.A CARE 2.0 for iPhone 7/8 檢測新機 二年期 ($3,790)</t>
  </si>
  <si>
    <t>S.A CARE 2.0 for iPhone 7+/8+/XR 檢測新機 二年期 ($4,690)</t>
    <phoneticPr fontId="21" type="noConversion"/>
  </si>
  <si>
    <t>S.A CARE 2.0 for iPhone XS/XS MAX 檢測新機 二年期 ($6,590)</t>
    <phoneticPr fontId="21" type="noConversion"/>
  </si>
  <si>
    <t>S.A CARE 2.0 for iPad/iPad Air/iPad Mini 檢測新機 二年期 ($1,990)</t>
    <phoneticPr fontId="21" type="noConversion"/>
  </si>
  <si>
    <t>S.A CARE 2.0 for iPad Pro 檢測新機 二年期 ($3,490)</t>
  </si>
  <si>
    <t>S.A CARE 2.0 for iPhone 7/8 一年期 ($2,590)</t>
    <phoneticPr fontId="21" type="noConversion"/>
  </si>
  <si>
    <t>S.A CARE 2.0 for iPhone 7+/8+/XR 一年期 ($3,290)</t>
    <phoneticPr fontId="21" type="noConversion"/>
  </si>
  <si>
    <t>S.A CARE 2.0 for iPhone XS/XS MAX 一年期 ($4,390)</t>
    <phoneticPr fontId="21" type="noConversion"/>
  </si>
  <si>
    <t>S.A CARE 2.0 for iPad/iPad Air/iPad Mini 一年期 ($1,590)</t>
    <phoneticPr fontId="21" type="noConversion"/>
  </si>
  <si>
    <t>S.A CARE 2.0 for iPad Pro 一年期 ($2,590)</t>
    <phoneticPr fontId="21" type="noConversion"/>
  </si>
  <si>
    <t>S.A CARE 2.0 for Apple Watch S3 一年期 ($1,290)</t>
    <phoneticPr fontId="21" type="noConversion"/>
  </si>
  <si>
    <t>S.A CARE 2.0 for Apple Watch S4 一年期 ($1,690)</t>
    <phoneticPr fontId="21" type="noConversion"/>
  </si>
  <si>
    <t>S.A CARE 2.0 for MacBook/MacBook Air 一年期 ($4,690)</t>
    <phoneticPr fontId="21" type="noConversion"/>
  </si>
  <si>
    <t>S.A CARE 2.0 for MacBook Pro 13吋 一年期 ($5,290)</t>
    <phoneticPr fontId="21" type="noConversion"/>
  </si>
  <si>
    <t>S.A CARE 2.0 for MacBook Pro 15吋  一年期 ($6,990)</t>
    <phoneticPr fontId="21" type="noConversion"/>
  </si>
  <si>
    <t>S.A CARE 2.0 for iPhone 7/8 檢測新機 一年期 ($2,590)</t>
    <phoneticPr fontId="21" type="noConversion"/>
  </si>
  <si>
    <t>S.A CARE 2.0 for iPhone 7+/8+/XR 檢測新機 一年期 ($3,290)</t>
    <phoneticPr fontId="21" type="noConversion"/>
  </si>
  <si>
    <t>S.A CARE 2.0 for iPhone XS/XS MAX 檢測新機 一年期 ($4,390)</t>
    <phoneticPr fontId="21" type="noConversion"/>
  </si>
  <si>
    <t>S.A CARE 2.0 for iPad/iPad Air/iPad Mini 檢測新機 一年期 ($1,590)</t>
    <phoneticPr fontId="21" type="noConversion"/>
  </si>
  <si>
    <t>S.A CARE 2.0 for iPad Pro 檢測新機 一年期 ($2,590)</t>
    <phoneticPr fontId="21" type="noConversion"/>
  </si>
  <si>
    <t>S.A CARE 2.0 for Apple Watch S3 檢測新機 二年期 ($1690)</t>
  </si>
  <si>
    <t>99901184</t>
  </si>
  <si>
    <t>S.A CARE 2.0 for Apple Watch S4 檢測新機 二年期 ($2390)</t>
  </si>
  <si>
    <t>99901185</t>
  </si>
  <si>
    <t>S.A CARE 2.0 for MacBook/MacBook Air 檢測新機 三年期 ($7190)</t>
  </si>
  <si>
    <t>99901186</t>
  </si>
  <si>
    <t>S.A CARE 2.0 for MacBook Pro 13吋 檢測新機 三年期 ($8090)</t>
  </si>
  <si>
    <t>99901187</t>
  </si>
  <si>
    <t>S.A CARE 2.0 for MacBook Pro 15吋 檢測新機 三年期 ($11090)</t>
  </si>
  <si>
    <t>99901188</t>
  </si>
  <si>
    <t>S.A CARE 2.0 for Apple Watch S3 檢測新機 一年期 ($1290)</t>
  </si>
  <si>
    <t>99901189</t>
  </si>
  <si>
    <t>S.A CARE 2.0 for Apple Watch S4 檢測新機 一年期 ($1690)</t>
  </si>
  <si>
    <t>99901190</t>
  </si>
  <si>
    <t>S.A CARE 2.0 for MacBook/MacBook Air 檢測新機 一年期 ($4690)</t>
  </si>
  <si>
    <t>99901191</t>
  </si>
  <si>
    <t>S.A CARE 2.0 for MacBook Pro 13吋 檢測新機 一年期 ($5290)</t>
  </si>
  <si>
    <t>99901192</t>
  </si>
  <si>
    <t>S.A CARE 2.0 for MacBook Pro 15吋 檢測新機 一年期 ($6990)</t>
  </si>
  <si>
    <t>99901193</t>
  </si>
  <si>
    <t>S.A CARE 2.0 for iPhone 7/8 整新機/續保機 一年期 ($2590)</t>
  </si>
  <si>
    <t>99901194</t>
  </si>
  <si>
    <t>S.A CARE 2.0 for iPhone 7+/8+/XR 整新機/續保機 一年期 ($3290)</t>
  </si>
  <si>
    <t>99901195</t>
  </si>
  <si>
    <t>S.A CARE 2.0 for iPhone XS/XS MAX 整新機/續保機 一年期 ($4390)</t>
  </si>
  <si>
    <t>99901196</t>
  </si>
  <si>
    <t>S.A CARE 2.0 for iPad/iPad Air/iPad Mini 整新機/續保機 一年期 ($1590)</t>
  </si>
  <si>
    <t>99901197</t>
  </si>
  <si>
    <t>S.A CARE 2.0 for iPad Pro 整新機/續保機 一年期 ($2590)</t>
  </si>
  <si>
    <t>99901198</t>
  </si>
  <si>
    <t>S.A CARE 2.0 for Apple Watch S3 整新機/續保機 一年期 ($1290)</t>
  </si>
  <si>
    <t>99901199</t>
  </si>
  <si>
    <t>S.A CARE 2.0 for Apple Watch S4 整新機/續保機 一年期 ($1690)</t>
  </si>
  <si>
    <t>99901200</t>
  </si>
  <si>
    <t>S.A CARE 2.0 for MacBook/MacBook Air 續保機 一年期 ($4690)</t>
  </si>
  <si>
    <t>99901201</t>
  </si>
  <si>
    <t>S.A CARE 2.0 for MacBook Pro 13吋 續保機 一年期 ($5290)</t>
  </si>
  <si>
    <t>99901202</t>
  </si>
  <si>
    <t>S.A CARE 2.0 for MacBook Pro 15吋 續保機 一年期 ($6990)</t>
  </si>
  <si>
    <t>舊SA Care for Watch 數量</t>
    <phoneticPr fontId="2" type="noConversion"/>
  </si>
  <si>
    <t>99901158</t>
    <phoneticPr fontId="2" type="noConversion"/>
  </si>
  <si>
    <t>99901167</t>
    <phoneticPr fontId="2" type="noConversion"/>
  </si>
  <si>
    <t>99901166</t>
    <phoneticPr fontId="2" type="noConversion"/>
  </si>
  <si>
    <t>99901179</t>
    <phoneticPr fontId="2" type="noConversion"/>
  </si>
  <si>
    <t>99901180</t>
    <phoneticPr fontId="2" type="noConversion"/>
  </si>
  <si>
    <t>99901178</t>
    <phoneticPr fontId="2" type="noConversion"/>
  </si>
  <si>
    <t>99901177</t>
    <phoneticPr fontId="2" type="noConversion"/>
  </si>
  <si>
    <t>99901176</t>
    <phoneticPr fontId="2" type="noConversion"/>
  </si>
  <si>
    <t>99901175</t>
    <phoneticPr fontId="2" type="noConversion"/>
  </si>
  <si>
    <t>99901174</t>
    <phoneticPr fontId="2" type="noConversion"/>
  </si>
  <si>
    <t>99901173</t>
    <phoneticPr fontId="2" type="noConversion"/>
  </si>
  <si>
    <t>99901172</t>
    <phoneticPr fontId="2" type="noConversion"/>
  </si>
  <si>
    <t>99901171</t>
    <phoneticPr fontId="2" type="noConversion"/>
  </si>
  <si>
    <t>99901170</t>
    <phoneticPr fontId="2" type="noConversion"/>
  </si>
  <si>
    <t>99901169</t>
    <phoneticPr fontId="2" type="noConversion"/>
  </si>
  <si>
    <t>99901168</t>
    <phoneticPr fontId="2" type="noConversion"/>
  </si>
  <si>
    <t>99901157</t>
    <phoneticPr fontId="2" type="noConversion"/>
  </si>
  <si>
    <t>99901144</t>
    <phoneticPr fontId="2" type="noConversion"/>
  </si>
  <si>
    <t>99901145</t>
    <phoneticPr fontId="2" type="noConversion"/>
  </si>
  <si>
    <t>99901146</t>
    <phoneticPr fontId="2" type="noConversion"/>
  </si>
  <si>
    <t>99901147</t>
    <phoneticPr fontId="2" type="noConversion"/>
  </si>
  <si>
    <t>99901148</t>
    <phoneticPr fontId="2" type="noConversion"/>
  </si>
  <si>
    <t>99901149</t>
    <phoneticPr fontId="2" type="noConversion"/>
  </si>
  <si>
    <t>99901150</t>
    <phoneticPr fontId="2" type="noConversion"/>
  </si>
  <si>
    <t>99901156</t>
    <phoneticPr fontId="2" type="noConversion"/>
  </si>
  <si>
    <t>99901155</t>
    <phoneticPr fontId="2" type="noConversion"/>
  </si>
  <si>
    <t>99901154</t>
    <phoneticPr fontId="2" type="noConversion"/>
  </si>
  <si>
    <t>99901152</t>
    <phoneticPr fontId="2" type="noConversion"/>
  </si>
  <si>
    <t>99901153</t>
    <phoneticPr fontId="2" type="noConversion"/>
  </si>
  <si>
    <t>99901151</t>
    <phoneticPr fontId="2" type="noConversion"/>
  </si>
  <si>
    <t>6508</t>
  </si>
  <si>
    <t>SA CARE-iOS</t>
  </si>
  <si>
    <t>6509</t>
  </si>
  <si>
    <t>SA CARE-CPU</t>
  </si>
  <si>
    <t>6522</t>
  </si>
  <si>
    <t>SA Care-Apple Watch</t>
  </si>
  <si>
    <t/>
  </si>
  <si>
    <t>Σ</t>
  </si>
  <si>
    <t>999S01147</t>
  </si>
  <si>
    <t>S.A CARE 2.0 for iPad/iPad Air/iPad Mini 二年期 ($1,990)</t>
  </si>
  <si>
    <t>999S01148</t>
  </si>
  <si>
    <t>999S01151</t>
  </si>
  <si>
    <t>999S01152</t>
  </si>
  <si>
    <t>999S01157</t>
  </si>
  <si>
    <t>S.A CARE 2.0 for iPad/iPad Air/iPad Mini 檢測新機 二年期 ($1,990)</t>
  </si>
  <si>
    <t>999S01153</t>
  </si>
  <si>
    <t>999S01158</t>
  </si>
  <si>
    <t>99901742</t>
    <phoneticPr fontId="2" type="noConversion"/>
  </si>
  <si>
    <t>S.A CARE 2.0 for AirPods 1代/2代/AirPods Pro 一年期 ($699)</t>
  </si>
  <si>
    <t>99901743</t>
  </si>
  <si>
    <t>S.A CARE 2.0 for AirPods 1代/2代/AirPods Pro 二年期 ($799)</t>
  </si>
  <si>
    <t>99901744</t>
  </si>
  <si>
    <t>S.A CARE 2.0 for AirPods 1代/2代/AirPods Pro 維修費</t>
  </si>
  <si>
    <t>99901183</t>
  </si>
  <si>
    <t>99901742</t>
  </si>
  <si>
    <t>99901743</t>
    <phoneticPr fontId="2" type="noConversion"/>
  </si>
  <si>
    <t>S.A CARE 2.0 for AirPods 1代/2代/AirPods Pro 一年期 ($799)</t>
    <phoneticPr fontId="2" type="noConversion"/>
  </si>
  <si>
    <t>99901800</t>
  </si>
  <si>
    <t>S.A CARE 2.0 for iPhone SE二代 二年期 ($2,790)</t>
  </si>
  <si>
    <t>99901802</t>
  </si>
  <si>
    <t>S.A CARE 2.0 for iPhone SE二代 檢測新機 二年期 ($2,790)</t>
  </si>
  <si>
    <t>99901799</t>
  </si>
  <si>
    <t>S.A CARE 2.0 for iPhone SE二代 一年期 ($1,990)</t>
  </si>
  <si>
    <t>SA Care 營業額</t>
    <phoneticPr fontId="2" type="noConversion"/>
  </si>
  <si>
    <t>SA Care 搭售率</t>
    <phoneticPr fontId="2" type="noConversion"/>
  </si>
  <si>
    <t>99901145</t>
  </si>
  <si>
    <t>S.A CARE 2.0 for iPhone 7+/8+/XR/11 二年期 ($4,690)</t>
  </si>
  <si>
    <t>99901146</t>
  </si>
  <si>
    <t>S.A CARE 2.0 for iPhone X/XS/XS Max/11 Pro/11 Pro Max 二年期 ($6,590)</t>
  </si>
  <si>
    <t>99901147</t>
  </si>
  <si>
    <t>99901148</t>
  </si>
  <si>
    <t>99901150</t>
  </si>
  <si>
    <t>S.A CARE 2.0 for Apple Watch S4/S5 二年期 ($2,390)</t>
  </si>
  <si>
    <t>99901151</t>
  </si>
  <si>
    <t>99901153</t>
  </si>
  <si>
    <t>S.A CARE 2.0 for MacBook Pro 15吋/16吋 三年期 ($11,090)</t>
  </si>
  <si>
    <t>99901155</t>
  </si>
  <si>
    <t>S.A CARE 2.0 for iPhone 7+/8+/XR/11 檢測新機 二年期 ($4,690)</t>
  </si>
  <si>
    <t>99901157</t>
  </si>
  <si>
    <t>99901158</t>
  </si>
  <si>
    <t>99901159</t>
  </si>
  <si>
    <t>S.A CARE 2.0 for iPhone 維修費</t>
  </si>
  <si>
    <t>99901160</t>
  </si>
  <si>
    <t>S.A CARE 2.0 for iPad 維修費</t>
  </si>
  <si>
    <t>99901162</t>
  </si>
  <si>
    <t>S.A CARE 2.0 for Watch 維修費</t>
  </si>
  <si>
    <t>99901173</t>
  </si>
  <si>
    <t>S.A CARE 2.0 for MacBook/MacBook Air 一年期 ($4,690)</t>
  </si>
  <si>
    <t>99901181</t>
  </si>
  <si>
    <t>S.A CARE 2.0 for Mac 維修費 (三年期)</t>
  </si>
  <si>
    <t>S.A CARE 2.0 for Apple Watch S4/S5 檢測新機 二年期 ($2,390)</t>
  </si>
  <si>
    <t>S.A CARE 2.0 for MacBook/MacBook Air 檢測新機 三年期 ($7,190)</t>
  </si>
  <si>
    <t>S.A CARE 2.0 for MacBook Pro 15吋/16吋 檢測新機 三年期 ($11,090)</t>
  </si>
  <si>
    <t>S.A CARE 2.0 for iPhone 7+/8+/XR/11 整新機/續保機 一年期 ($3,290)</t>
  </si>
  <si>
    <t>S.A CARE 2.0 for iPhone X/XS/XS Max/11 Pro/11 Pro Max 整新機/續保機 一年期 ($4,390)</t>
  </si>
  <si>
    <t>S.A CARE 2.0 for iPad/iPad Air/iPad Mini 整新機/續保機 一年期 ($1,590)</t>
  </si>
  <si>
    <t>S.A CARE 2.0 for iPad Pro 整新機/續保機 一年期 ($2,590)</t>
  </si>
  <si>
    <t>S.A CARE 2.0 for Apple Watch S3 整新機/續保機 一年期 ($1,290)</t>
  </si>
  <si>
    <t>S.A CARE 2.0 for Apple Watch S4/S5 整新機/續保機 一年期 ($1,690)</t>
  </si>
  <si>
    <t>99901722</t>
  </si>
  <si>
    <t>S.A CARE 2.0 for iMac 延長保固 二年期 $4,090 (MRT32TA/A)</t>
  </si>
  <si>
    <t>99901723</t>
  </si>
  <si>
    <t>S.A CARE 2.0 for iMac 延長保固 二年期 $4,890 (MRQY2TA/A)</t>
  </si>
  <si>
    <t>v2.9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</si>
</sst>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76" formatCode="0_);[Red]\(0\)"/>
    <numFmt numFmtId="177" formatCode="#,##0_ "/>
    <numFmt numFmtId="178" formatCode="0.0%"/>
    <numFmt numFmtId="179" formatCode="_-* #,##0_-;\-* #,##0_-;_-* &quot;-&quot;??_-;_-@_-"/>
    <numFmt numFmtId="180" formatCode="yy/mm/dd"/>
    <numFmt numFmtId="181" formatCode="0&quot; &quot;"/>
  </numFmts>
  <fonts count="2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B0F0"/>
      <name val="新細明體"/>
      <family val="2"/>
      <charset val="136"/>
      <scheme val="minor"/>
    </font>
    <font>
      <sz val="9"/>
      <name val="宋体"/>
      <charset val="134"/>
    </font>
    <font>
      <sz val="12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0"/>
      <color indexed="8"/>
      <name val="新細明體"/>
      <family val="1"/>
      <charset val="136"/>
      <scheme val="minor"/>
    </font>
    <font>
      <sz val="10"/>
      <color rgb="FF000000"/>
      <name val="新細明體"/>
      <family val="3"/>
      <charset val="136"/>
      <scheme val="minor"/>
    </font>
    <font>
      <sz val="10"/>
      <color indexed="8"/>
      <name val="Monaco"/>
      <family val="2"/>
    </font>
    <font>
      <sz val="12"/>
      <color theme="0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1"/>
      <color indexed="8"/>
      <name val="Yuanti TC"/>
      <family val="2"/>
      <charset val="136"/>
    </font>
    <font>
      <sz val="10"/>
      <color indexed="8"/>
      <name val="新細明體"/>
      <family val="1"/>
      <charset val="136"/>
    </font>
    <font>
      <sz val="11"/>
      <color rgb="FF000000"/>
      <name val="Yuanti TC"/>
      <family val="2"/>
      <charset val="136"/>
    </font>
    <font>
      <sz val="11"/>
      <color indexed="8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2"/>
      <color rgb="FF000000"/>
      <name val="Helvetica"/>
      <family val="2"/>
    </font>
    <font>
      <sz val="9"/>
      <name val="Arial"/>
      <family val="2"/>
    </font>
    <font>
      <sz val="9"/>
      <name val="Wawati TC"/>
      <family val="3"/>
      <charset val="136"/>
    </font>
    <font>
      <sz val="12"/>
      <color rgb="FF000000"/>
      <name val="新細明體"/>
      <family val="1"/>
      <charset val="136"/>
    </font>
    <font>
      <sz val="8"/>
      <name val="Arial"/>
      <family val="2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indexed="43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3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>
      <alignment vertical="center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0" borderId="0"/>
  </cellStyleXfs>
  <cellXfs count="89">
    <xf numFmtId="0" fontId="0" fillId="0" borderId="0" xfId="0"/>
    <xf numFmtId="0" fontId="3" fillId="2" borderId="0" xfId="0" applyFont="1" applyFill="1"/>
    <xf numFmtId="0" fontId="6" fillId="3" borderId="2" xfId="3" applyFont="1" applyFill="1" applyBorder="1" applyAlignment="1" applyProtection="1">
      <alignment vertical="center"/>
      <protection locked="0"/>
    </xf>
    <xf numFmtId="176" fontId="5" fillId="3" borderId="2" xfId="3" applyNumberFormat="1" applyFont="1" applyFill="1" applyBorder="1" applyAlignment="1" applyProtection="1">
      <alignment horizontal="right" vertical="center"/>
      <protection locked="0"/>
    </xf>
    <xf numFmtId="176" fontId="5" fillId="3" borderId="2" xfId="0" applyNumberFormat="1" applyFont="1" applyFill="1" applyBorder="1" applyAlignment="1" applyProtection="1">
      <alignment vertical="center"/>
      <protection locked="0"/>
    </xf>
    <xf numFmtId="0" fontId="5" fillId="4" borderId="3" xfId="3" applyFont="1" applyFill="1" applyBorder="1" applyAlignment="1" applyProtection="1">
      <alignment vertical="center"/>
      <protection locked="0"/>
    </xf>
    <xf numFmtId="176" fontId="5" fillId="3" borderId="1" xfId="3" applyNumberFormat="1" applyFont="1" applyFill="1" applyBorder="1" applyAlignment="1" applyProtection="1">
      <alignment vertical="center"/>
      <protection locked="0"/>
    </xf>
    <xf numFmtId="176" fontId="5" fillId="4" borderId="4" xfId="0" applyNumberFormat="1" applyFont="1" applyFill="1" applyBorder="1" applyAlignment="1" applyProtection="1">
      <alignment vertical="center"/>
      <protection locked="0"/>
    </xf>
    <xf numFmtId="0" fontId="7" fillId="0" borderId="3" xfId="0" applyNumberFormat="1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 applyProtection="1">
      <alignment horizontal="right" vertical="center"/>
      <protection locked="0"/>
    </xf>
    <xf numFmtId="177" fontId="7" fillId="0" borderId="1" xfId="0" applyNumberFormat="1" applyFont="1" applyFill="1" applyBorder="1" applyAlignment="1" applyProtection="1">
      <alignment horizontal="right" vertical="center"/>
    </xf>
    <xf numFmtId="178" fontId="7" fillId="0" borderId="1" xfId="0" applyNumberFormat="1" applyFont="1" applyFill="1" applyBorder="1" applyAlignment="1">
      <alignment horizontal="right" vertical="center"/>
    </xf>
    <xf numFmtId="0" fontId="8" fillId="0" borderId="3" xfId="0" applyFont="1" applyBorder="1" applyAlignment="1">
      <alignment vertical="center"/>
    </xf>
    <xf numFmtId="177" fontId="7" fillId="0" borderId="1" xfId="1" applyNumberFormat="1" applyFont="1" applyFill="1" applyBorder="1" applyAlignment="1" applyProtection="1">
      <alignment horizontal="right" vertical="center"/>
    </xf>
    <xf numFmtId="177" fontId="7" fillId="4" borderId="1" xfId="0" applyNumberFormat="1" applyFont="1" applyFill="1" applyBorder="1" applyAlignment="1" applyProtection="1">
      <alignment horizontal="right" vertical="center"/>
      <protection locked="0"/>
    </xf>
    <xf numFmtId="178" fontId="7" fillId="0" borderId="1" xfId="0" applyNumberFormat="1" applyFont="1" applyFill="1" applyBorder="1" applyAlignment="1" applyProtection="1">
      <alignment horizontal="right" vertical="center"/>
    </xf>
    <xf numFmtId="176" fontId="7" fillId="3" borderId="1" xfId="0" applyNumberFormat="1" applyFont="1" applyFill="1" applyBorder="1" applyAlignment="1" applyProtection="1">
      <alignment horizontal="right" vertical="center"/>
      <protection locked="0"/>
    </xf>
    <xf numFmtId="176" fontId="7" fillId="4" borderId="1" xfId="0" applyNumberFormat="1" applyFont="1" applyFill="1" applyBorder="1" applyAlignment="1" applyProtection="1">
      <alignment horizontal="right" vertical="center"/>
      <protection locked="0"/>
    </xf>
    <xf numFmtId="179" fontId="7" fillId="3" borderId="1" xfId="1" applyNumberFormat="1" applyFont="1" applyFill="1" applyBorder="1" applyAlignment="1" applyProtection="1">
      <alignment horizontal="right" vertical="center"/>
      <protection locked="0"/>
    </xf>
    <xf numFmtId="179" fontId="7" fillId="0" borderId="1" xfId="1" applyNumberFormat="1" applyFont="1" applyFill="1" applyBorder="1" applyAlignment="1" applyProtection="1">
      <alignment horizontal="right" vertical="center"/>
    </xf>
    <xf numFmtId="10" fontId="7" fillId="0" borderId="1" xfId="0" applyNumberFormat="1" applyFont="1" applyFill="1" applyBorder="1" applyAlignment="1">
      <alignment horizontal="right" vertical="center"/>
    </xf>
    <xf numFmtId="178" fontId="7" fillId="0" borderId="1" xfId="2" applyNumberFormat="1" applyFont="1" applyFill="1" applyBorder="1" applyAlignment="1">
      <alignment horizontal="right" vertical="center"/>
    </xf>
    <xf numFmtId="177" fontId="7" fillId="0" borderId="1" xfId="0" applyNumberFormat="1" applyFont="1" applyFill="1" applyBorder="1" applyAlignment="1">
      <alignment horizontal="right" vertical="center"/>
    </xf>
    <xf numFmtId="0" fontId="7" fillId="6" borderId="1" xfId="0" applyNumberFormat="1" applyFont="1" applyFill="1" applyBorder="1" applyAlignment="1">
      <alignment horizontal="center" vertical="center"/>
    </xf>
    <xf numFmtId="0" fontId="7" fillId="6" borderId="4" xfId="0" applyNumberFormat="1" applyFont="1" applyFill="1" applyBorder="1" applyAlignment="1">
      <alignment horizontal="center" vertical="center"/>
    </xf>
    <xf numFmtId="178" fontId="7" fillId="6" borderId="4" xfId="0" applyNumberFormat="1" applyFont="1" applyFill="1" applyBorder="1" applyAlignment="1">
      <alignment horizontal="right" vertical="center"/>
    </xf>
    <xf numFmtId="178" fontId="7" fillId="6" borderId="4" xfId="0" applyNumberFormat="1" applyFont="1" applyFill="1" applyBorder="1" applyAlignment="1" applyProtection="1">
      <alignment horizontal="right" vertical="center"/>
    </xf>
    <xf numFmtId="10" fontId="7" fillId="6" borderId="1" xfId="0" applyNumberFormat="1" applyFont="1" applyFill="1" applyBorder="1" applyAlignment="1">
      <alignment horizontal="right" vertical="center"/>
    </xf>
    <xf numFmtId="177" fontId="7" fillId="6" borderId="1" xfId="1" applyNumberFormat="1" applyFont="1" applyFill="1" applyBorder="1" applyAlignment="1">
      <alignment horizontal="right" vertical="center"/>
    </xf>
    <xf numFmtId="0" fontId="10" fillId="0" borderId="0" xfId="0" applyFont="1"/>
    <xf numFmtId="0" fontId="0" fillId="7" borderId="0" xfId="0" applyFill="1"/>
    <xf numFmtId="0" fontId="3" fillId="8" borderId="0" xfId="0" applyFont="1" applyFill="1"/>
    <xf numFmtId="0" fontId="3" fillId="9" borderId="0" xfId="0" applyFont="1" applyFill="1"/>
    <xf numFmtId="0" fontId="13" fillId="0" borderId="0" xfId="0" applyFont="1"/>
    <xf numFmtId="180" fontId="10" fillId="0" borderId="0" xfId="0" applyNumberFormat="1" applyFont="1"/>
    <xf numFmtId="0" fontId="16" fillId="0" borderId="0" xfId="0" applyFont="1"/>
    <xf numFmtId="178" fontId="7" fillId="6" borderId="1" xfId="1" applyNumberFormat="1" applyFont="1" applyFill="1" applyBorder="1" applyAlignment="1">
      <alignment horizontal="right" vertical="center"/>
    </xf>
    <xf numFmtId="49" fontId="0" fillId="0" borderId="0" xfId="0" applyNumberFormat="1"/>
    <xf numFmtId="177" fontId="0" fillId="0" borderId="0" xfId="0" applyNumberFormat="1"/>
    <xf numFmtId="0" fontId="5" fillId="5" borderId="1" xfId="3" applyFont="1" applyFill="1" applyBorder="1" applyAlignment="1">
      <alignment vertical="center"/>
    </xf>
    <xf numFmtId="0" fontId="5" fillId="5" borderId="1" xfId="3" applyFont="1" applyFill="1" applyBorder="1" applyAlignment="1">
      <alignment horizontal="right" vertical="center"/>
    </xf>
    <xf numFmtId="0" fontId="5" fillId="5" borderId="1" xfId="0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vertical="center"/>
    </xf>
    <xf numFmtId="177" fontId="7" fillId="0" borderId="1" xfId="0" applyNumberFormat="1" applyFont="1" applyFill="1" applyBorder="1" applyAlignment="1" applyProtection="1">
      <alignment horizontal="right" vertical="center"/>
      <protection locked="0"/>
    </xf>
    <xf numFmtId="0" fontId="14" fillId="10" borderId="1" xfId="0" applyNumberFormat="1" applyFont="1" applyFill="1" applyBorder="1" applyAlignment="1">
      <alignment vertical="center"/>
    </xf>
    <xf numFmtId="0" fontId="5" fillId="5" borderId="5" xfId="3" applyFont="1" applyFill="1" applyBorder="1" applyAlignment="1">
      <alignment vertical="center"/>
    </xf>
    <xf numFmtId="0" fontId="5" fillId="5" borderId="2" xfId="3" applyFont="1" applyFill="1" applyBorder="1" applyAlignment="1">
      <alignment vertical="center"/>
    </xf>
    <xf numFmtId="0" fontId="5" fillId="5" borderId="6" xfId="0" applyFont="1" applyFill="1" applyBorder="1" applyAlignment="1">
      <alignment horizontal="right" vertical="center"/>
    </xf>
    <xf numFmtId="0" fontId="5" fillId="5" borderId="3" xfId="3" applyFont="1" applyFill="1" applyBorder="1" applyAlignment="1">
      <alignment vertical="center"/>
    </xf>
    <xf numFmtId="10" fontId="5" fillId="5" borderId="4" xfId="0" applyNumberFormat="1" applyFont="1" applyFill="1" applyBorder="1" applyAlignment="1">
      <alignment vertical="center"/>
    </xf>
    <xf numFmtId="0" fontId="18" fillId="0" borderId="3" xfId="0" applyNumberFormat="1" applyFont="1" applyFill="1" applyBorder="1" applyAlignment="1">
      <alignment vertical="center"/>
    </xf>
    <xf numFmtId="0" fontId="1" fillId="0" borderId="1" xfId="32" applyBorder="1"/>
    <xf numFmtId="0" fontId="1" fillId="0" borderId="1" xfId="33" applyBorder="1"/>
    <xf numFmtId="0" fontId="0" fillId="0" borderId="0" xfId="0" applyFill="1"/>
    <xf numFmtId="49" fontId="0" fillId="0" borderId="1" xfId="32" applyNumberFormat="1" applyFont="1" applyBorder="1"/>
    <xf numFmtId="0" fontId="23" fillId="0" borderId="1" xfId="0" applyFont="1" applyBorder="1"/>
    <xf numFmtId="4" fontId="23" fillId="0" borderId="1" xfId="0" applyNumberFormat="1" applyFont="1" applyBorder="1"/>
    <xf numFmtId="0" fontId="24" fillId="0" borderId="1" xfId="0" applyFont="1" applyBorder="1"/>
    <xf numFmtId="0" fontId="1" fillId="0" borderId="10" xfId="33" applyBorder="1"/>
    <xf numFmtId="49" fontId="1" fillId="0" borderId="1" xfId="32" applyNumberFormat="1" applyBorder="1"/>
    <xf numFmtId="181" fontId="14" fillId="3" borderId="1" xfId="0" applyNumberFormat="1" applyFont="1" applyFill="1" applyBorder="1" applyAlignment="1">
      <alignment horizontal="left" vertical="center"/>
    </xf>
    <xf numFmtId="181" fontId="15" fillId="3" borderId="1" xfId="0" applyNumberFormat="1" applyFont="1" applyFill="1" applyBorder="1" applyAlignment="1">
      <alignment horizontal="left" vertical="center"/>
    </xf>
    <xf numFmtId="181" fontId="15" fillId="3" borderId="4" xfId="0" applyNumberFormat="1" applyFont="1" applyFill="1" applyBorder="1" applyAlignment="1">
      <alignment horizontal="left" vertical="center"/>
    </xf>
    <xf numFmtId="181" fontId="0" fillId="3" borderId="1" xfId="0" applyNumberFormat="1" applyFont="1" applyFill="1" applyBorder="1" applyAlignment="1">
      <alignment horizontal="left" vertical="center"/>
    </xf>
    <xf numFmtId="181" fontId="0" fillId="3" borderId="4" xfId="0" applyNumberFormat="1" applyFont="1" applyFill="1" applyBorder="1" applyAlignment="1">
      <alignment horizontal="left" vertical="center"/>
    </xf>
    <xf numFmtId="49" fontId="17" fillId="10" borderId="3" xfId="0" applyNumberFormat="1" applyFont="1" applyFill="1" applyBorder="1" applyAlignment="1">
      <alignment horizontal="left" vertical="center"/>
    </xf>
    <xf numFmtId="49" fontId="17" fillId="10" borderId="1" xfId="0" applyNumberFormat="1" applyFont="1" applyFill="1" applyBorder="1" applyAlignment="1">
      <alignment horizontal="left" vertical="center"/>
    </xf>
    <xf numFmtId="49" fontId="17" fillId="10" borderId="7" xfId="0" applyNumberFormat="1" applyFont="1" applyFill="1" applyBorder="1" applyAlignment="1">
      <alignment horizontal="left" vertical="center"/>
    </xf>
    <xf numFmtId="49" fontId="17" fillId="10" borderId="8" xfId="0" applyNumberFormat="1" applyFont="1" applyFill="1" applyBorder="1" applyAlignment="1">
      <alignment horizontal="left" vertical="center"/>
    </xf>
    <xf numFmtId="49" fontId="15" fillId="3" borderId="1" xfId="0" applyNumberFormat="1" applyFont="1" applyFill="1" applyBorder="1" applyAlignment="1">
      <alignment horizontal="left" vertical="top" wrapText="1"/>
    </xf>
    <xf numFmtId="49" fontId="15" fillId="3" borderId="4" xfId="0" applyNumberFormat="1" applyFont="1" applyFill="1" applyBorder="1" applyAlignment="1">
      <alignment horizontal="left" vertical="top" wrapText="1"/>
    </xf>
    <xf numFmtId="49" fontId="15" fillId="3" borderId="8" xfId="0" applyNumberFormat="1" applyFont="1" applyFill="1" applyBorder="1" applyAlignment="1">
      <alignment horizontal="left" vertical="top" wrapText="1"/>
    </xf>
    <xf numFmtId="49" fontId="15" fillId="3" borderId="9" xfId="0" applyNumberFormat="1" applyFont="1" applyFill="1" applyBorder="1" applyAlignment="1">
      <alignment horizontal="left" vertical="top" wrapText="1"/>
    </xf>
    <xf numFmtId="49" fontId="0" fillId="0" borderId="1" xfId="0" applyNumberFormat="1" applyBorder="1"/>
    <xf numFmtId="0" fontId="0" fillId="0" borderId="1" xfId="0" applyBorder="1"/>
    <xf numFmtId="0" fontId="18" fillId="0" borderId="1" xfId="32" applyFont="1" applyBorder="1"/>
    <xf numFmtId="0" fontId="7" fillId="0" borderId="3" xfId="0" applyFont="1" applyBorder="1" applyAlignment="1">
      <alignment vertical="center"/>
    </xf>
    <xf numFmtId="10" fontId="7" fillId="0" borderId="1" xfId="0" applyNumberFormat="1" applyFont="1" applyBorder="1" applyAlignment="1">
      <alignment horizontal="right" vertical="center"/>
    </xf>
    <xf numFmtId="178" fontId="7" fillId="0" borderId="1" xfId="0" applyNumberFormat="1" applyFont="1" applyBorder="1" applyAlignment="1">
      <alignment horizontal="right" vertical="center"/>
    </xf>
    <xf numFmtId="0" fontId="7" fillId="0" borderId="12" xfId="0" applyNumberFormat="1" applyFont="1" applyFill="1" applyBorder="1" applyAlignment="1">
      <alignment vertical="center"/>
    </xf>
    <xf numFmtId="177" fontId="7" fillId="3" borderId="13" xfId="0" applyNumberFormat="1" applyFont="1" applyFill="1" applyBorder="1" applyAlignment="1" applyProtection="1">
      <alignment horizontal="right" vertical="center"/>
      <protection locked="0"/>
    </xf>
    <xf numFmtId="177" fontId="7" fillId="4" borderId="13" xfId="0" applyNumberFormat="1" applyFont="1" applyFill="1" applyBorder="1" applyAlignment="1" applyProtection="1">
      <alignment horizontal="right" vertical="center"/>
      <protection locked="0"/>
    </xf>
    <xf numFmtId="178" fontId="7" fillId="0" borderId="13" xfId="0" applyNumberFormat="1" applyFont="1" applyFill="1" applyBorder="1" applyAlignment="1">
      <alignment horizontal="right" vertical="center"/>
    </xf>
    <xf numFmtId="178" fontId="7" fillId="6" borderId="14" xfId="0" applyNumberFormat="1" applyFont="1" applyFill="1" applyBorder="1" applyAlignment="1">
      <alignment horizontal="right" vertical="center"/>
    </xf>
    <xf numFmtId="0" fontId="0" fillId="0" borderId="0" xfId="0" applyBorder="1"/>
    <xf numFmtId="0" fontId="0" fillId="0" borderId="11" xfId="0" applyBorder="1"/>
    <xf numFmtId="0" fontId="24" fillId="11" borderId="1" xfId="0" applyFont="1" applyFill="1" applyBorder="1"/>
    <xf numFmtId="4" fontId="24" fillId="11" borderId="1" xfId="0" applyNumberFormat="1" applyFont="1" applyFill="1" applyBorder="1"/>
  </cellXfs>
  <cellStyles count="34">
    <cellStyle name="一般" xfId="0" builtinId="0"/>
    <cellStyle name="一般 2" xfId="32" xr:uid="{00000000-0005-0000-0000-000001000000}"/>
    <cellStyle name="一般 3" xfId="33" xr:uid="{00000000-0005-0000-0000-000002000000}"/>
    <cellStyle name="千分位" xfId="1" builtinId="3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百分比" xfId="2" builtinId="5"/>
    <cellStyle name="常规_金鹰天地店" xfId="3" xr:uid="{00000000-0005-0000-0000-000012000000}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51</xdr:row>
          <xdr:rowOff>63500</xdr:rowOff>
        </xdr:from>
        <xdr:to>
          <xdr:col>7</xdr:col>
          <xdr:colOff>1016000</xdr:colOff>
          <xdr:row>53</xdr:row>
          <xdr:rowOff>63500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812800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執行每日計算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800100</xdr:colOff>
          <xdr:row>7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執行每月累計計算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800100</xdr:colOff>
          <xdr:row>6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執行同期比較計算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49"/>
  <sheetViews>
    <sheetView tabSelected="1" showRuler="0" workbookViewId="0">
      <selection activeCell="I23" sqref="I23"/>
    </sheetView>
  </sheetViews>
  <sheetFormatPr baseColWidth="10" defaultRowHeight="15"/>
  <cols>
    <col min="2" max="2" width="21" customWidth="1"/>
    <col min="3" max="3" width="13.33203125" customWidth="1"/>
    <col min="4" max="4" width="13.6640625" customWidth="1"/>
    <col min="6" max="6" width="13.6640625" customWidth="1"/>
    <col min="8" max="8" width="13.83203125" bestFit="1" customWidth="1"/>
    <col min="11" max="11" width="12.33203125" bestFit="1" customWidth="1"/>
  </cols>
  <sheetData>
    <row r="1" spans="1:11">
      <c r="A1" s="30" t="s">
        <v>306</v>
      </c>
    </row>
    <row r="2" spans="1:11" ht="16" thickBot="1">
      <c r="H2" s="35">
        <f ca="1">NOW()</f>
        <v>43990.476190856483</v>
      </c>
    </row>
    <row r="3" spans="1:11">
      <c r="B3" s="46" t="s">
        <v>0</v>
      </c>
      <c r="C3" s="2" t="s">
        <v>46</v>
      </c>
      <c r="D3" s="47" t="s">
        <v>1</v>
      </c>
      <c r="E3" s="3">
        <v>4</v>
      </c>
      <c r="F3" s="47" t="s">
        <v>2</v>
      </c>
      <c r="G3" s="4">
        <v>6</v>
      </c>
      <c r="H3" s="48" t="s">
        <v>3</v>
      </c>
    </row>
    <row r="4" spans="1:11">
      <c r="B4" s="5" t="str">
        <f ca="1">"Date : "&amp;MONTH(H2)&amp;"月"</f>
        <v>Date : 6月</v>
      </c>
      <c r="C4" s="6">
        <v>7</v>
      </c>
      <c r="D4" s="40" t="s">
        <v>4</v>
      </c>
      <c r="E4" s="41"/>
      <c r="F4" s="40"/>
      <c r="G4" s="42"/>
      <c r="H4" s="7">
        <v>30</v>
      </c>
    </row>
    <row r="5" spans="1:11">
      <c r="B5" s="49"/>
      <c r="C5" s="40"/>
      <c r="D5" s="40"/>
      <c r="E5" s="41" t="s">
        <v>47</v>
      </c>
      <c r="F5" s="42"/>
      <c r="G5" s="42" t="s">
        <v>5</v>
      </c>
      <c r="H5" s="50">
        <f>C4/H4</f>
        <v>0.23333333333333334</v>
      </c>
    </row>
    <row r="6" spans="1:11">
      <c r="B6" s="8" t="s">
        <v>6</v>
      </c>
      <c r="C6" s="9" t="s">
        <v>71</v>
      </c>
      <c r="D6" s="9" t="s">
        <v>7</v>
      </c>
      <c r="E6" s="9" t="s">
        <v>8</v>
      </c>
      <c r="F6" s="9" t="s">
        <v>9</v>
      </c>
      <c r="G6" s="24" t="s">
        <v>10</v>
      </c>
      <c r="H6" s="25" t="s">
        <v>11</v>
      </c>
      <c r="K6" s="39"/>
    </row>
    <row r="7" spans="1:11">
      <c r="B7" s="8" t="s">
        <v>12</v>
      </c>
      <c r="C7" s="10">
        <v>56893367</v>
      </c>
      <c r="D7" s="10">
        <v>8422720</v>
      </c>
      <c r="E7" s="11">
        <v>15000000</v>
      </c>
      <c r="F7" s="12">
        <f t="shared" ref="F7:F34" si="0">D7/E7</f>
        <v>0.56151466666666672</v>
      </c>
      <c r="G7" s="10">
        <v>8422720</v>
      </c>
      <c r="H7" s="26">
        <f>(D7-G7)/G7</f>
        <v>0</v>
      </c>
    </row>
    <row r="8" spans="1:11">
      <c r="B8" s="8" t="s">
        <v>75</v>
      </c>
      <c r="C8" s="10">
        <v>0</v>
      </c>
      <c r="D8" s="10">
        <v>0</v>
      </c>
      <c r="E8" s="11"/>
      <c r="F8" s="12"/>
      <c r="G8" s="10">
        <v>0</v>
      </c>
      <c r="H8" s="26"/>
    </row>
    <row r="9" spans="1:11">
      <c r="B9" s="13" t="s">
        <v>13</v>
      </c>
      <c r="C9" s="14">
        <f>C7-C18</f>
        <v>37243766</v>
      </c>
      <c r="D9" s="14">
        <f>D7-D18</f>
        <v>3044308</v>
      </c>
      <c r="E9" s="15">
        <v>7920000</v>
      </c>
      <c r="F9" s="16">
        <f t="shared" si="0"/>
        <v>0.38438232323232324</v>
      </c>
      <c r="G9" s="14">
        <f>G7-G18</f>
        <v>3044308</v>
      </c>
      <c r="H9" s="26">
        <f>(D9-G9)/G9</f>
        <v>0</v>
      </c>
    </row>
    <row r="10" spans="1:11">
      <c r="B10" s="13" t="s">
        <v>14</v>
      </c>
      <c r="C10" s="11">
        <f>C7-C11</f>
        <v>56893367</v>
      </c>
      <c r="D10" s="11">
        <f>D7-D11</f>
        <v>8422720</v>
      </c>
      <c r="E10" s="11">
        <f>E7-E11</f>
        <v>15000000</v>
      </c>
      <c r="F10" s="16">
        <f t="shared" si="0"/>
        <v>0.56151466666666672</v>
      </c>
      <c r="G10" s="14">
        <f>G7-G11</f>
        <v>8422720</v>
      </c>
      <c r="H10" s="26">
        <f>(D10-G10)/G10</f>
        <v>0</v>
      </c>
    </row>
    <row r="11" spans="1:11">
      <c r="B11" s="8" t="s">
        <v>15</v>
      </c>
      <c r="C11" s="10"/>
      <c r="D11" s="10"/>
      <c r="E11" s="15"/>
      <c r="F11" s="12" t="e">
        <f t="shared" si="0"/>
        <v>#DIV/0!</v>
      </c>
      <c r="G11" s="10"/>
      <c r="H11" s="26" t="e">
        <f t="shared" ref="H11:H34" si="1">(D11-G11)/G11</f>
        <v>#DIV/0!</v>
      </c>
    </row>
    <row r="12" spans="1:11">
      <c r="B12" s="8" t="s">
        <v>16</v>
      </c>
      <c r="C12" s="10">
        <v>42569751</v>
      </c>
      <c r="D12" s="10">
        <v>7102760</v>
      </c>
      <c r="E12" s="15">
        <v>12513500</v>
      </c>
      <c r="F12" s="12">
        <f t="shared" si="0"/>
        <v>0.56760778359371877</v>
      </c>
      <c r="G12" s="10">
        <v>7102760</v>
      </c>
      <c r="H12" s="26">
        <f t="shared" si="1"/>
        <v>0</v>
      </c>
    </row>
    <row r="13" spans="1:11">
      <c r="B13" s="8" t="s">
        <v>17</v>
      </c>
      <c r="C13" s="10">
        <v>7305882</v>
      </c>
      <c r="D13" s="10">
        <v>721445</v>
      </c>
      <c r="E13" s="15">
        <v>790</v>
      </c>
      <c r="F13" s="12">
        <f t="shared" si="0"/>
        <v>913.22151898734182</v>
      </c>
      <c r="G13" s="10">
        <v>721445</v>
      </c>
      <c r="H13" s="26">
        <f t="shared" si="1"/>
        <v>0</v>
      </c>
    </row>
    <row r="14" spans="1:11">
      <c r="B14" s="8" t="s">
        <v>18</v>
      </c>
      <c r="C14" s="17">
        <v>296</v>
      </c>
      <c r="D14" s="17">
        <v>17</v>
      </c>
      <c r="E14" s="18">
        <v>85</v>
      </c>
      <c r="F14" s="12">
        <f t="shared" si="0"/>
        <v>0.2</v>
      </c>
      <c r="G14" s="17">
        <v>17</v>
      </c>
      <c r="H14" s="26">
        <f t="shared" si="1"/>
        <v>0</v>
      </c>
    </row>
    <row r="15" spans="1:11">
      <c r="B15" s="8" t="s">
        <v>19</v>
      </c>
      <c r="C15" s="17">
        <v>308</v>
      </c>
      <c r="D15" s="17">
        <v>18</v>
      </c>
      <c r="E15" s="18">
        <v>70</v>
      </c>
      <c r="F15" s="12">
        <f t="shared" si="0"/>
        <v>0.25714285714285712</v>
      </c>
      <c r="G15" s="17">
        <v>18</v>
      </c>
      <c r="H15" s="26">
        <f>(D15-G15)/G15</f>
        <v>0</v>
      </c>
    </row>
    <row r="16" spans="1:11">
      <c r="B16" s="8" t="s">
        <v>20</v>
      </c>
      <c r="C16" s="17">
        <v>172</v>
      </c>
      <c r="D16" s="17">
        <v>8</v>
      </c>
      <c r="E16" s="18">
        <v>25</v>
      </c>
      <c r="F16" s="12">
        <f t="shared" si="0"/>
        <v>0.32</v>
      </c>
      <c r="G16" s="17">
        <v>8</v>
      </c>
      <c r="H16" s="26">
        <f t="shared" si="1"/>
        <v>0</v>
      </c>
    </row>
    <row r="17" spans="2:8">
      <c r="B17" s="8" t="s">
        <v>21</v>
      </c>
      <c r="C17" s="17">
        <v>818</v>
      </c>
      <c r="D17" s="17">
        <v>164</v>
      </c>
      <c r="E17" s="18">
        <v>253</v>
      </c>
      <c r="F17" s="12">
        <f t="shared" si="0"/>
        <v>0.64822134387351782</v>
      </c>
      <c r="G17" s="17">
        <v>164</v>
      </c>
      <c r="H17" s="26">
        <f t="shared" si="1"/>
        <v>0</v>
      </c>
    </row>
    <row r="18" spans="2:8">
      <c r="B18" s="8" t="s">
        <v>22</v>
      </c>
      <c r="C18" s="19">
        <v>19649601</v>
      </c>
      <c r="D18" s="19">
        <v>5378412</v>
      </c>
      <c r="E18" s="20">
        <f>E17*28000</f>
        <v>7084000</v>
      </c>
      <c r="F18" s="12">
        <f t="shared" si="0"/>
        <v>0.75923376623376626</v>
      </c>
      <c r="G18" s="19">
        <v>5378412</v>
      </c>
      <c r="H18" s="26">
        <f t="shared" si="1"/>
        <v>0</v>
      </c>
    </row>
    <row r="19" spans="2:8">
      <c r="B19" s="8" t="s">
        <v>23</v>
      </c>
      <c r="C19" s="10">
        <v>231</v>
      </c>
      <c r="D19" s="10">
        <v>26</v>
      </c>
      <c r="E19" s="15">
        <v>10</v>
      </c>
      <c r="F19" s="16">
        <f t="shared" si="0"/>
        <v>2.6</v>
      </c>
      <c r="G19" s="10">
        <v>26</v>
      </c>
      <c r="H19" s="27">
        <f>(D19-G19)/G19</f>
        <v>0</v>
      </c>
    </row>
    <row r="20" spans="2:8">
      <c r="B20" s="13" t="s">
        <v>24</v>
      </c>
      <c r="C20" s="10">
        <v>79</v>
      </c>
      <c r="D20" s="10">
        <v>11</v>
      </c>
      <c r="E20" s="15">
        <v>2</v>
      </c>
      <c r="F20" s="16">
        <f t="shared" si="0"/>
        <v>5.5</v>
      </c>
      <c r="G20" s="10">
        <v>3</v>
      </c>
      <c r="H20" s="27">
        <f>(D20-G20)/G20</f>
        <v>2.6666666666666665</v>
      </c>
    </row>
    <row r="21" spans="2:8">
      <c r="B21" s="13" t="s">
        <v>25</v>
      </c>
      <c r="C21" s="16">
        <f>C20/C19</f>
        <v>0.34199134199134201</v>
      </c>
      <c r="D21" s="16">
        <f>D20/D19</f>
        <v>0.42307692307692307</v>
      </c>
      <c r="E21" s="16">
        <f>E20/E19</f>
        <v>0.2</v>
      </c>
      <c r="F21" s="16">
        <f t="shared" si="0"/>
        <v>2.1153846153846154</v>
      </c>
      <c r="G21" s="16">
        <f>G20/G19</f>
        <v>0.11538461538461539</v>
      </c>
      <c r="H21" s="27">
        <f>D21-G21</f>
        <v>0.30769230769230771</v>
      </c>
    </row>
    <row r="22" spans="2:8">
      <c r="B22" s="8" t="s">
        <v>26</v>
      </c>
      <c r="C22" s="17">
        <v>0</v>
      </c>
      <c r="D22" s="17">
        <v>0</v>
      </c>
      <c r="E22" s="18">
        <v>10</v>
      </c>
      <c r="F22" s="12">
        <f t="shared" si="0"/>
        <v>0</v>
      </c>
      <c r="G22" s="17">
        <v>0</v>
      </c>
      <c r="H22" s="26" t="e">
        <f t="shared" si="1"/>
        <v>#DIV/0!</v>
      </c>
    </row>
    <row r="23" spans="2:8">
      <c r="B23" s="8" t="s">
        <v>27</v>
      </c>
      <c r="C23" s="17">
        <v>4</v>
      </c>
      <c r="D23" s="17">
        <v>2</v>
      </c>
      <c r="E23" s="18">
        <v>30</v>
      </c>
      <c r="F23" s="12">
        <f t="shared" si="0"/>
        <v>6.6666666666666666E-2</v>
      </c>
      <c r="G23" s="17">
        <v>2</v>
      </c>
      <c r="H23" s="26">
        <f t="shared" si="1"/>
        <v>0</v>
      </c>
    </row>
    <row r="24" spans="2:8">
      <c r="B24" s="8" t="s">
        <v>28</v>
      </c>
      <c r="C24" s="21">
        <f>C23/C14</f>
        <v>1.3513513513513514E-2</v>
      </c>
      <c r="D24" s="21">
        <f>D23/D14</f>
        <v>0.11764705882352941</v>
      </c>
      <c r="E24" s="21">
        <f>E23/E14</f>
        <v>0.35294117647058826</v>
      </c>
      <c r="F24" s="12">
        <f t="shared" si="0"/>
        <v>0.33333333333333331</v>
      </c>
      <c r="G24" s="28">
        <f>G23/G14</f>
        <v>0.11764705882352941</v>
      </c>
      <c r="H24" s="26">
        <f>D24-G24</f>
        <v>0</v>
      </c>
    </row>
    <row r="25" spans="2:8">
      <c r="B25" s="8" t="s">
        <v>29</v>
      </c>
      <c r="C25" s="17">
        <v>88</v>
      </c>
      <c r="D25" s="17">
        <v>6</v>
      </c>
      <c r="E25" s="18">
        <v>30</v>
      </c>
      <c r="F25" s="12">
        <f t="shared" si="0"/>
        <v>0.2</v>
      </c>
      <c r="G25" s="17">
        <v>6</v>
      </c>
      <c r="H25" s="26">
        <f t="shared" si="1"/>
        <v>0</v>
      </c>
    </row>
    <row r="26" spans="2:8">
      <c r="B26" s="8" t="s">
        <v>30</v>
      </c>
      <c r="C26" s="21">
        <f>C25/C14</f>
        <v>0.29729729729729731</v>
      </c>
      <c r="D26" s="21">
        <f>D25/D14</f>
        <v>0.35294117647058826</v>
      </c>
      <c r="E26" s="21">
        <f>E25/E14</f>
        <v>0.35294117647058826</v>
      </c>
      <c r="F26" s="22">
        <f t="shared" si="0"/>
        <v>1</v>
      </c>
      <c r="G26" s="28">
        <f>G25/G14</f>
        <v>0.35294117647058826</v>
      </c>
      <c r="H26" s="26">
        <f>D26-G26</f>
        <v>0</v>
      </c>
    </row>
    <row r="27" spans="2:8">
      <c r="B27" s="8" t="s">
        <v>31</v>
      </c>
      <c r="C27" s="21">
        <f>(C23+C25)/C14</f>
        <v>0.3108108108108108</v>
      </c>
      <c r="D27" s="21">
        <f>(D23+D25)/D14</f>
        <v>0.47058823529411764</v>
      </c>
      <c r="E27" s="21">
        <f>(E23+E25)/E14</f>
        <v>0.70588235294117652</v>
      </c>
      <c r="F27" s="22">
        <f t="shared" si="0"/>
        <v>0.66666666666666663</v>
      </c>
      <c r="G27" s="28">
        <f>(G23+G25)/G14</f>
        <v>0.47058823529411764</v>
      </c>
      <c r="H27" s="26">
        <f>D27-G27</f>
        <v>0</v>
      </c>
    </row>
    <row r="28" spans="2:8">
      <c r="B28" s="8" t="s">
        <v>32</v>
      </c>
      <c r="C28" s="17">
        <v>386</v>
      </c>
      <c r="D28" s="17">
        <v>21</v>
      </c>
      <c r="E28" s="18">
        <v>53</v>
      </c>
      <c r="F28" s="12">
        <f t="shared" si="0"/>
        <v>0.39622641509433965</v>
      </c>
      <c r="G28" s="17">
        <v>29</v>
      </c>
      <c r="H28" s="26">
        <f>(D28-G28)/G28</f>
        <v>-0.27586206896551724</v>
      </c>
    </row>
    <row r="29" spans="2:8">
      <c r="B29" s="8" t="s">
        <v>33</v>
      </c>
      <c r="C29" s="21">
        <f>C28/(C16+C17+C15)</f>
        <v>0.29738058551617874</v>
      </c>
      <c r="D29" s="21">
        <f>D28/(D16+D17+D15)</f>
        <v>0.11052631578947368</v>
      </c>
      <c r="E29" s="21">
        <f>E28/(E16+E17+E15)</f>
        <v>0.15229885057471265</v>
      </c>
      <c r="F29" s="22">
        <f t="shared" si="0"/>
        <v>0.72571996027805352</v>
      </c>
      <c r="G29" s="28">
        <f>G28/(G16+G17+G15)</f>
        <v>0.15263157894736842</v>
      </c>
      <c r="H29" s="26">
        <f>D29-G29</f>
        <v>-4.2105263157894743E-2</v>
      </c>
    </row>
    <row r="30" spans="2:8">
      <c r="B30" s="8" t="s">
        <v>34</v>
      </c>
      <c r="C30" s="10">
        <v>5305779</v>
      </c>
      <c r="D30" s="10">
        <v>655028</v>
      </c>
      <c r="E30" s="15">
        <v>1700000</v>
      </c>
      <c r="F30" s="12">
        <f t="shared" si="0"/>
        <v>0.38531058823529413</v>
      </c>
      <c r="G30" s="10">
        <v>655028</v>
      </c>
      <c r="H30" s="26">
        <f t="shared" si="1"/>
        <v>0</v>
      </c>
    </row>
    <row r="31" spans="2:8">
      <c r="B31" s="8" t="s">
        <v>35</v>
      </c>
      <c r="C31" s="21">
        <f>C30/C10</f>
        <v>9.325830548928489E-2</v>
      </c>
      <c r="D31" s="21">
        <f>D30/D10</f>
        <v>7.776917670301281E-2</v>
      </c>
      <c r="E31" s="21">
        <f>E30/E10</f>
        <v>0.11333333333333333</v>
      </c>
      <c r="F31" s="12">
        <f t="shared" si="0"/>
        <v>0.68619861796776016</v>
      </c>
      <c r="G31" s="28">
        <f>G30/G10</f>
        <v>7.776917670301281E-2</v>
      </c>
      <c r="H31" s="26">
        <f>D31-G31</f>
        <v>0</v>
      </c>
    </row>
    <row r="32" spans="2:8" s="85" customFormat="1">
      <c r="B32" s="77" t="s">
        <v>266</v>
      </c>
      <c r="C32" s="10">
        <v>2176101</v>
      </c>
      <c r="D32" s="10"/>
      <c r="E32" s="78"/>
      <c r="F32" s="79"/>
      <c r="G32" s="10"/>
      <c r="H32" s="26" t="e">
        <f t="shared" ref="H32:H33" si="2">(D32-G32)/G32</f>
        <v>#DIV/0!</v>
      </c>
    </row>
    <row r="33" spans="2:11" s="86" customFormat="1">
      <c r="B33" s="77" t="s">
        <v>267</v>
      </c>
      <c r="C33" s="78">
        <f>C32/C10</f>
        <v>3.8248764570393591E-2</v>
      </c>
      <c r="D33" s="78">
        <f>D32/D10</f>
        <v>0</v>
      </c>
      <c r="E33" s="78"/>
      <c r="F33" s="79"/>
      <c r="G33" s="28">
        <f>G32/G10</f>
        <v>0</v>
      </c>
      <c r="H33" s="26">
        <f>D33-G33</f>
        <v>0</v>
      </c>
    </row>
    <row r="34" spans="2:11">
      <c r="B34" s="80" t="s">
        <v>36</v>
      </c>
      <c r="C34" s="81">
        <v>99</v>
      </c>
      <c r="D34" s="81">
        <v>0</v>
      </c>
      <c r="E34" s="82">
        <v>0</v>
      </c>
      <c r="F34" s="83" t="e">
        <f t="shared" si="0"/>
        <v>#DIV/0!</v>
      </c>
      <c r="G34" s="81">
        <v>0</v>
      </c>
      <c r="H34" s="84" t="e">
        <f t="shared" si="1"/>
        <v>#DIV/0!</v>
      </c>
    </row>
    <row r="35" spans="2:11">
      <c r="B35" s="51" t="s">
        <v>48</v>
      </c>
      <c r="C35" s="10">
        <v>1</v>
      </c>
      <c r="D35" s="10">
        <v>1</v>
      </c>
      <c r="E35" s="15"/>
      <c r="F35" s="12"/>
      <c r="G35" s="10">
        <v>1</v>
      </c>
      <c r="H35" s="26"/>
    </row>
    <row r="36" spans="2:11">
      <c r="B36" s="51" t="s">
        <v>74</v>
      </c>
      <c r="C36" s="10">
        <v>6</v>
      </c>
      <c r="D36" s="10">
        <v>0</v>
      </c>
      <c r="E36" s="44"/>
      <c r="F36" s="12"/>
      <c r="G36" s="10">
        <v>0</v>
      </c>
      <c r="H36" s="26"/>
    </row>
    <row r="37" spans="2:11">
      <c r="B37" s="8" t="s">
        <v>73</v>
      </c>
      <c r="C37" s="10">
        <v>2997</v>
      </c>
      <c r="D37" s="10">
        <v>0</v>
      </c>
      <c r="E37" s="23"/>
      <c r="F37" s="23"/>
      <c r="G37" s="10">
        <v>0</v>
      </c>
      <c r="H37" s="26"/>
    </row>
    <row r="38" spans="2:11">
      <c r="B38" s="8" t="s">
        <v>37</v>
      </c>
      <c r="C38" s="23">
        <f>C7-C12-C13-C30-C34</f>
        <v>1711856</v>
      </c>
      <c r="D38" s="23">
        <f>D7-D12-D13-D30-D34</f>
        <v>-56513</v>
      </c>
      <c r="E38" s="23"/>
      <c r="F38" s="12"/>
      <c r="G38" s="29">
        <f>G7-G12-G13-G30-G34</f>
        <v>-56513</v>
      </c>
      <c r="H38" s="26">
        <f>(D38-G38)/G38</f>
        <v>0</v>
      </c>
    </row>
    <row r="39" spans="2:11">
      <c r="B39" s="8" t="s">
        <v>38</v>
      </c>
      <c r="C39" s="23">
        <f>C10/E3</f>
        <v>14223341.75</v>
      </c>
      <c r="D39" s="23">
        <f>D10/(E3+G3)</f>
        <v>842272</v>
      </c>
      <c r="E39" s="23">
        <f>E10/(E3+G3)</f>
        <v>1500000</v>
      </c>
      <c r="F39" s="12">
        <f>D39/E39</f>
        <v>0.56151466666666672</v>
      </c>
      <c r="G39" s="29">
        <f>G10/(E3+G3)</f>
        <v>842272</v>
      </c>
      <c r="H39" s="26">
        <f>(D39-G39)/G39</f>
        <v>0</v>
      </c>
    </row>
    <row r="40" spans="2:11">
      <c r="B40" s="8" t="s">
        <v>49</v>
      </c>
      <c r="C40" s="10">
        <v>288</v>
      </c>
      <c r="D40" s="10">
        <v>288</v>
      </c>
      <c r="E40" s="23"/>
      <c r="F40" s="23"/>
      <c r="G40" s="10">
        <v>4242</v>
      </c>
      <c r="H40" s="26">
        <f>(D40-G40)/G40</f>
        <v>-0.93210749646393209</v>
      </c>
    </row>
    <row r="41" spans="2:11" ht="18" customHeight="1">
      <c r="B41" s="8" t="s">
        <v>50</v>
      </c>
      <c r="C41" s="10">
        <v>24</v>
      </c>
      <c r="D41" s="10">
        <v>24</v>
      </c>
      <c r="E41" s="23"/>
      <c r="F41" s="23"/>
      <c r="G41" s="10">
        <v>288</v>
      </c>
      <c r="H41" s="26">
        <f>(D41-G41)/G41</f>
        <v>-0.91666666666666663</v>
      </c>
      <c r="K41" s="36"/>
    </row>
    <row r="42" spans="2:11" ht="15" customHeight="1">
      <c r="B42" s="8" t="s">
        <v>51</v>
      </c>
      <c r="C42" s="12">
        <f>C41/C40</f>
        <v>8.3333333333333329E-2</v>
      </c>
      <c r="D42" s="12">
        <f>D41/D40</f>
        <v>8.3333333333333329E-2</v>
      </c>
      <c r="E42" s="23"/>
      <c r="F42" s="12"/>
      <c r="G42" s="37">
        <f>G41/G40</f>
        <v>6.7892503536067891E-2</v>
      </c>
      <c r="H42" s="26">
        <f>(D42-G42)/G42</f>
        <v>0.2274305555555555</v>
      </c>
      <c r="K42" s="36"/>
    </row>
    <row r="43" spans="2:11" ht="18">
      <c r="B43" s="8" t="s">
        <v>42</v>
      </c>
      <c r="C43" s="10">
        <v>0</v>
      </c>
      <c r="D43" s="10">
        <v>0</v>
      </c>
      <c r="E43" s="43" t="s">
        <v>43</v>
      </c>
      <c r="F43" s="61"/>
      <c r="G43" s="62"/>
      <c r="H43" s="63"/>
    </row>
    <row r="44" spans="2:11" ht="18">
      <c r="B44" s="8" t="s">
        <v>44</v>
      </c>
      <c r="C44" s="45"/>
      <c r="D44" s="61"/>
      <c r="E44" s="64"/>
      <c r="F44" s="64"/>
      <c r="G44" s="64"/>
      <c r="H44" s="65"/>
    </row>
    <row r="45" spans="2:11">
      <c r="B45" s="66" t="s">
        <v>45</v>
      </c>
      <c r="C45" s="67"/>
      <c r="D45" s="70"/>
      <c r="E45" s="70"/>
      <c r="F45" s="70"/>
      <c r="G45" s="70"/>
      <c r="H45" s="71"/>
    </row>
    <row r="46" spans="2:11">
      <c r="B46" s="66"/>
      <c r="C46" s="67"/>
      <c r="D46" s="70"/>
      <c r="E46" s="70"/>
      <c r="F46" s="70"/>
      <c r="G46" s="70"/>
      <c r="H46" s="71"/>
    </row>
    <row r="47" spans="2:11">
      <c r="B47" s="66"/>
      <c r="C47" s="67"/>
      <c r="D47" s="70"/>
      <c r="E47" s="70"/>
      <c r="F47" s="70"/>
      <c r="G47" s="70"/>
      <c r="H47" s="71"/>
    </row>
    <row r="48" spans="2:11">
      <c r="B48" s="66"/>
      <c r="C48" s="67"/>
      <c r="D48" s="70"/>
      <c r="E48" s="70"/>
      <c r="F48" s="70"/>
      <c r="G48" s="70"/>
      <c r="H48" s="71"/>
    </row>
    <row r="49" spans="2:8" ht="16" thickBot="1">
      <c r="B49" s="68"/>
      <c r="C49" s="69"/>
      <c r="D49" s="72"/>
      <c r="E49" s="72"/>
      <c r="F49" s="72"/>
      <c r="G49" s="72"/>
      <c r="H49" s="73"/>
    </row>
  </sheetData>
  <mergeCells count="4">
    <mergeCell ref="F43:H43"/>
    <mergeCell ref="D44:H44"/>
    <mergeCell ref="B45:C49"/>
    <mergeCell ref="D45:H49"/>
  </mergeCells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317500</xdr:colOff>
                    <xdr:row>51</xdr:row>
                    <xdr:rowOff>63500</xdr:rowOff>
                  </from>
                  <to>
                    <xdr:col>7</xdr:col>
                    <xdr:colOff>1016000</xdr:colOff>
                    <xdr:row>53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L10"/>
  <sheetViews>
    <sheetView showRuler="0" workbookViewId="0">
      <selection activeCell="E27" sqref="E27"/>
    </sheetView>
  </sheetViews>
  <sheetFormatPr baseColWidth="10" defaultRowHeight="15"/>
  <cols>
    <col min="10" max="10" width="12.83203125" customWidth="1"/>
  </cols>
  <sheetData>
    <row r="1" spans="1:12">
      <c r="A1" s="30">
        <v>1.9</v>
      </c>
    </row>
    <row r="2" spans="1:12">
      <c r="B2" s="30">
        <v>1</v>
      </c>
      <c r="G2" t="s">
        <v>75</v>
      </c>
      <c r="H2" s="31">
        <v>0</v>
      </c>
    </row>
    <row r="3" spans="1:12">
      <c r="I3" s="54"/>
      <c r="K3" t="s">
        <v>72</v>
      </c>
      <c r="L3" s="31">
        <v>6</v>
      </c>
    </row>
    <row r="4" spans="1:12">
      <c r="K4" s="34" t="s">
        <v>39</v>
      </c>
    </row>
    <row r="5" spans="1:12">
      <c r="K5" s="34" t="s">
        <v>40</v>
      </c>
    </row>
    <row r="6" spans="1:12">
      <c r="K6" s="34" t="s">
        <v>41</v>
      </c>
    </row>
    <row r="10" spans="1:12" s="1" customFormat="1"/>
  </sheetData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每日營業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812800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daily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2:L10"/>
  <sheetViews>
    <sheetView showRuler="0" workbookViewId="0">
      <selection activeCell="G42" sqref="G42"/>
    </sheetView>
  </sheetViews>
  <sheetFormatPr baseColWidth="10" defaultRowHeight="15"/>
  <sheetData>
    <row r="2" spans="2:12">
      <c r="B2" s="30">
        <v>1</v>
      </c>
      <c r="G2" t="s">
        <v>75</v>
      </c>
      <c r="H2" s="31">
        <v>0</v>
      </c>
    </row>
    <row r="3" spans="2:12">
      <c r="G3" t="s">
        <v>202</v>
      </c>
      <c r="I3" s="31">
        <v>10</v>
      </c>
      <c r="K3" t="s">
        <v>72</v>
      </c>
      <c r="L3" s="31">
        <v>0</v>
      </c>
    </row>
    <row r="10" spans="2:12" s="32" customFormat="1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每月累積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800100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monthly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2:L10"/>
  <sheetViews>
    <sheetView showRuler="0" workbookViewId="0">
      <selection activeCell="A11" sqref="A11:L155"/>
    </sheetView>
  </sheetViews>
  <sheetFormatPr baseColWidth="10" defaultRowHeight="15"/>
  <sheetData>
    <row r="2" spans="2:12">
      <c r="B2" s="30">
        <v>1</v>
      </c>
      <c r="G2" t="s">
        <v>75</v>
      </c>
      <c r="H2" s="31">
        <v>0</v>
      </c>
    </row>
    <row r="3" spans="2:12">
      <c r="G3" t="s">
        <v>202</v>
      </c>
      <c r="I3" s="31">
        <v>2</v>
      </c>
      <c r="K3" t="s">
        <v>72</v>
      </c>
      <c r="L3" s="31">
        <v>0</v>
      </c>
    </row>
    <row r="10" spans="2:12" s="33" customFormat="1"/>
  </sheetData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同期比較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800100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samemonth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G40"/>
  <sheetViews>
    <sheetView showRuler="0" workbookViewId="0">
      <selection activeCell="J40" sqref="J40"/>
    </sheetView>
  </sheetViews>
  <sheetFormatPr baseColWidth="10" defaultRowHeight="15"/>
  <sheetData>
    <row r="9" spans="1:7" s="31" customFormat="1">
      <c r="A9" s="31" t="s">
        <v>70</v>
      </c>
    </row>
    <row r="10" spans="1:7">
      <c r="A10" s="58" t="s">
        <v>268</v>
      </c>
      <c r="B10" s="58" t="s">
        <v>269</v>
      </c>
      <c r="C10" s="58" t="s">
        <v>233</v>
      </c>
      <c r="D10" s="58" t="s">
        <v>234</v>
      </c>
      <c r="E10" s="57">
        <v>72</v>
      </c>
      <c r="F10">
        <f>IFERROR(VLOOKUP(A10,SACare價目表!A:C,3,FALSE),0)</f>
        <v>4690</v>
      </c>
      <c r="G10">
        <v>337680</v>
      </c>
    </row>
    <row r="11" spans="1:7">
      <c r="A11" s="58" t="s">
        <v>270</v>
      </c>
      <c r="B11" s="58" t="s">
        <v>271</v>
      </c>
      <c r="C11" s="58" t="s">
        <v>233</v>
      </c>
      <c r="D11" s="58" t="s">
        <v>234</v>
      </c>
      <c r="E11" s="57">
        <v>11</v>
      </c>
      <c r="F11">
        <f>IFERROR(VLOOKUP(A11,SACare價目表!A:C,3,FALSE),0)</f>
        <v>6590</v>
      </c>
      <c r="G11">
        <v>72490</v>
      </c>
    </row>
    <row r="12" spans="1:7">
      <c r="A12" s="58" t="s">
        <v>272</v>
      </c>
      <c r="B12" s="58" t="s">
        <v>242</v>
      </c>
      <c r="C12" s="58" t="s">
        <v>233</v>
      </c>
      <c r="D12" s="58" t="s">
        <v>234</v>
      </c>
      <c r="E12" s="57">
        <v>126</v>
      </c>
      <c r="F12">
        <f>IFERROR(VLOOKUP(A12,SACare價目表!A:C,3,FALSE),0)</f>
        <v>1990</v>
      </c>
      <c r="G12">
        <v>250740</v>
      </c>
    </row>
    <row r="13" spans="1:7">
      <c r="A13" s="58" t="s">
        <v>273</v>
      </c>
      <c r="B13" s="58" t="s">
        <v>137</v>
      </c>
      <c r="C13" s="58" t="s">
        <v>233</v>
      </c>
      <c r="D13" s="58" t="s">
        <v>234</v>
      </c>
      <c r="E13" s="57">
        <v>48</v>
      </c>
      <c r="F13">
        <f>IFERROR(VLOOKUP(A13,SACare價目表!A:C,3,FALSE),0)</f>
        <v>3490</v>
      </c>
      <c r="G13">
        <v>167520</v>
      </c>
    </row>
    <row r="14" spans="1:7">
      <c r="A14" s="58" t="s">
        <v>274</v>
      </c>
      <c r="B14" s="58" t="s">
        <v>275</v>
      </c>
      <c r="C14" s="58" t="s">
        <v>237</v>
      </c>
      <c r="D14" s="58" t="s">
        <v>238</v>
      </c>
      <c r="E14" s="57">
        <v>75</v>
      </c>
      <c r="F14">
        <f>IFERROR(VLOOKUP(A14,SACare價目表!A:C,3,FALSE),0)</f>
        <v>2390</v>
      </c>
      <c r="G14">
        <v>179250</v>
      </c>
    </row>
    <row r="15" spans="1:7">
      <c r="A15" s="58" t="s">
        <v>276</v>
      </c>
      <c r="B15" s="58" t="s">
        <v>140</v>
      </c>
      <c r="C15" s="58" t="s">
        <v>235</v>
      </c>
      <c r="D15" s="58" t="s">
        <v>236</v>
      </c>
      <c r="E15" s="57">
        <v>77</v>
      </c>
      <c r="F15">
        <f>IFERROR(VLOOKUP(A15,SACare價目表!A:C,3,FALSE),0)</f>
        <v>7190</v>
      </c>
      <c r="G15">
        <v>553630</v>
      </c>
    </row>
    <row r="16" spans="1:7">
      <c r="A16" s="58" t="s">
        <v>277</v>
      </c>
      <c r="B16" s="58" t="s">
        <v>278</v>
      </c>
      <c r="C16" s="58" t="s">
        <v>235</v>
      </c>
      <c r="D16" s="58" t="s">
        <v>236</v>
      </c>
      <c r="E16" s="57">
        <v>6</v>
      </c>
      <c r="F16">
        <f>IFERROR(VLOOKUP(A16,SACare價目表!A:C,3,FALSE),0)</f>
        <v>11090</v>
      </c>
      <c r="G16">
        <v>66540</v>
      </c>
    </row>
    <row r="17" spans="1:7">
      <c r="A17" s="58" t="s">
        <v>279</v>
      </c>
      <c r="B17" s="58" t="s">
        <v>280</v>
      </c>
      <c r="C17" s="58" t="s">
        <v>233</v>
      </c>
      <c r="D17" s="58" t="s">
        <v>234</v>
      </c>
      <c r="E17" s="57">
        <v>2</v>
      </c>
      <c r="F17">
        <f>IFERROR(VLOOKUP(A17,SACare價目表!A:C,3,FALSE),0)</f>
        <v>4690</v>
      </c>
      <c r="G17">
        <v>9380</v>
      </c>
    </row>
    <row r="18" spans="1:7">
      <c r="A18" s="58" t="s">
        <v>281</v>
      </c>
      <c r="B18" s="58" t="s">
        <v>247</v>
      </c>
      <c r="C18" s="58" t="s">
        <v>233</v>
      </c>
      <c r="D18" s="58" t="s">
        <v>234</v>
      </c>
      <c r="E18" s="57">
        <v>4</v>
      </c>
      <c r="F18">
        <f>IFERROR(VLOOKUP(A18,SACare價目表!A:C,3,FALSE),0)</f>
        <v>1990</v>
      </c>
      <c r="G18">
        <v>7960</v>
      </c>
    </row>
    <row r="19" spans="1:7">
      <c r="A19" s="58" t="s">
        <v>282</v>
      </c>
      <c r="B19" s="58" t="s">
        <v>147</v>
      </c>
      <c r="C19" s="58" t="s">
        <v>233</v>
      </c>
      <c r="D19" s="58" t="s">
        <v>234</v>
      </c>
      <c r="E19" s="57">
        <v>7</v>
      </c>
      <c r="F19">
        <f>IFERROR(VLOOKUP(A19,SACare價目表!A:C,3,FALSE),0)</f>
        <v>3490</v>
      </c>
      <c r="G19">
        <v>24430</v>
      </c>
    </row>
    <row r="20" spans="1:7">
      <c r="A20" s="58" t="s">
        <v>283</v>
      </c>
      <c r="B20" s="58" t="s">
        <v>284</v>
      </c>
      <c r="C20" s="58" t="s">
        <v>233</v>
      </c>
      <c r="D20" s="58" t="s">
        <v>234</v>
      </c>
      <c r="E20" s="57">
        <v>9</v>
      </c>
      <c r="F20">
        <f>IFERROR(VLOOKUP(A20,SACare價目表!A:C,3,FALSE),0)</f>
        <v>0</v>
      </c>
      <c r="G20">
        <v>0</v>
      </c>
    </row>
    <row r="21" spans="1:7">
      <c r="A21" s="58" t="s">
        <v>285</v>
      </c>
      <c r="B21" s="58" t="s">
        <v>286</v>
      </c>
      <c r="C21" s="58" t="s">
        <v>233</v>
      </c>
      <c r="D21" s="58" t="s">
        <v>234</v>
      </c>
      <c r="E21" s="57">
        <v>1</v>
      </c>
      <c r="F21">
        <f>IFERROR(VLOOKUP(A21,SACare價目表!A:C,3,FALSE),0)</f>
        <v>0</v>
      </c>
      <c r="G21">
        <v>0</v>
      </c>
    </row>
    <row r="22" spans="1:7">
      <c r="A22" s="58" t="s">
        <v>287</v>
      </c>
      <c r="B22" s="58" t="s">
        <v>288</v>
      </c>
      <c r="C22" s="58" t="s">
        <v>237</v>
      </c>
      <c r="D22" s="58" t="s">
        <v>238</v>
      </c>
      <c r="E22" s="57">
        <v>1</v>
      </c>
      <c r="F22">
        <f>IFERROR(VLOOKUP(A22,SACare價目表!A:C,3,FALSE),0)</f>
        <v>0</v>
      </c>
      <c r="G22">
        <v>0</v>
      </c>
    </row>
    <row r="23" spans="1:7">
      <c r="A23" s="58" t="s">
        <v>289</v>
      </c>
      <c r="B23" s="58" t="s">
        <v>290</v>
      </c>
      <c r="C23" s="58" t="s">
        <v>235</v>
      </c>
      <c r="D23" s="58" t="s">
        <v>236</v>
      </c>
      <c r="E23" s="57">
        <v>1</v>
      </c>
      <c r="F23">
        <f>IFERROR(VLOOKUP(A23,SACare價目表!A:C,3,FALSE),0)</f>
        <v>4690</v>
      </c>
      <c r="G23">
        <v>4690</v>
      </c>
    </row>
    <row r="24" spans="1:7">
      <c r="A24" s="58" t="s">
        <v>291</v>
      </c>
      <c r="B24" s="58" t="s">
        <v>292</v>
      </c>
      <c r="C24" s="58" t="s">
        <v>235</v>
      </c>
      <c r="D24" s="58" t="s">
        <v>236</v>
      </c>
      <c r="E24" s="57">
        <v>3</v>
      </c>
      <c r="F24">
        <f>IFERROR(VLOOKUP(A24,SACare價目表!A:C,3,FALSE),0)</f>
        <v>0</v>
      </c>
      <c r="G24">
        <v>0</v>
      </c>
    </row>
    <row r="25" spans="1:7">
      <c r="A25" s="58" t="s">
        <v>164</v>
      </c>
      <c r="B25" s="58" t="s">
        <v>293</v>
      </c>
      <c r="C25" s="58" t="s">
        <v>237</v>
      </c>
      <c r="D25" s="58" t="s">
        <v>238</v>
      </c>
      <c r="E25" s="57">
        <v>1</v>
      </c>
      <c r="F25">
        <f>IFERROR(VLOOKUP(A25,SACare價目表!A:C,3,FALSE),0)</f>
        <v>2390</v>
      </c>
      <c r="G25">
        <v>2390</v>
      </c>
    </row>
    <row r="26" spans="1:7">
      <c r="A26" s="58" t="s">
        <v>166</v>
      </c>
      <c r="B26" s="58" t="s">
        <v>294</v>
      </c>
      <c r="C26" s="58" t="s">
        <v>235</v>
      </c>
      <c r="D26" s="58" t="s">
        <v>236</v>
      </c>
      <c r="E26" s="57">
        <v>1</v>
      </c>
      <c r="F26">
        <f>IFERROR(VLOOKUP(A26,SACare價目表!A:C,3,FALSE),0)</f>
        <v>7190</v>
      </c>
      <c r="G26">
        <v>7190</v>
      </c>
    </row>
    <row r="27" spans="1:7">
      <c r="A27" s="58" t="s">
        <v>170</v>
      </c>
      <c r="B27" s="58" t="s">
        <v>295</v>
      </c>
      <c r="C27" s="58" t="s">
        <v>235</v>
      </c>
      <c r="D27" s="58" t="s">
        <v>236</v>
      </c>
      <c r="E27" s="57">
        <v>1</v>
      </c>
      <c r="F27">
        <f>IFERROR(VLOOKUP(A27,SACare價目表!A:C,3,FALSE),0)</f>
        <v>11090</v>
      </c>
      <c r="G27">
        <v>11090</v>
      </c>
    </row>
    <row r="28" spans="1:7">
      <c r="A28" s="58" t="s">
        <v>184</v>
      </c>
      <c r="B28" s="58" t="s">
        <v>296</v>
      </c>
      <c r="C28" s="58" t="s">
        <v>233</v>
      </c>
      <c r="D28" s="58" t="s">
        <v>234</v>
      </c>
      <c r="E28" s="57">
        <v>4</v>
      </c>
      <c r="F28">
        <f>IFERROR(VLOOKUP(A28,SACare價目表!A:C,3,FALSE),0)</f>
        <v>3290</v>
      </c>
      <c r="G28">
        <v>13160</v>
      </c>
    </row>
    <row r="29" spans="1:7">
      <c r="A29" s="58" t="s">
        <v>186</v>
      </c>
      <c r="B29" s="58" t="s">
        <v>297</v>
      </c>
      <c r="C29" s="58" t="s">
        <v>233</v>
      </c>
      <c r="D29" s="58" t="s">
        <v>234</v>
      </c>
      <c r="E29" s="57">
        <v>5</v>
      </c>
      <c r="F29">
        <f>IFERROR(VLOOKUP(A29,SACare價目表!A:C,3,FALSE),0)</f>
        <v>4390</v>
      </c>
      <c r="G29">
        <v>21950</v>
      </c>
    </row>
    <row r="30" spans="1:7">
      <c r="A30" s="58" t="s">
        <v>188</v>
      </c>
      <c r="B30" s="58" t="s">
        <v>298</v>
      </c>
      <c r="C30" s="58" t="s">
        <v>233</v>
      </c>
      <c r="D30" s="58" t="s">
        <v>234</v>
      </c>
      <c r="E30" s="57">
        <v>6</v>
      </c>
      <c r="F30">
        <f>IFERROR(VLOOKUP(A30,SACare價目表!A:C,3,FALSE),0)</f>
        <v>1590</v>
      </c>
      <c r="G30">
        <v>9540</v>
      </c>
    </row>
    <row r="31" spans="1:7">
      <c r="A31" s="58" t="s">
        <v>190</v>
      </c>
      <c r="B31" s="58" t="s">
        <v>299</v>
      </c>
      <c r="C31" s="58" t="s">
        <v>233</v>
      </c>
      <c r="D31" s="58" t="s">
        <v>234</v>
      </c>
      <c r="E31" s="57">
        <v>5</v>
      </c>
      <c r="F31">
        <f>IFERROR(VLOOKUP(A31,SACare價目表!A:C,3,FALSE),0)</f>
        <v>2590</v>
      </c>
      <c r="G31">
        <v>12950</v>
      </c>
    </row>
    <row r="32" spans="1:7">
      <c r="A32" s="58" t="s">
        <v>192</v>
      </c>
      <c r="B32" s="58" t="s">
        <v>300</v>
      </c>
      <c r="C32" s="58" t="s">
        <v>237</v>
      </c>
      <c r="D32" s="58" t="s">
        <v>238</v>
      </c>
      <c r="E32" s="57">
        <v>1</v>
      </c>
      <c r="F32">
        <f>IFERROR(VLOOKUP(A32,SACare價目表!A:C,3,FALSE),0)</f>
        <v>1290</v>
      </c>
      <c r="G32">
        <v>1290</v>
      </c>
    </row>
    <row r="33" spans="1:7">
      <c r="A33" s="58" t="s">
        <v>194</v>
      </c>
      <c r="B33" s="58" t="s">
        <v>301</v>
      </c>
      <c r="C33" s="58" t="s">
        <v>237</v>
      </c>
      <c r="D33" s="58" t="s">
        <v>238</v>
      </c>
      <c r="E33" s="57">
        <v>2</v>
      </c>
      <c r="F33">
        <f>IFERROR(VLOOKUP(A33,SACare價目表!A:C,3,FALSE),0)</f>
        <v>1690</v>
      </c>
      <c r="G33">
        <v>3380</v>
      </c>
    </row>
    <row r="34" spans="1:7">
      <c r="A34" s="58" t="s">
        <v>302</v>
      </c>
      <c r="B34" s="58" t="s">
        <v>303</v>
      </c>
      <c r="C34" s="58" t="s">
        <v>235</v>
      </c>
      <c r="D34" s="58" t="s">
        <v>236</v>
      </c>
      <c r="E34" s="57">
        <v>1</v>
      </c>
      <c r="F34">
        <f>IFERROR(VLOOKUP(A34,SACare價目表!A:C,3,FALSE),0)</f>
        <v>0</v>
      </c>
      <c r="G34">
        <v>0</v>
      </c>
    </row>
    <row r="35" spans="1:7">
      <c r="A35" s="58" t="s">
        <v>304</v>
      </c>
      <c r="B35" s="58" t="s">
        <v>305</v>
      </c>
      <c r="C35" s="58" t="s">
        <v>235</v>
      </c>
      <c r="D35" s="58" t="s">
        <v>236</v>
      </c>
      <c r="E35" s="57">
        <v>1</v>
      </c>
      <c r="F35">
        <f>IFERROR(VLOOKUP(A35,SACare價目表!A:C,3,FALSE),0)</f>
        <v>0</v>
      </c>
      <c r="G35">
        <v>0</v>
      </c>
    </row>
    <row r="36" spans="1:7">
      <c r="A36" s="58" t="s">
        <v>252</v>
      </c>
      <c r="B36" s="58" t="s">
        <v>253</v>
      </c>
      <c r="C36" s="58" t="s">
        <v>233</v>
      </c>
      <c r="D36" s="58" t="s">
        <v>234</v>
      </c>
      <c r="E36" s="57">
        <v>189</v>
      </c>
      <c r="F36">
        <f>IFERROR(VLOOKUP(A36,SACare價目表!A:C,3,FALSE),0)</f>
        <v>799</v>
      </c>
      <c r="G36">
        <v>151011</v>
      </c>
    </row>
    <row r="37" spans="1:7">
      <c r="A37" s="58" t="s">
        <v>264</v>
      </c>
      <c r="B37" s="58" t="s">
        <v>265</v>
      </c>
      <c r="C37" s="58" t="s">
        <v>233</v>
      </c>
      <c r="D37" s="58" t="s">
        <v>234</v>
      </c>
      <c r="E37" s="57">
        <v>0</v>
      </c>
      <c r="F37">
        <f>IFERROR(VLOOKUP(A37,SACare價目表!A:C,3,FALSE),0)</f>
        <v>1990</v>
      </c>
      <c r="G37">
        <v>0</v>
      </c>
    </row>
    <row r="38" spans="1:7">
      <c r="A38" s="58" t="s">
        <v>260</v>
      </c>
      <c r="B38" s="58" t="s">
        <v>261</v>
      </c>
      <c r="C38" s="58" t="s">
        <v>233</v>
      </c>
      <c r="D38" s="58" t="s">
        <v>234</v>
      </c>
      <c r="E38" s="57">
        <v>91</v>
      </c>
      <c r="F38">
        <f>IFERROR(VLOOKUP(A38,SACare價目表!A:C,3,FALSE),0)</f>
        <v>2790</v>
      </c>
      <c r="G38">
        <v>253890</v>
      </c>
    </row>
    <row r="39" spans="1:7">
      <c r="A39" s="58" t="s">
        <v>262</v>
      </c>
      <c r="B39" s="58" t="s">
        <v>263</v>
      </c>
      <c r="C39" s="58" t="s">
        <v>233</v>
      </c>
      <c r="D39" s="58" t="s">
        <v>234</v>
      </c>
      <c r="E39" s="57">
        <v>5</v>
      </c>
      <c r="F39">
        <f>IFERROR(VLOOKUP(A39,SACare價目表!A:C,3,FALSE),0)</f>
        <v>2790</v>
      </c>
      <c r="G39">
        <v>13950</v>
      </c>
    </row>
    <row r="40" spans="1:7">
      <c r="A40" s="87" t="s">
        <v>240</v>
      </c>
      <c r="B40" s="87" t="s">
        <v>239</v>
      </c>
      <c r="C40" s="87" t="s">
        <v>239</v>
      </c>
      <c r="D40" s="87" t="s">
        <v>239</v>
      </c>
      <c r="E40" s="88">
        <v>756</v>
      </c>
      <c r="F40">
        <f>IFERROR(VLOOKUP(A40,SACare價目表!A:C,3,FALSE),0)</f>
        <v>0</v>
      </c>
      <c r="G40">
        <v>0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clearSacare">
                <anchor moveWithCells="1" sizeWithCells="1">
                  <from>
                    <xdr:col>0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autoFill="0" autoPict="0" macro="[0]!sacaremoney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autoFill="0" autoPict="0" macro="[0]!sacaremoney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autoFill="0" autoPict="0" macro="[0]!sacaremoney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118"/>
  <sheetViews>
    <sheetView showRuler="0" topLeftCell="A92" workbookViewId="0">
      <selection activeCell="E116" sqref="E116"/>
    </sheetView>
  </sheetViews>
  <sheetFormatPr baseColWidth="10" defaultRowHeight="15"/>
  <cols>
    <col min="1" max="1" width="11" style="38"/>
    <col min="2" max="2" width="56" customWidth="1"/>
  </cols>
  <sheetData>
    <row r="1" spans="1:3">
      <c r="A1" s="38" t="s">
        <v>56</v>
      </c>
      <c r="B1" t="s">
        <v>57</v>
      </c>
      <c r="C1" t="s">
        <v>58</v>
      </c>
    </row>
    <row r="2" spans="1:3">
      <c r="A2" s="60" t="s">
        <v>80</v>
      </c>
      <c r="B2" s="52" t="s">
        <v>52</v>
      </c>
      <c r="C2" s="52">
        <v>2690</v>
      </c>
    </row>
    <row r="3" spans="1:3">
      <c r="A3" s="60" t="s">
        <v>81</v>
      </c>
      <c r="B3" s="52" t="s">
        <v>53</v>
      </c>
      <c r="C3" s="52">
        <v>3690</v>
      </c>
    </row>
    <row r="4" spans="1:3">
      <c r="A4" s="60" t="s">
        <v>82</v>
      </c>
      <c r="B4" s="52" t="s">
        <v>59</v>
      </c>
      <c r="C4" s="52">
        <v>3690</v>
      </c>
    </row>
    <row r="5" spans="1:3">
      <c r="A5" s="60" t="s">
        <v>83</v>
      </c>
      <c r="B5" s="52" t="s">
        <v>60</v>
      </c>
      <c r="C5" s="52">
        <v>2690</v>
      </c>
    </row>
    <row r="6" spans="1:3">
      <c r="A6" s="60" t="s">
        <v>84</v>
      </c>
      <c r="B6" s="52" t="s">
        <v>61</v>
      </c>
      <c r="C6" s="52">
        <v>3690</v>
      </c>
    </row>
    <row r="7" spans="1:3">
      <c r="A7" s="60" t="s">
        <v>85</v>
      </c>
      <c r="B7" s="52" t="s">
        <v>62</v>
      </c>
      <c r="C7" s="52">
        <v>3690</v>
      </c>
    </row>
    <row r="8" spans="1:3">
      <c r="A8" s="60" t="s">
        <v>86</v>
      </c>
      <c r="B8" s="52" t="s">
        <v>63</v>
      </c>
      <c r="C8" s="52">
        <v>3690</v>
      </c>
    </row>
    <row r="9" spans="1:3">
      <c r="A9" s="60" t="s">
        <v>87</v>
      </c>
      <c r="B9" s="52" t="s">
        <v>64</v>
      </c>
      <c r="C9" s="52">
        <v>2690</v>
      </c>
    </row>
    <row r="10" spans="1:3">
      <c r="A10" s="60" t="s">
        <v>88</v>
      </c>
      <c r="B10" s="52" t="s">
        <v>65</v>
      </c>
      <c r="C10" s="52">
        <v>3690</v>
      </c>
    </row>
    <row r="11" spans="1:3">
      <c r="A11" s="60" t="s">
        <v>89</v>
      </c>
      <c r="B11" s="52" t="s">
        <v>54</v>
      </c>
      <c r="C11" s="52">
        <v>3690</v>
      </c>
    </row>
    <row r="12" spans="1:3">
      <c r="A12" s="60" t="s">
        <v>90</v>
      </c>
      <c r="B12" s="52" t="s">
        <v>66</v>
      </c>
      <c r="C12" s="52">
        <v>4690</v>
      </c>
    </row>
    <row r="13" spans="1:3">
      <c r="A13" s="60" t="s">
        <v>91</v>
      </c>
      <c r="B13" s="52" t="s">
        <v>67</v>
      </c>
      <c r="C13" s="52">
        <v>6690</v>
      </c>
    </row>
    <row r="14" spans="1:3">
      <c r="A14" s="60" t="s">
        <v>92</v>
      </c>
      <c r="B14" s="52" t="s">
        <v>68</v>
      </c>
      <c r="C14" s="52">
        <v>1990</v>
      </c>
    </row>
    <row r="15" spans="1:3">
      <c r="A15" s="60" t="s">
        <v>93</v>
      </c>
      <c r="B15" s="52" t="s">
        <v>55</v>
      </c>
      <c r="C15" s="52">
        <v>4690</v>
      </c>
    </row>
    <row r="16" spans="1:3">
      <c r="A16" s="60" t="s">
        <v>94</v>
      </c>
      <c r="B16" s="52" t="s">
        <v>69</v>
      </c>
      <c r="C16" s="52">
        <v>4690</v>
      </c>
    </row>
    <row r="17" spans="1:3">
      <c r="A17" s="60" t="s">
        <v>95</v>
      </c>
      <c r="B17" s="52" t="s">
        <v>52</v>
      </c>
      <c r="C17" s="52">
        <v>2690</v>
      </c>
    </row>
    <row r="18" spans="1:3">
      <c r="A18" s="60" t="s">
        <v>96</v>
      </c>
      <c r="B18" s="52" t="s">
        <v>53</v>
      </c>
      <c r="C18" s="52">
        <v>3690</v>
      </c>
    </row>
    <row r="19" spans="1:3">
      <c r="A19" s="60" t="s">
        <v>97</v>
      </c>
      <c r="B19" s="52" t="s">
        <v>59</v>
      </c>
      <c r="C19" s="52">
        <v>3690</v>
      </c>
    </row>
    <row r="20" spans="1:3">
      <c r="A20" s="60" t="s">
        <v>98</v>
      </c>
      <c r="B20" s="52" t="s">
        <v>60</v>
      </c>
      <c r="C20" s="52">
        <v>2690</v>
      </c>
    </row>
    <row r="21" spans="1:3">
      <c r="A21" s="60" t="s">
        <v>99</v>
      </c>
      <c r="B21" s="52" t="s">
        <v>61</v>
      </c>
      <c r="C21" s="52">
        <v>3690</v>
      </c>
    </row>
    <row r="22" spans="1:3">
      <c r="A22" s="60" t="s">
        <v>100</v>
      </c>
      <c r="B22" s="52" t="s">
        <v>62</v>
      </c>
      <c r="C22" s="52">
        <v>3690</v>
      </c>
    </row>
    <row r="23" spans="1:3">
      <c r="A23" s="60" t="s">
        <v>101</v>
      </c>
      <c r="B23" s="52" t="s">
        <v>63</v>
      </c>
      <c r="C23" s="52">
        <v>3690</v>
      </c>
    </row>
    <row r="24" spans="1:3">
      <c r="A24" s="60" t="s">
        <v>102</v>
      </c>
      <c r="B24" s="52" t="s">
        <v>64</v>
      </c>
      <c r="C24" s="52">
        <v>2690</v>
      </c>
    </row>
    <row r="25" spans="1:3">
      <c r="A25" s="60" t="s">
        <v>103</v>
      </c>
      <c r="B25" s="52" t="s">
        <v>65</v>
      </c>
      <c r="C25" s="52">
        <v>3690</v>
      </c>
    </row>
    <row r="26" spans="1:3">
      <c r="A26" s="60" t="s">
        <v>104</v>
      </c>
      <c r="B26" s="52" t="s">
        <v>54</v>
      </c>
      <c r="C26" s="52">
        <v>3690</v>
      </c>
    </row>
    <row r="27" spans="1:3">
      <c r="A27" s="60" t="s">
        <v>105</v>
      </c>
      <c r="B27" s="52" t="s">
        <v>66</v>
      </c>
      <c r="C27" s="52">
        <v>4690</v>
      </c>
    </row>
    <row r="28" spans="1:3">
      <c r="A28" s="60" t="s">
        <v>106</v>
      </c>
      <c r="B28" s="52" t="s">
        <v>67</v>
      </c>
      <c r="C28" s="52">
        <v>6690</v>
      </c>
    </row>
    <row r="29" spans="1:3">
      <c r="A29" s="60" t="s">
        <v>107</v>
      </c>
      <c r="B29" s="52" t="s">
        <v>68</v>
      </c>
      <c r="C29" s="52">
        <v>1990</v>
      </c>
    </row>
    <row r="30" spans="1:3">
      <c r="A30" s="60" t="s">
        <v>108</v>
      </c>
      <c r="B30" s="52" t="s">
        <v>55</v>
      </c>
      <c r="C30" s="52">
        <v>4690</v>
      </c>
    </row>
    <row r="31" spans="1:3">
      <c r="A31" s="60" t="s">
        <v>109</v>
      </c>
      <c r="B31" s="52" t="s">
        <v>69</v>
      </c>
      <c r="C31" s="52">
        <v>4690</v>
      </c>
    </row>
    <row r="32" spans="1:3">
      <c r="A32" s="60" t="s">
        <v>110</v>
      </c>
      <c r="B32" s="52" t="s">
        <v>76</v>
      </c>
      <c r="C32" s="52">
        <v>3752</v>
      </c>
    </row>
    <row r="33" spans="1:3">
      <c r="A33" s="60" t="s">
        <v>111</v>
      </c>
      <c r="B33" s="52" t="s">
        <v>76</v>
      </c>
      <c r="C33" s="52">
        <v>3752</v>
      </c>
    </row>
    <row r="34" spans="1:3">
      <c r="A34" s="60" t="s">
        <v>112</v>
      </c>
      <c r="B34" s="52" t="s">
        <v>113</v>
      </c>
      <c r="C34" s="52">
        <v>3690</v>
      </c>
    </row>
    <row r="35" spans="1:3">
      <c r="A35" s="60" t="s">
        <v>114</v>
      </c>
      <c r="B35" s="52" t="s">
        <v>77</v>
      </c>
      <c r="C35" s="52">
        <v>4690</v>
      </c>
    </row>
    <row r="36" spans="1:3">
      <c r="A36" s="60" t="s">
        <v>115</v>
      </c>
      <c r="B36" s="52" t="s">
        <v>78</v>
      </c>
      <c r="C36" s="52">
        <v>2690</v>
      </c>
    </row>
    <row r="37" spans="1:3">
      <c r="A37" s="60" t="s">
        <v>116</v>
      </c>
      <c r="B37" s="52" t="s">
        <v>79</v>
      </c>
      <c r="C37" s="52">
        <v>3690</v>
      </c>
    </row>
    <row r="38" spans="1:3">
      <c r="A38" s="60" t="s">
        <v>117</v>
      </c>
      <c r="B38" s="52" t="s">
        <v>113</v>
      </c>
      <c r="C38" s="52">
        <v>3690</v>
      </c>
    </row>
    <row r="39" spans="1:3">
      <c r="A39" s="60" t="s">
        <v>118</v>
      </c>
      <c r="B39" s="52" t="s">
        <v>77</v>
      </c>
      <c r="C39" s="52">
        <v>4690</v>
      </c>
    </row>
    <row r="40" spans="1:3">
      <c r="A40" s="60" t="s">
        <v>119</v>
      </c>
      <c r="B40" s="52" t="s">
        <v>78</v>
      </c>
      <c r="C40" s="52">
        <v>2690</v>
      </c>
    </row>
    <row r="41" spans="1:3">
      <c r="A41" s="60" t="s">
        <v>120</v>
      </c>
      <c r="B41" s="52" t="s">
        <v>79</v>
      </c>
      <c r="C41" s="52">
        <v>3690</v>
      </c>
    </row>
    <row r="42" spans="1:3">
      <c r="A42" s="60" t="s">
        <v>121</v>
      </c>
      <c r="B42" s="52" t="s">
        <v>122</v>
      </c>
      <c r="C42" s="52">
        <v>2990</v>
      </c>
    </row>
    <row r="43" spans="1:3">
      <c r="A43" s="60" t="s">
        <v>123</v>
      </c>
      <c r="B43" s="52" t="s">
        <v>124</v>
      </c>
      <c r="C43" s="52">
        <v>2990</v>
      </c>
    </row>
    <row r="44" spans="1:3">
      <c r="A44" s="60" t="s">
        <v>125</v>
      </c>
      <c r="B44" s="52" t="s">
        <v>126</v>
      </c>
      <c r="C44" s="52">
        <v>2990</v>
      </c>
    </row>
    <row r="45" spans="1:3">
      <c r="A45" s="60" t="s">
        <v>127</v>
      </c>
      <c r="B45" s="52" t="s">
        <v>128</v>
      </c>
      <c r="C45" s="52">
        <v>2392</v>
      </c>
    </row>
    <row r="46" spans="1:3">
      <c r="A46" s="60" t="s">
        <v>129</v>
      </c>
      <c r="B46" s="52" t="s">
        <v>122</v>
      </c>
      <c r="C46" s="52">
        <v>2990</v>
      </c>
    </row>
    <row r="47" spans="1:3">
      <c r="A47" s="60" t="s">
        <v>130</v>
      </c>
      <c r="B47" s="52" t="s">
        <v>124</v>
      </c>
      <c r="C47" s="52">
        <v>2990</v>
      </c>
    </row>
    <row r="48" spans="1:3">
      <c r="A48" s="60" t="s">
        <v>131</v>
      </c>
      <c r="B48" s="52" t="s">
        <v>126</v>
      </c>
      <c r="C48" s="52">
        <v>2990</v>
      </c>
    </row>
    <row r="49" spans="1:3">
      <c r="A49" s="60" t="s">
        <v>132</v>
      </c>
      <c r="B49" s="52" t="s">
        <v>128</v>
      </c>
      <c r="C49" s="52">
        <v>2392</v>
      </c>
    </row>
    <row r="50" spans="1:3">
      <c r="A50" s="55" t="s">
        <v>220</v>
      </c>
      <c r="B50" s="52" t="s">
        <v>133</v>
      </c>
      <c r="C50" s="52">
        <v>3790</v>
      </c>
    </row>
    <row r="51" spans="1:3">
      <c r="A51" s="55" t="s">
        <v>221</v>
      </c>
      <c r="B51" s="52" t="s">
        <v>134</v>
      </c>
      <c r="C51" s="52">
        <v>4690</v>
      </c>
    </row>
    <row r="52" spans="1:3">
      <c r="A52" s="55" t="s">
        <v>222</v>
      </c>
      <c r="B52" s="52" t="s">
        <v>135</v>
      </c>
      <c r="C52" s="52">
        <v>6590</v>
      </c>
    </row>
    <row r="53" spans="1:3">
      <c r="A53" s="55" t="s">
        <v>223</v>
      </c>
      <c r="B53" s="52" t="s">
        <v>136</v>
      </c>
      <c r="C53" s="52">
        <v>1990</v>
      </c>
    </row>
    <row r="54" spans="1:3">
      <c r="A54" s="55" t="s">
        <v>224</v>
      </c>
      <c r="B54" s="52" t="s">
        <v>137</v>
      </c>
      <c r="C54" s="52">
        <v>3490</v>
      </c>
    </row>
    <row r="55" spans="1:3">
      <c r="A55" s="55" t="s">
        <v>225</v>
      </c>
      <c r="B55" s="52" t="s">
        <v>138</v>
      </c>
      <c r="C55" s="52">
        <v>1690</v>
      </c>
    </row>
    <row r="56" spans="1:3">
      <c r="A56" s="55" t="s">
        <v>226</v>
      </c>
      <c r="B56" s="52" t="s">
        <v>139</v>
      </c>
      <c r="C56" s="52">
        <v>2390</v>
      </c>
    </row>
    <row r="57" spans="1:3">
      <c r="A57" s="55" t="s">
        <v>232</v>
      </c>
      <c r="B57" s="52" t="s">
        <v>140</v>
      </c>
      <c r="C57" s="52">
        <v>7190</v>
      </c>
    </row>
    <row r="58" spans="1:3">
      <c r="A58" s="55" t="s">
        <v>230</v>
      </c>
      <c r="B58" s="52" t="s">
        <v>141</v>
      </c>
      <c r="C58" s="52">
        <v>8090</v>
      </c>
    </row>
    <row r="59" spans="1:3">
      <c r="A59" s="55" t="s">
        <v>231</v>
      </c>
      <c r="B59" s="52" t="s">
        <v>142</v>
      </c>
      <c r="C59" s="52">
        <v>11090</v>
      </c>
    </row>
    <row r="60" spans="1:3">
      <c r="A60" s="55" t="s">
        <v>229</v>
      </c>
      <c r="B60" s="52" t="s">
        <v>143</v>
      </c>
      <c r="C60" s="52">
        <v>3790</v>
      </c>
    </row>
    <row r="61" spans="1:3">
      <c r="A61" s="55" t="s">
        <v>228</v>
      </c>
      <c r="B61" s="52" t="s">
        <v>144</v>
      </c>
      <c r="C61" s="52">
        <v>4690</v>
      </c>
    </row>
    <row r="62" spans="1:3">
      <c r="A62" s="55" t="s">
        <v>227</v>
      </c>
      <c r="B62" s="52" t="s">
        <v>145</v>
      </c>
      <c r="C62" s="52">
        <v>6590</v>
      </c>
    </row>
    <row r="63" spans="1:3">
      <c r="A63" s="55" t="s">
        <v>219</v>
      </c>
      <c r="B63" s="52" t="s">
        <v>146</v>
      </c>
      <c r="C63" s="52">
        <v>1990</v>
      </c>
    </row>
    <row r="64" spans="1:3">
      <c r="A64" s="55" t="s">
        <v>203</v>
      </c>
      <c r="B64" s="52" t="s">
        <v>147</v>
      </c>
      <c r="C64" s="52">
        <v>3490</v>
      </c>
    </row>
    <row r="65" spans="1:3">
      <c r="A65" s="55" t="s">
        <v>205</v>
      </c>
      <c r="B65" s="52" t="s">
        <v>148</v>
      </c>
      <c r="C65" s="52">
        <v>2590</v>
      </c>
    </row>
    <row r="66" spans="1:3">
      <c r="A66" s="55" t="s">
        <v>204</v>
      </c>
      <c r="B66" s="52" t="s">
        <v>149</v>
      </c>
      <c r="C66" s="52">
        <v>3290</v>
      </c>
    </row>
    <row r="67" spans="1:3">
      <c r="A67" s="55" t="s">
        <v>218</v>
      </c>
      <c r="B67" s="52" t="s">
        <v>150</v>
      </c>
      <c r="C67" s="52">
        <v>4390</v>
      </c>
    </row>
    <row r="68" spans="1:3">
      <c r="A68" s="55" t="s">
        <v>217</v>
      </c>
      <c r="B68" s="52" t="s">
        <v>151</v>
      </c>
      <c r="C68" s="52">
        <v>1590</v>
      </c>
    </row>
    <row r="69" spans="1:3">
      <c r="A69" s="55" t="s">
        <v>216</v>
      </c>
      <c r="B69" s="52" t="s">
        <v>152</v>
      </c>
      <c r="C69" s="52">
        <v>2590</v>
      </c>
    </row>
    <row r="70" spans="1:3">
      <c r="A70" s="55" t="s">
        <v>215</v>
      </c>
      <c r="B70" s="52" t="s">
        <v>153</v>
      </c>
      <c r="C70" s="52">
        <v>1290</v>
      </c>
    </row>
    <row r="71" spans="1:3">
      <c r="A71" s="55" t="s">
        <v>214</v>
      </c>
      <c r="B71" s="52" t="s">
        <v>154</v>
      </c>
      <c r="C71" s="52">
        <v>1690</v>
      </c>
    </row>
    <row r="72" spans="1:3">
      <c r="A72" s="55" t="s">
        <v>213</v>
      </c>
      <c r="B72" s="52" t="s">
        <v>155</v>
      </c>
      <c r="C72" s="52">
        <v>4690</v>
      </c>
    </row>
    <row r="73" spans="1:3">
      <c r="A73" s="55" t="s">
        <v>212</v>
      </c>
      <c r="B73" s="52" t="s">
        <v>156</v>
      </c>
      <c r="C73" s="52">
        <v>5290</v>
      </c>
    </row>
    <row r="74" spans="1:3">
      <c r="A74" s="55" t="s">
        <v>211</v>
      </c>
      <c r="B74" s="52" t="s">
        <v>157</v>
      </c>
      <c r="C74" s="52">
        <v>6990</v>
      </c>
    </row>
    <row r="75" spans="1:3">
      <c r="A75" s="55" t="s">
        <v>210</v>
      </c>
      <c r="B75" s="52" t="s">
        <v>158</v>
      </c>
      <c r="C75" s="52">
        <v>2590</v>
      </c>
    </row>
    <row r="76" spans="1:3">
      <c r="A76" s="55" t="s">
        <v>209</v>
      </c>
      <c r="B76" s="52" t="s">
        <v>159</v>
      </c>
      <c r="C76" s="52">
        <v>3290</v>
      </c>
    </row>
    <row r="77" spans="1:3">
      <c r="A77" s="55" t="s">
        <v>208</v>
      </c>
      <c r="B77" s="52" t="s">
        <v>160</v>
      </c>
      <c r="C77" s="52">
        <v>4390</v>
      </c>
    </row>
    <row r="78" spans="1:3">
      <c r="A78" s="55" t="s">
        <v>206</v>
      </c>
      <c r="B78" s="52" t="s">
        <v>161</v>
      </c>
      <c r="C78" s="52">
        <v>1590</v>
      </c>
    </row>
    <row r="79" spans="1:3">
      <c r="A79" s="55" t="s">
        <v>207</v>
      </c>
      <c r="B79" s="52" t="s">
        <v>162</v>
      </c>
      <c r="C79" s="52">
        <v>2590</v>
      </c>
    </row>
    <row r="80" spans="1:3">
      <c r="A80" s="60" t="s">
        <v>256</v>
      </c>
      <c r="B80" s="52" t="s">
        <v>163</v>
      </c>
      <c r="C80" s="53">
        <v>1690</v>
      </c>
    </row>
    <row r="81" spans="1:3">
      <c r="A81" s="60" t="s">
        <v>164</v>
      </c>
      <c r="B81" s="52" t="s">
        <v>165</v>
      </c>
      <c r="C81" s="53">
        <v>2390</v>
      </c>
    </row>
    <row r="82" spans="1:3">
      <c r="A82" s="60" t="s">
        <v>166</v>
      </c>
      <c r="B82" s="52" t="s">
        <v>167</v>
      </c>
      <c r="C82" s="53">
        <v>7190</v>
      </c>
    </row>
    <row r="83" spans="1:3">
      <c r="A83" s="60" t="s">
        <v>168</v>
      </c>
      <c r="B83" s="52" t="s">
        <v>169</v>
      </c>
      <c r="C83" s="53">
        <v>8090</v>
      </c>
    </row>
    <row r="84" spans="1:3">
      <c r="A84" s="60" t="s">
        <v>170</v>
      </c>
      <c r="B84" s="52" t="s">
        <v>171</v>
      </c>
      <c r="C84" s="53">
        <v>11090</v>
      </c>
    </row>
    <row r="85" spans="1:3">
      <c r="A85" s="60" t="s">
        <v>172</v>
      </c>
      <c r="B85" s="52" t="s">
        <v>173</v>
      </c>
      <c r="C85" s="53">
        <v>1290</v>
      </c>
    </row>
    <row r="86" spans="1:3">
      <c r="A86" s="60" t="s">
        <v>174</v>
      </c>
      <c r="B86" s="52" t="s">
        <v>175</v>
      </c>
      <c r="C86" s="53">
        <v>1690</v>
      </c>
    </row>
    <row r="87" spans="1:3">
      <c r="A87" s="60" t="s">
        <v>176</v>
      </c>
      <c r="B87" s="52" t="s">
        <v>177</v>
      </c>
      <c r="C87" s="53">
        <v>4690</v>
      </c>
    </row>
    <row r="88" spans="1:3">
      <c r="A88" s="60" t="s">
        <v>178</v>
      </c>
      <c r="B88" s="52" t="s">
        <v>179</v>
      </c>
      <c r="C88" s="53">
        <v>5290</v>
      </c>
    </row>
    <row r="89" spans="1:3">
      <c r="A89" s="60" t="s">
        <v>180</v>
      </c>
      <c r="B89" s="52" t="s">
        <v>181</v>
      </c>
      <c r="C89" s="53">
        <v>6990</v>
      </c>
    </row>
    <row r="90" spans="1:3">
      <c r="A90" s="60" t="s">
        <v>182</v>
      </c>
      <c r="B90" s="52" t="s">
        <v>183</v>
      </c>
      <c r="C90" s="53">
        <v>2590</v>
      </c>
    </row>
    <row r="91" spans="1:3">
      <c r="A91" s="60" t="s">
        <v>184</v>
      </c>
      <c r="B91" s="52" t="s">
        <v>185</v>
      </c>
      <c r="C91" s="53">
        <v>3290</v>
      </c>
    </row>
    <row r="92" spans="1:3">
      <c r="A92" s="60" t="s">
        <v>186</v>
      </c>
      <c r="B92" s="52" t="s">
        <v>187</v>
      </c>
      <c r="C92" s="53">
        <v>4390</v>
      </c>
    </row>
    <row r="93" spans="1:3">
      <c r="A93" s="60" t="s">
        <v>188</v>
      </c>
      <c r="B93" s="52" t="s">
        <v>189</v>
      </c>
      <c r="C93" s="53">
        <v>1590</v>
      </c>
    </row>
    <row r="94" spans="1:3">
      <c r="A94" s="60" t="s">
        <v>190</v>
      </c>
      <c r="B94" s="52" t="s">
        <v>191</v>
      </c>
      <c r="C94" s="53">
        <v>2590</v>
      </c>
    </row>
    <row r="95" spans="1:3">
      <c r="A95" s="60" t="s">
        <v>192</v>
      </c>
      <c r="B95" s="52" t="s">
        <v>193</v>
      </c>
      <c r="C95" s="53">
        <v>1290</v>
      </c>
    </row>
    <row r="96" spans="1:3">
      <c r="A96" s="60" t="s">
        <v>194</v>
      </c>
      <c r="B96" s="52" t="s">
        <v>195</v>
      </c>
      <c r="C96" s="53">
        <v>1690</v>
      </c>
    </row>
    <row r="97" spans="1:3">
      <c r="A97" s="60" t="s">
        <v>196</v>
      </c>
      <c r="B97" s="52" t="s">
        <v>197</v>
      </c>
      <c r="C97" s="53">
        <v>4690</v>
      </c>
    </row>
    <row r="98" spans="1:3">
      <c r="A98" s="60" t="s">
        <v>198</v>
      </c>
      <c r="B98" s="52" t="s">
        <v>199</v>
      </c>
      <c r="C98" s="53">
        <v>5290</v>
      </c>
    </row>
    <row r="99" spans="1:3">
      <c r="A99" s="60" t="s">
        <v>200</v>
      </c>
      <c r="B99" s="52" t="s">
        <v>201</v>
      </c>
      <c r="C99" s="53">
        <v>6990</v>
      </c>
    </row>
    <row r="100" spans="1:3">
      <c r="A100" s="60" t="s">
        <v>200</v>
      </c>
      <c r="B100" s="52" t="s">
        <v>201</v>
      </c>
      <c r="C100" s="53">
        <v>6990</v>
      </c>
    </row>
    <row r="101" spans="1:3">
      <c r="A101" s="74" t="s">
        <v>257</v>
      </c>
      <c r="B101" s="75" t="s">
        <v>251</v>
      </c>
      <c r="C101" s="53">
        <v>699</v>
      </c>
    </row>
    <row r="102" spans="1:3">
      <c r="A102" s="74" t="s">
        <v>258</v>
      </c>
      <c r="B102" s="75" t="s">
        <v>259</v>
      </c>
      <c r="C102" s="53">
        <v>799</v>
      </c>
    </row>
    <row r="103" spans="1:3">
      <c r="A103" s="74" t="s">
        <v>260</v>
      </c>
      <c r="B103" s="75" t="s">
        <v>261</v>
      </c>
      <c r="C103" s="53">
        <v>2790</v>
      </c>
    </row>
    <row r="104" spans="1:3">
      <c r="A104" s="74" t="s">
        <v>262</v>
      </c>
      <c r="B104" s="75" t="s">
        <v>263</v>
      </c>
      <c r="C104" s="53">
        <v>2790</v>
      </c>
    </row>
    <row r="105" spans="1:3">
      <c r="A105" s="60" t="s">
        <v>264</v>
      </c>
      <c r="B105" s="60" t="s">
        <v>265</v>
      </c>
      <c r="C105" s="76">
        <v>1990</v>
      </c>
    </row>
    <row r="106" spans="1:3">
      <c r="A106" s="56" t="s">
        <v>241</v>
      </c>
      <c r="B106" s="56" t="s">
        <v>242</v>
      </c>
      <c r="C106" s="59">
        <v>1990</v>
      </c>
    </row>
    <row r="107" spans="1:3">
      <c r="A107" s="56" t="s">
        <v>243</v>
      </c>
      <c r="B107" s="56" t="s">
        <v>137</v>
      </c>
      <c r="C107" s="59">
        <v>3490</v>
      </c>
    </row>
    <row r="108" spans="1:3">
      <c r="A108" s="56" t="s">
        <v>244</v>
      </c>
      <c r="B108" s="56" t="s">
        <v>140</v>
      </c>
      <c r="C108" s="59">
        <v>7190</v>
      </c>
    </row>
    <row r="109" spans="1:3">
      <c r="A109" s="56" t="s">
        <v>245</v>
      </c>
      <c r="B109" s="56" t="s">
        <v>141</v>
      </c>
      <c r="C109" s="59">
        <v>8090</v>
      </c>
    </row>
    <row r="110" spans="1:3">
      <c r="A110" s="56" t="s">
        <v>248</v>
      </c>
      <c r="B110" s="56" t="s">
        <v>142</v>
      </c>
      <c r="C110" s="59">
        <v>11090</v>
      </c>
    </row>
    <row r="111" spans="1:3">
      <c r="A111" s="56" t="s">
        <v>244</v>
      </c>
      <c r="B111" s="56" t="s">
        <v>140</v>
      </c>
      <c r="C111" s="59">
        <v>7190</v>
      </c>
    </row>
    <row r="112" spans="1:3">
      <c r="A112" s="56" t="s">
        <v>245</v>
      </c>
      <c r="B112" s="56" t="s">
        <v>141</v>
      </c>
      <c r="C112" s="59">
        <v>8090</v>
      </c>
    </row>
    <row r="113" spans="1:3">
      <c r="A113" s="56" t="s">
        <v>248</v>
      </c>
      <c r="B113" s="56" t="s">
        <v>142</v>
      </c>
      <c r="C113" s="59">
        <v>11090</v>
      </c>
    </row>
    <row r="114" spans="1:3">
      <c r="A114" s="56" t="s">
        <v>246</v>
      </c>
      <c r="B114" s="56" t="s">
        <v>247</v>
      </c>
      <c r="C114" s="59">
        <v>1990</v>
      </c>
    </row>
    <row r="115" spans="1:3">
      <c r="A115" s="56" t="s">
        <v>249</v>
      </c>
      <c r="B115" s="56" t="s">
        <v>147</v>
      </c>
      <c r="C115" s="59">
        <v>3490</v>
      </c>
    </row>
    <row r="116" spans="1:3">
      <c r="A116" s="60" t="s">
        <v>250</v>
      </c>
      <c r="B116" s="52" t="s">
        <v>251</v>
      </c>
      <c r="C116" s="53">
        <v>699</v>
      </c>
    </row>
    <row r="117" spans="1:3">
      <c r="A117" s="60" t="s">
        <v>252</v>
      </c>
      <c r="B117" s="52" t="s">
        <v>253</v>
      </c>
      <c r="C117" s="53">
        <v>799</v>
      </c>
    </row>
    <row r="118" spans="1:3">
      <c r="A118" s="60" t="s">
        <v>254</v>
      </c>
      <c r="B118" s="52" t="s">
        <v>255</v>
      </c>
      <c r="C118" s="53">
        <v>900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每日營業</vt:lpstr>
      <vt:lpstr>每月累積</vt:lpstr>
      <vt:lpstr>同期比較</vt:lpstr>
      <vt:lpstr>SAcare</vt:lpstr>
      <vt:lpstr>SACare價目表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Steve</cp:lastModifiedBy>
  <dcterms:created xsi:type="dcterms:W3CDTF">2017-06-19T09:09:42Z</dcterms:created>
  <dcterms:modified xsi:type="dcterms:W3CDTF">2020-06-08T03:25:44Z</dcterms:modified>
</cp:coreProperties>
</file>