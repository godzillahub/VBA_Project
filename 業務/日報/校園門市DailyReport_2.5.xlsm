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日報/"/>
    </mc:Choice>
  </mc:AlternateContent>
  <xr:revisionPtr revIDLastSave="0" documentId="13_ncr:1_{AF472140-0DBE-8C4B-87DE-F79FE2409B05}" xr6:coauthVersionLast="45" xr6:coauthVersionMax="45" xr10:uidLastSave="{00000000-0000-0000-0000-000000000000}"/>
  <bookViews>
    <workbookView xWindow="1340" yWindow="1340" windowWidth="29180" windowHeight="18220" tabRatio="500" xr2:uid="{00000000-000D-0000-FFFF-FFFF00000000}"/>
  </bookViews>
  <sheets>
    <sheet name="日報" sheetId="2" r:id="rId1"/>
    <sheet name="每日營業" sheetId="1" r:id="rId2"/>
    <sheet name="每月累積" sheetId="6" r:id="rId3"/>
    <sheet name="同期比較" sheetId="7" r:id="rId4"/>
    <sheet name="SAcare" sheetId="8" r:id="rId5"/>
    <sheet name="SACare價目表" sheetId="9" r:id="rId6"/>
  </sheets>
  <definedNames>
    <definedName name="_xlnm._FilterDatabase" localSheetId="3" hidden="1">同期比較!$A$10:$L$10</definedName>
    <definedName name="_xlnm._FilterDatabase" localSheetId="1" hidden="1">每日營業!$A$10:$ALK$10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8" i="2" l="1"/>
  <c r="D28" i="2"/>
  <c r="C28" i="2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H28" i="2"/>
  <c r="H27" i="2"/>
  <c r="C37" i="2" l="1"/>
  <c r="H2" i="2"/>
  <c r="C4" i="2" s="1"/>
  <c r="H5" i="2" s="1"/>
  <c r="C9" i="2"/>
  <c r="C34" i="2" s="1"/>
  <c r="C33" i="2"/>
  <c r="C22" i="2"/>
  <c r="C20" i="2"/>
  <c r="C24" i="2"/>
  <c r="D9" i="2"/>
  <c r="D34" i="2" s="1"/>
  <c r="G9" i="2"/>
  <c r="G34" i="2" s="1"/>
  <c r="E9" i="2"/>
  <c r="E26" i="2" s="1"/>
  <c r="E34" i="2"/>
  <c r="D33" i="2"/>
  <c r="H33" i="2" s="1"/>
  <c r="G33" i="2"/>
  <c r="H29" i="2"/>
  <c r="F29" i="2"/>
  <c r="G26" i="2"/>
  <c r="H25" i="2"/>
  <c r="F25" i="2"/>
  <c r="D24" i="2"/>
  <c r="G24" i="2"/>
  <c r="E24" i="2"/>
  <c r="H23" i="2"/>
  <c r="F23" i="2"/>
  <c r="D22" i="2"/>
  <c r="G22" i="2"/>
  <c r="E22" i="2"/>
  <c r="H21" i="2"/>
  <c r="F21" i="2"/>
  <c r="D20" i="2"/>
  <c r="H20" i="2" s="1"/>
  <c r="G20" i="2"/>
  <c r="E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H10" i="2"/>
  <c r="F10" i="2"/>
  <c r="H7" i="2"/>
  <c r="F7" i="2"/>
  <c r="H24" i="2" l="1"/>
  <c r="H9" i="2"/>
  <c r="H22" i="2"/>
  <c r="D26" i="2"/>
  <c r="H26" i="2" s="1"/>
  <c r="F24" i="2"/>
  <c r="F22" i="2"/>
  <c r="F20" i="2"/>
  <c r="H34" i="2"/>
  <c r="F34" i="2"/>
  <c r="C26" i="2"/>
  <c r="B4" i="2"/>
  <c r="F9" i="2"/>
  <c r="F26" i="2" l="1"/>
</calcChain>
</file>

<file path=xl/sharedStrings.xml><?xml version="1.0" encoding="utf-8"?>
<sst xmlns="http://schemas.openxmlformats.org/spreadsheetml/2006/main" count="830" uniqueCount="391">
  <si>
    <t>門市別：</t>
    <phoneticPr fontId="2" type="noConversion"/>
  </si>
  <si>
    <t>北區</t>
    <phoneticPr fontId="2" type="noConversion"/>
  </si>
  <si>
    <t>本日銷售人數</t>
    <phoneticPr fontId="2" type="noConversion"/>
  </si>
  <si>
    <t>本日休假人數</t>
    <phoneticPr fontId="2" type="noConversion"/>
  </si>
  <si>
    <t>本月日數</t>
    <phoneticPr fontId="2" type="noConversion"/>
  </si>
  <si>
    <t>日</t>
    <phoneticPr fontId="2" type="noConversion"/>
  </si>
  <si>
    <t>應達成率</t>
    <phoneticPr fontId="2" type="noConversion"/>
  </si>
  <si>
    <t>　</t>
  </si>
  <si>
    <t>今日</t>
    <phoneticPr fontId="5" type="noConversion"/>
  </si>
  <si>
    <t>本月累積</t>
    <phoneticPr fontId="2" type="noConversion"/>
  </si>
  <si>
    <t>本月目標</t>
    <phoneticPr fontId="2" type="noConversion"/>
  </si>
  <si>
    <t>達成率</t>
    <phoneticPr fontId="2" type="noConversion"/>
  </si>
  <si>
    <t>上月同期</t>
  </si>
  <si>
    <t>與上月同期比</t>
    <phoneticPr fontId="2" type="noConversion"/>
  </si>
  <si>
    <t>總營業額</t>
    <phoneticPr fontId="2" type="noConversion"/>
  </si>
  <si>
    <t>零售營業額</t>
    <phoneticPr fontId="2" type="noConversion"/>
  </si>
  <si>
    <t>專案營業額</t>
    <phoneticPr fontId="2" type="noConversion"/>
  </si>
  <si>
    <t>Apple主機營業額</t>
    <phoneticPr fontId="5" type="noConversion"/>
  </si>
  <si>
    <t>Apple配件營業額</t>
    <phoneticPr fontId="2" type="noConversion"/>
  </si>
  <si>
    <t>CPU 台數</t>
    <phoneticPr fontId="5" type="noConversion"/>
  </si>
  <si>
    <t>iPad 台數</t>
    <phoneticPr fontId="2" type="noConversion"/>
  </si>
  <si>
    <t>iPad Pro 台數</t>
    <phoneticPr fontId="2" type="noConversion"/>
  </si>
  <si>
    <t>iPhone 台數</t>
    <phoneticPr fontId="2" type="noConversion"/>
  </si>
  <si>
    <r>
      <rPr>
        <sz val="10"/>
        <color indexed="8"/>
        <rFont val="Monaco"/>
        <family val="2"/>
      </rPr>
      <t></t>
    </r>
    <r>
      <rPr>
        <sz val="10"/>
        <color indexed="8"/>
        <rFont val="新細明體"/>
        <family val="1"/>
        <charset val="136"/>
        <scheme val="minor"/>
      </rPr>
      <t>Watch 台數</t>
    </r>
    <phoneticPr fontId="2" type="noConversion"/>
  </si>
  <si>
    <t>iPod 台數</t>
    <phoneticPr fontId="5" type="noConversion"/>
  </si>
  <si>
    <t>ACPP-MAC</t>
    <phoneticPr fontId="2" type="noConversion"/>
  </si>
  <si>
    <t>ACPP-MAC 搭售率</t>
    <phoneticPr fontId="2" type="noConversion"/>
  </si>
  <si>
    <t>SA Care for CPU</t>
    <phoneticPr fontId="2" type="noConversion"/>
  </si>
  <si>
    <t>SA Care for CPU 搭售率</t>
    <phoneticPr fontId="2" type="noConversion"/>
  </si>
  <si>
    <t>SA Care for iOS</t>
    <phoneticPr fontId="2" type="noConversion"/>
  </si>
  <si>
    <t>SA Care for iOS搭售率</t>
    <phoneticPr fontId="2" type="noConversion"/>
  </si>
  <si>
    <t>3PP配件營業額</t>
    <phoneticPr fontId="2" type="noConversion"/>
  </si>
  <si>
    <t>3PP搭售率</t>
    <phoneticPr fontId="2" type="noConversion"/>
  </si>
  <si>
    <t>時價商品</t>
    <phoneticPr fontId="2" type="noConversion"/>
  </si>
  <si>
    <t>其他營業額</t>
    <phoneticPr fontId="2" type="noConversion"/>
  </si>
  <si>
    <t>人均產值</t>
    <phoneticPr fontId="2" type="noConversion"/>
  </si>
  <si>
    <t>舊換新台數:</t>
    <phoneticPr fontId="2" type="noConversion"/>
  </si>
  <si>
    <t>本日營運概況</t>
  </si>
  <si>
    <t>備註：</t>
    <phoneticPr fontId="2" type="noConversion"/>
  </si>
  <si>
    <t>1.請勿更動工作表名稱與欄位位置</t>
    <phoneticPr fontId="2" type="noConversion"/>
  </si>
  <si>
    <t>2.執行計算前請先清除舊資料確保正確</t>
    <phoneticPr fontId="2" type="noConversion"/>
  </si>
  <si>
    <t>6509</t>
  </si>
  <si>
    <t>SA CARE-CPU</t>
  </si>
  <si>
    <t>成交筆數</t>
    <phoneticPr fontId="2" type="noConversion"/>
  </si>
  <si>
    <t>提袋率</t>
    <phoneticPr fontId="2" type="noConversion"/>
  </si>
  <si>
    <t>來客數</t>
    <phoneticPr fontId="2" type="noConversion"/>
  </si>
  <si>
    <t>One to many/many to many次數：</t>
    <phoneticPr fontId="2" type="noConversion"/>
  </si>
  <si>
    <t>團客人數：</t>
    <phoneticPr fontId="2" type="noConversion"/>
  </si>
  <si>
    <t>從下欄開始貼上</t>
    <phoneticPr fontId="2" type="noConversion"/>
  </si>
  <si>
    <t>STUDIO A Care for iPad ($2,690)</t>
  </si>
  <si>
    <t>6508</t>
  </si>
  <si>
    <t>SA CARE-iOS</t>
  </si>
  <si>
    <t>STUDIO A Care for iPhone ($3,690)</t>
  </si>
  <si>
    <t>STUDIO A Care for iPad 維修費</t>
  </si>
  <si>
    <t>STUDIO A Care for iPhone 維修費</t>
  </si>
  <si>
    <t>STUDIO A Care+ for iPhone 整新機 ($3,690)</t>
  </si>
  <si>
    <t>STUDIO A Care+ for iPad 整新機 ($2,690)</t>
  </si>
  <si>
    <t>STUDIO A Care for iPad Pro ($3,690)</t>
  </si>
  <si>
    <t>STUDIO A Care for Mac 維修費</t>
  </si>
  <si>
    <t>STUDIO A Care+ for iPhone 續保機 ($3,690)</t>
  </si>
  <si>
    <t>STUDIO A Care for Mac B (30001~50000 $3,690)</t>
  </si>
  <si>
    <t>STUDIO A Care for Mac C (50001~80000 $4,690)</t>
  </si>
  <si>
    <t>STUDIO A Care for Mac D (80001以上 $6,690)</t>
  </si>
  <si>
    <t>STUDIO A Care+ for iPhone 整新機 維修費</t>
  </si>
  <si>
    <t>STUDIO A Care+ for iPhone 續保機 維修費</t>
  </si>
  <si>
    <t>STUDIO A Care for Watch ($1,990)</t>
  </si>
  <si>
    <t>STUDIO A Care for iPhone X ($4,690)</t>
  </si>
  <si>
    <t>STUDIO A Care+ for iPhone X 整新機 ($4,690)</t>
  </si>
  <si>
    <t>存代</t>
    <phoneticPr fontId="2" type="noConversion"/>
  </si>
  <si>
    <t>存貨名稱</t>
    <phoneticPr fontId="2" type="noConversion"/>
  </si>
  <si>
    <t>價格</t>
    <phoneticPr fontId="2" type="noConversion"/>
  </si>
  <si>
    <t>包膜金額</t>
    <phoneticPr fontId="2" type="noConversion"/>
  </si>
  <si>
    <t>e筆App數</t>
    <phoneticPr fontId="2" type="noConversion"/>
  </si>
  <si>
    <t>e筆App數量</t>
    <phoneticPr fontId="2" type="noConversion"/>
  </si>
  <si>
    <t>毛利額</t>
    <phoneticPr fontId="2" type="noConversion"/>
  </si>
  <si>
    <t>門號申辦數</t>
    <phoneticPr fontId="2" type="noConversion"/>
  </si>
  <si>
    <t>999S01144</t>
  </si>
  <si>
    <t>999S01145</t>
  </si>
  <si>
    <t>999S01146</t>
  </si>
  <si>
    <t>999S01147</t>
  </si>
  <si>
    <t>999S01148</t>
  </si>
  <si>
    <t>999S01150</t>
  </si>
  <si>
    <t>999S01151</t>
  </si>
  <si>
    <t>999S01152</t>
  </si>
  <si>
    <t>999S01153</t>
  </si>
  <si>
    <t>999S01154</t>
  </si>
  <si>
    <t>999S01155</t>
  </si>
  <si>
    <t>999S01156</t>
  </si>
  <si>
    <t>999S01157</t>
  </si>
  <si>
    <t>999S01158</t>
  </si>
  <si>
    <t>999S01166</t>
  </si>
  <si>
    <t>999S01167</t>
  </si>
  <si>
    <t>999S01168</t>
  </si>
  <si>
    <t>999S01169</t>
  </si>
  <si>
    <t>999S01170</t>
  </si>
  <si>
    <t>999S01171</t>
  </si>
  <si>
    <t>999S01172</t>
  </si>
  <si>
    <t>999S01173</t>
  </si>
  <si>
    <t>999S01174</t>
  </si>
  <si>
    <t>999S01175</t>
  </si>
  <si>
    <t>999S01176</t>
  </si>
  <si>
    <t>999S01177</t>
  </si>
  <si>
    <t>999S01178</t>
  </si>
  <si>
    <t>999S01179</t>
  </si>
  <si>
    <t>999S01180</t>
  </si>
  <si>
    <t>999S01183</t>
  </si>
  <si>
    <t>999S01184</t>
  </si>
  <si>
    <t>999S01185</t>
  </si>
  <si>
    <t>999S01186</t>
  </si>
  <si>
    <t>999S01187</t>
  </si>
  <si>
    <t>999S01188</t>
  </si>
  <si>
    <t>999S01189</t>
  </si>
  <si>
    <t>999S01190</t>
  </si>
  <si>
    <t>999S01191</t>
  </si>
  <si>
    <t>999S01192</t>
  </si>
  <si>
    <t>999S01193</t>
  </si>
  <si>
    <t>999S01194</t>
  </si>
  <si>
    <t>999S01195</t>
  </si>
  <si>
    <t>999S01196</t>
  </si>
  <si>
    <t>999S01197</t>
  </si>
  <si>
    <t>999S01198</t>
  </si>
  <si>
    <t>999S01199</t>
  </si>
  <si>
    <t>999S01200</t>
  </si>
  <si>
    <t>999S01201</t>
  </si>
  <si>
    <t>999S01202</t>
  </si>
  <si>
    <t>999S00367</t>
  </si>
  <si>
    <t>999S00368</t>
  </si>
  <si>
    <t>999S00415</t>
  </si>
  <si>
    <t>999S00416</t>
  </si>
  <si>
    <t>999S00421</t>
  </si>
  <si>
    <t>999S00876</t>
  </si>
  <si>
    <t>999S00877</t>
  </si>
  <si>
    <t>999S00878</t>
  </si>
  <si>
    <t>999S00879</t>
  </si>
  <si>
    <t>999S00881</t>
  </si>
  <si>
    <t>999S00882</t>
  </si>
  <si>
    <t>999S00883</t>
  </si>
  <si>
    <t>999S00960</t>
  </si>
  <si>
    <t>999S01000</t>
  </si>
  <si>
    <t>999S01003</t>
  </si>
  <si>
    <t>999S01066</t>
  </si>
  <si>
    <t>999S01067</t>
  </si>
  <si>
    <t>999S01068</t>
  </si>
  <si>
    <t>999S01069</t>
  </si>
  <si>
    <t>999S01083</t>
  </si>
  <si>
    <t>999S01102</t>
  </si>
  <si>
    <t>999S01103</t>
  </si>
  <si>
    <t>999S01104</t>
  </si>
  <si>
    <t>999S01105</t>
  </si>
  <si>
    <t>999S01742</t>
  </si>
  <si>
    <t>999S01743</t>
  </si>
  <si>
    <r>
      <t xml:space="preserve">STUDIO A Care+ for iPhone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 xml:space="preserve"> ($3,690)</t>
    </r>
  </si>
  <si>
    <r>
      <t xml:space="preserve">STUDIO A Care+ for iPad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 xml:space="preserve"> ($2,690)</t>
    </r>
  </si>
  <si>
    <r>
      <t xml:space="preserve">STUDIO A Care+ for iPadPro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 xml:space="preserve"> ($3,690)</t>
    </r>
  </si>
  <si>
    <r>
      <t xml:space="preserve">STUDIO A Care+ for iPhone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($3,690)</t>
    </r>
  </si>
  <si>
    <r>
      <t xml:space="preserve">STUDIO A Care+ for iPad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($2,690)</t>
    </r>
  </si>
  <si>
    <r>
      <t xml:space="preserve">STUDIO A Care+ for iPadPro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($3,690)</t>
    </r>
  </si>
  <si>
    <r>
      <t>STUDIO A Care for Mac D (80001</t>
    </r>
    <r>
      <rPr>
        <sz val="12"/>
        <color rgb="FF000000"/>
        <rFont val="PingFang TC"/>
        <family val="2"/>
        <charset val="136"/>
      </rPr>
      <t>以上</t>
    </r>
    <r>
      <rPr>
        <sz val="12"/>
        <color rgb="FF000000"/>
        <rFont val="Helvetica"/>
        <family val="2"/>
      </rPr>
      <t xml:space="preserve"> $6,690)</t>
    </r>
  </si>
  <si>
    <r>
      <t xml:space="preserve">STUDIO A Care+ for iPhone X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 xml:space="preserve"> ($4,690)</t>
    </r>
  </si>
  <si>
    <r>
      <t xml:space="preserve">STUDIO A Care+ for iPhone X/XS/XS MAX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($3,752)</t>
    </r>
  </si>
  <si>
    <r>
      <t xml:space="preserve">STUDIO A Care for iPhone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($3,690)</t>
    </r>
  </si>
  <si>
    <r>
      <t xml:space="preserve">STUDIO A Care for iPhone X/XS/XS MAX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($4,690)</t>
    </r>
  </si>
  <si>
    <r>
      <t xml:space="preserve">STUDIO A Care for iPad/iPad Mini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($2,690)</t>
    </r>
  </si>
  <si>
    <r>
      <t xml:space="preserve">STUDIO A Care for iPad Pro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($3,690)</t>
    </r>
  </si>
  <si>
    <t>STUDIO A Care for iPad Pro ($2,990)</t>
  </si>
  <si>
    <r>
      <t xml:space="preserve">STUDIO A Care for iPad Pro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($2,990)</t>
    </r>
  </si>
  <si>
    <r>
      <t xml:space="preserve">STUDIO A Care+ for iPad Pro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 xml:space="preserve"> ($2,990)</t>
    </r>
  </si>
  <si>
    <r>
      <t xml:space="preserve">STUDIO A Care+ for iPad Pro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($2,392)</t>
    </r>
  </si>
  <si>
    <r>
      <t xml:space="preserve">S.A CARE 2.0 for iPhone 7/8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($3,790)</t>
    </r>
  </si>
  <si>
    <r>
      <t xml:space="preserve">S.A CARE 2.0 for iPhone 7+/8+/XR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($4,690)</t>
    </r>
  </si>
  <si>
    <r>
      <t xml:space="preserve">S.A CARE 2.0 for iPhone XS/XS MAX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($6,590)</t>
    </r>
  </si>
  <si>
    <r>
      <t xml:space="preserve">S.A CARE 2.0 for iPad/iPad Air/iPad Mini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($1,990)</t>
    </r>
  </si>
  <si>
    <r>
      <t xml:space="preserve">S.A CARE 2.0 for iPad Pro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($3,490)</t>
    </r>
  </si>
  <si>
    <t>999S01149</t>
  </si>
  <si>
    <r>
      <t xml:space="preserve">S.A CARE 2.0 for Apple Watch S3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($1,690)</t>
    </r>
  </si>
  <si>
    <r>
      <t xml:space="preserve">S.A CARE 2.0 for Apple Watch S4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($2,390)</t>
    </r>
  </si>
  <si>
    <r>
      <t xml:space="preserve">S.A CARE 2.0 for MacBook/MacBook Air </t>
    </r>
    <r>
      <rPr>
        <sz val="12"/>
        <color rgb="FF000000"/>
        <rFont val="PingFang TC"/>
        <family val="2"/>
        <charset val="136"/>
      </rPr>
      <t>三年期</t>
    </r>
    <r>
      <rPr>
        <sz val="12"/>
        <color rgb="FF000000"/>
        <rFont val="Helvetica"/>
        <family val="2"/>
      </rPr>
      <t xml:space="preserve"> ($7,190)</t>
    </r>
  </si>
  <si>
    <r>
      <t>S.A CARE 2.0 for MacBook Pro 13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三年期</t>
    </r>
    <r>
      <rPr>
        <sz val="12"/>
        <color rgb="FF000000"/>
        <rFont val="Helvetica"/>
        <family val="2"/>
      </rPr>
      <t xml:space="preserve"> ($8,090)</t>
    </r>
  </si>
  <si>
    <r>
      <t>S.A CARE 2.0 for MacBook Pro 15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三年期</t>
    </r>
    <r>
      <rPr>
        <sz val="12"/>
        <color rgb="FF000000"/>
        <rFont val="Helvetica"/>
        <family val="2"/>
      </rPr>
      <t xml:space="preserve"> ($11,090)</t>
    </r>
  </si>
  <si>
    <r>
      <t xml:space="preserve">S.A CARE 2.0 for iPhone 7/8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($3,790)</t>
    </r>
  </si>
  <si>
    <r>
      <t xml:space="preserve">S.A CARE 2.0 for iPhone 7+/8+/XR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($4,690)</t>
    </r>
  </si>
  <si>
    <r>
      <t xml:space="preserve">S.A CARE 2.0 for iPhone XS/XS MAX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($6,590)</t>
    </r>
  </si>
  <si>
    <r>
      <t xml:space="preserve">S.A CARE 2.0 for iPad/iPad Air/iPad Mini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($1,990)</t>
    </r>
  </si>
  <si>
    <r>
      <t xml:space="preserve">S.A CARE 2.0 for iPad Pro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($3,490)</t>
    </r>
  </si>
  <si>
    <r>
      <t xml:space="preserve">S.A CARE 2.0 for iPhone 7/8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($2,590)</t>
    </r>
  </si>
  <si>
    <r>
      <t xml:space="preserve">S.A CARE 2.0 for iPhone 7+/8+/XR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($3,290)</t>
    </r>
  </si>
  <si>
    <r>
      <t xml:space="preserve">S.A CARE 2.0 for iPhone XS/XS MAX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($4,390)</t>
    </r>
  </si>
  <si>
    <r>
      <t xml:space="preserve">S.A CARE 2.0 for iPad/iPad Air/iPad Mini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($1,590)</t>
    </r>
  </si>
  <si>
    <r>
      <t xml:space="preserve">S.A CARE 2.0 for iPad Pro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($2,590)</t>
    </r>
  </si>
  <si>
    <r>
      <t xml:space="preserve">S.A CARE 2.0 for Apple Watch S3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($1,290)</t>
    </r>
  </si>
  <si>
    <r>
      <t xml:space="preserve">S.A CARE 2.0 for Apple Watch S4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($1,690)</t>
    </r>
  </si>
  <si>
    <r>
      <t xml:space="preserve">S.A CARE 2.0 for MacBook/MacBook Air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($4,690)</t>
    </r>
  </si>
  <si>
    <r>
      <t>S.A CARE 2.0 for MacBook Pro 13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($5,290)</t>
    </r>
  </si>
  <si>
    <r>
      <t>S.A CARE 2.0 for MacBook Pro 15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 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($6,990)</t>
    </r>
  </si>
  <si>
    <r>
      <t xml:space="preserve">S.A CARE 2.0 for iPhone 7/8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($2,590)</t>
    </r>
  </si>
  <si>
    <r>
      <t xml:space="preserve">S.A CARE 2.0 for iPhone 7+/8+/XR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($3,290)</t>
    </r>
  </si>
  <si>
    <r>
      <t xml:space="preserve">S.A CARE 2.0 for iPhone XS/XS MAX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($4,390)</t>
    </r>
  </si>
  <si>
    <r>
      <t xml:space="preserve">S.A CARE 2.0 for iPad/iPad Air/iPad Mini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($1,590)</t>
    </r>
  </si>
  <si>
    <r>
      <t xml:space="preserve">S.A CARE 2.0 for iPad Pro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($2,590)</t>
    </r>
  </si>
  <si>
    <r>
      <t xml:space="preserve">S.A CARE 2.0 for Apple Watch S3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($1690)</t>
    </r>
  </si>
  <si>
    <r>
      <t xml:space="preserve">S.A CARE 2.0 for Apple Watch S4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二年期</t>
    </r>
    <r>
      <rPr>
        <sz val="12"/>
        <color rgb="FF000000"/>
        <rFont val="Helvetica"/>
        <family val="2"/>
      </rPr>
      <t xml:space="preserve"> ($2390)</t>
    </r>
  </si>
  <si>
    <r>
      <t xml:space="preserve">S.A CARE 2.0 for MacBook/MacBook Air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三年期</t>
    </r>
    <r>
      <rPr>
        <sz val="12"/>
        <color rgb="FF000000"/>
        <rFont val="Helvetica"/>
        <family val="2"/>
      </rPr>
      <t xml:space="preserve"> ($7190)</t>
    </r>
  </si>
  <si>
    <r>
      <t>S.A CARE 2.0 for MacBook Pro 13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三年期</t>
    </r>
    <r>
      <rPr>
        <sz val="12"/>
        <color rgb="FF000000"/>
        <rFont val="Helvetica"/>
        <family val="2"/>
      </rPr>
      <t xml:space="preserve"> ($8090)</t>
    </r>
  </si>
  <si>
    <r>
      <t>S.A CARE 2.0 for MacBook Pro 15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三年期</t>
    </r>
    <r>
      <rPr>
        <sz val="12"/>
        <color rgb="FF000000"/>
        <rFont val="Helvetica"/>
        <family val="2"/>
      </rPr>
      <t xml:space="preserve"> ($11090)</t>
    </r>
  </si>
  <si>
    <r>
      <t xml:space="preserve">S.A CARE 2.0 for Apple Watch S3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($1290)</t>
    </r>
  </si>
  <si>
    <r>
      <t xml:space="preserve">S.A CARE 2.0 for Apple Watch S4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($1690)</t>
    </r>
  </si>
  <si>
    <r>
      <t xml:space="preserve">S.A CARE 2.0 for MacBook/MacBook Air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($4690)</t>
    </r>
  </si>
  <si>
    <r>
      <t>S.A CARE 2.0 for MacBook Pro 13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($5290)</t>
    </r>
  </si>
  <si>
    <r>
      <t>S.A CARE 2.0 for MacBook Pro 15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檢測新機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($6990)</t>
    </r>
  </si>
  <si>
    <r>
      <t xml:space="preserve">S.A CARE 2.0 for iPhone 7/8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>/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($2590)</t>
    </r>
  </si>
  <si>
    <r>
      <t xml:space="preserve">S.A CARE 2.0 for iPhone 7+/8+/XR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>/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($3290)</t>
    </r>
  </si>
  <si>
    <r>
      <t xml:space="preserve">S.A CARE 2.0 for iPhone XS/XS MAX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>/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($4390)</t>
    </r>
  </si>
  <si>
    <r>
      <t xml:space="preserve">S.A CARE 2.0 for iPad/iPad Air/iPad Mini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>/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($1590)</t>
    </r>
  </si>
  <si>
    <r>
      <t xml:space="preserve">S.A CARE 2.0 for iPad Pro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>/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($2590)</t>
    </r>
  </si>
  <si>
    <r>
      <t xml:space="preserve">S.A CARE 2.0 for Apple Watch S3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>/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($1290)</t>
    </r>
  </si>
  <si>
    <r>
      <t xml:space="preserve">S.A CARE 2.0 for Apple Watch S4 </t>
    </r>
    <r>
      <rPr>
        <sz val="12"/>
        <color rgb="FF000000"/>
        <rFont val="PingFang TC"/>
        <family val="2"/>
        <charset val="136"/>
      </rPr>
      <t>整新機</t>
    </r>
    <r>
      <rPr>
        <sz val="12"/>
        <color rgb="FF000000"/>
        <rFont val="Helvetica"/>
        <family val="2"/>
      </rPr>
      <t>/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($1690)</t>
    </r>
  </si>
  <si>
    <r>
      <t xml:space="preserve">S.A CARE 2.0 for MacBook/MacBook Air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($4690)</t>
    </r>
  </si>
  <si>
    <r>
      <t>S.A CARE 2.0 for MacBook Pro 13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($5290)</t>
    </r>
  </si>
  <si>
    <r>
      <t>S.A CARE 2.0 for MacBook Pro 15</t>
    </r>
    <r>
      <rPr>
        <sz val="12"/>
        <color rgb="FF000000"/>
        <rFont val="PingFang TC"/>
        <family val="2"/>
        <charset val="136"/>
      </rPr>
      <t>吋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續保機</t>
    </r>
    <r>
      <rPr>
        <sz val="12"/>
        <color rgb="FF000000"/>
        <rFont val="Helvetica"/>
        <family val="2"/>
      </rPr>
      <t xml:space="preserve">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($6990)</t>
    </r>
  </si>
  <si>
    <r>
      <t>S.A CARE 2.0 for AirPods 1</t>
    </r>
    <r>
      <rPr>
        <sz val="12"/>
        <color rgb="FF000000"/>
        <rFont val="PingFang TC"/>
        <family val="2"/>
        <charset val="136"/>
      </rPr>
      <t>代</t>
    </r>
    <r>
      <rPr>
        <sz val="12"/>
        <color rgb="FF000000"/>
        <rFont val="Helvetica"/>
        <family val="2"/>
      </rPr>
      <t>/2</t>
    </r>
    <r>
      <rPr>
        <sz val="12"/>
        <color rgb="FF000000"/>
        <rFont val="PingFang TC"/>
        <family val="2"/>
        <charset val="136"/>
      </rPr>
      <t>代</t>
    </r>
    <r>
      <rPr>
        <sz val="12"/>
        <color rgb="FF000000"/>
        <rFont val="Helvetica"/>
        <family val="2"/>
      </rPr>
      <t xml:space="preserve">/AirPods Pro </t>
    </r>
    <r>
      <rPr>
        <sz val="12"/>
        <color rgb="FF000000"/>
        <rFont val="PingFang TC"/>
        <family val="2"/>
        <charset val="136"/>
      </rPr>
      <t>一年期</t>
    </r>
    <r>
      <rPr>
        <sz val="12"/>
        <color rgb="FF000000"/>
        <rFont val="Helvetica"/>
        <family val="2"/>
      </rPr>
      <t xml:space="preserve"> ($699)</t>
    </r>
  </si>
  <si>
    <r>
      <t>S.A CARE 2.0 for AirPods 1</t>
    </r>
    <r>
      <rPr>
        <sz val="12"/>
        <color rgb="FF000000"/>
        <rFont val="PingFang TC"/>
        <family val="2"/>
        <charset val="136"/>
      </rPr>
      <t>代</t>
    </r>
    <r>
      <rPr>
        <sz val="12"/>
        <color rgb="FF000000"/>
        <rFont val="Helvetica"/>
        <family val="2"/>
      </rPr>
      <t>/2</t>
    </r>
    <r>
      <rPr>
        <sz val="12"/>
        <color rgb="FF000000"/>
        <rFont val="PingFang TC"/>
        <family val="2"/>
        <charset val="136"/>
      </rPr>
      <t>代</t>
    </r>
    <r>
      <rPr>
        <sz val="12"/>
        <color rgb="FF000000"/>
        <rFont val="Helvetica"/>
        <family val="2"/>
      </rPr>
      <t>/AirPods Pro 兩</t>
    </r>
    <r>
      <rPr>
        <sz val="12"/>
        <color rgb="FF000000"/>
        <rFont val="PingFang TC"/>
        <family val="2"/>
        <charset val="136"/>
      </rPr>
      <t>年期</t>
    </r>
    <r>
      <rPr>
        <sz val="12"/>
        <color rgb="FF000000"/>
        <rFont val="Helvetica"/>
        <family val="2"/>
      </rPr>
      <t xml:space="preserve"> ($799)</t>
    </r>
    <phoneticPr fontId="2" type="noConversion"/>
  </si>
  <si>
    <t>2001</t>
  </si>
  <si>
    <t>APL原廠APL본공장</t>
  </si>
  <si>
    <t>3001</t>
  </si>
  <si>
    <t>APL主機(APL본체</t>
  </si>
  <si>
    <t>4001</t>
  </si>
  <si>
    <t>Desktop</t>
  </si>
  <si>
    <t>5001</t>
  </si>
  <si>
    <t>DT-iMac</t>
  </si>
  <si>
    <t>6001</t>
  </si>
  <si>
    <t>4002</t>
  </si>
  <si>
    <t>NoteBook</t>
  </si>
  <si>
    <t>5007</t>
  </si>
  <si>
    <t>NB-MacBook Pro Retina</t>
  </si>
  <si>
    <t>6007</t>
  </si>
  <si>
    <t>5008</t>
  </si>
  <si>
    <t>NB-MacBook Air</t>
  </si>
  <si>
    <t>6008</t>
  </si>
  <si>
    <t>4004</t>
  </si>
  <si>
    <t>iPhone</t>
  </si>
  <si>
    <t>5091</t>
  </si>
  <si>
    <t>iPhone 11</t>
  </si>
  <si>
    <t>6243</t>
  </si>
  <si>
    <t>4005</t>
  </si>
  <si>
    <t>iPad</t>
  </si>
  <si>
    <t>5086</t>
  </si>
  <si>
    <t>iPad Air3</t>
  </si>
  <si>
    <t>6239</t>
  </si>
  <si>
    <t>iPad Air3 Wifi</t>
  </si>
  <si>
    <t>4041</t>
  </si>
  <si>
    <t>iPad Pro</t>
  </si>
  <si>
    <t>5061</t>
  </si>
  <si>
    <t>6218</t>
  </si>
  <si>
    <t>iPad Pro Wifi</t>
  </si>
  <si>
    <t>3002</t>
  </si>
  <si>
    <t>APL週邊配件(APL주변기기</t>
  </si>
  <si>
    <t>4007</t>
  </si>
  <si>
    <t>CPU週邊配件CPU주변기기</t>
  </si>
  <si>
    <t>5036</t>
  </si>
  <si>
    <t>充電週邊配件 충전주변기기</t>
  </si>
  <si>
    <t>6049</t>
  </si>
  <si>
    <t>充電週邊-電原變壓器(충전주변-전원변압기</t>
  </si>
  <si>
    <t>4010</t>
  </si>
  <si>
    <t>iPad週邊配件iPad주변기기</t>
  </si>
  <si>
    <t>5037</t>
  </si>
  <si>
    <t>線材週邊配件 케이블 주변부속품</t>
  </si>
  <si>
    <t>6083</t>
  </si>
  <si>
    <t>線材週邊-影像(케이블주변-영상</t>
  </si>
  <si>
    <t>5039</t>
  </si>
  <si>
    <t>觸控筆 터치펜</t>
  </si>
  <si>
    <t>6100</t>
  </si>
  <si>
    <t>iOS其他週邊配件(iOS기타주변부속품</t>
  </si>
  <si>
    <t>4012</t>
  </si>
  <si>
    <t>CPU/iOS通用週邊配件CPU/iOS 공용주변기기</t>
  </si>
  <si>
    <t>5034</t>
  </si>
  <si>
    <t>無線裝置 무선장치</t>
  </si>
  <si>
    <t>6101</t>
  </si>
  <si>
    <t>其他週邊配件(기타주변기기</t>
  </si>
  <si>
    <t>4014</t>
  </si>
  <si>
    <t>耳機이어폰</t>
  </si>
  <si>
    <t>6069</t>
  </si>
  <si>
    <t>耳機-藍芽(이어폰-블루투스</t>
  </si>
  <si>
    <t>2002</t>
  </si>
  <si>
    <t>3PP週邊配件(3PP주변부품)</t>
  </si>
  <si>
    <t>3003</t>
  </si>
  <si>
    <t>3PP週邊配件(3PP주변기기</t>
  </si>
  <si>
    <t>5027</t>
  </si>
  <si>
    <t>軟體 소프트웨어</t>
  </si>
  <si>
    <t>6037</t>
  </si>
  <si>
    <t>軟體-作業系統(소프트웨어-OS</t>
  </si>
  <si>
    <t>6038</t>
  </si>
  <si>
    <t>軟體-應用軟體(소프트웨어-응용프로그램</t>
  </si>
  <si>
    <t>6082</t>
  </si>
  <si>
    <t>線材週邊-充電/傳輸(케이블주변-충전</t>
  </si>
  <si>
    <t>5038</t>
  </si>
  <si>
    <t>保護週邊配件 보호주변기기</t>
  </si>
  <si>
    <t>6057</t>
  </si>
  <si>
    <t>保護週邊-內袋(주변보호-파우치</t>
  </si>
  <si>
    <t>6058</t>
  </si>
  <si>
    <t>保護週邊-手提包(주변보호-핸드백</t>
  </si>
  <si>
    <t>6064</t>
  </si>
  <si>
    <t>保護週邊-鍵盤膜(주변보호-건반보호필름</t>
  </si>
  <si>
    <t>6077</t>
  </si>
  <si>
    <t>保貼週邊-亮面(필름관련-광택표면</t>
  </si>
  <si>
    <t>4009</t>
  </si>
  <si>
    <t>iPhone週邊配件iPhone주변기기</t>
  </si>
  <si>
    <t>6127</t>
  </si>
  <si>
    <t>充電週邊-QI無線充電相關</t>
  </si>
  <si>
    <t>5426</t>
  </si>
  <si>
    <t>iPhone 11-3PP</t>
  </si>
  <si>
    <t>6054</t>
  </si>
  <si>
    <t>保護週邊-硬殼(주변보호-하드케이스</t>
  </si>
  <si>
    <t>5427</t>
  </si>
  <si>
    <t>iPhone 11 Pro-3PP</t>
  </si>
  <si>
    <t>5523</t>
  </si>
  <si>
    <t>iPad Pro10.5-3PP</t>
  </si>
  <si>
    <t>6056</t>
  </si>
  <si>
    <t>保護週邊-皮套(주변보호-가죽케이스</t>
  </si>
  <si>
    <t>6078</t>
  </si>
  <si>
    <t>保貼週邊-霧面(필름관련-매트</t>
  </si>
  <si>
    <t>5524</t>
  </si>
  <si>
    <t>iPad Pro 11-3PP</t>
  </si>
  <si>
    <t>5525</t>
  </si>
  <si>
    <t>iPad Pro 12.9-3PP</t>
  </si>
  <si>
    <t>5529</t>
  </si>
  <si>
    <t>iPad 10.2吋-3PP</t>
  </si>
  <si>
    <t>6088</t>
  </si>
  <si>
    <t>鍵盤(키보드</t>
  </si>
  <si>
    <t>5035</t>
  </si>
  <si>
    <t>有線裝置 유선장치</t>
  </si>
  <si>
    <t>4017</t>
  </si>
  <si>
    <t>其他週邊配件기타주변기기</t>
  </si>
  <si>
    <t>5041</t>
  </si>
  <si>
    <t>其他週邊配件 기타주변기기</t>
  </si>
  <si>
    <t>6039</t>
  </si>
  <si>
    <t>軟體-其他(소프트웨어-기타</t>
  </si>
  <si>
    <t>5528</t>
  </si>
  <si>
    <t>Airpods-3PP</t>
  </si>
  <si>
    <t>4026</t>
  </si>
  <si>
    <t>SmartA週邊產品SmartA주변상품</t>
  </si>
  <si>
    <t>5069</t>
  </si>
  <si>
    <t>生活用品</t>
  </si>
  <si>
    <t>6513</t>
  </si>
  <si>
    <t>3012</t>
  </si>
  <si>
    <t>SA CARE</t>
  </si>
  <si>
    <t>4040</t>
  </si>
  <si>
    <t>5058</t>
  </si>
  <si>
    <t>2006</t>
  </si>
  <si>
    <t>其他收入기타수익</t>
  </si>
  <si>
    <t>3006</t>
  </si>
  <si>
    <t>4021</t>
  </si>
  <si>
    <t>5044</t>
  </si>
  <si>
    <t>6106</t>
  </si>
  <si>
    <t>其他收入(기타수익</t>
  </si>
  <si>
    <t/>
  </si>
  <si>
    <t>2021</t>
  </si>
  <si>
    <t>舊換新</t>
  </si>
  <si>
    <t>3020</t>
  </si>
  <si>
    <t>4057</t>
  </si>
  <si>
    <t>6990</t>
  </si>
  <si>
    <t>4975</t>
  </si>
  <si>
    <t>舊換新-CPU</t>
  </si>
  <si>
    <t>5967</t>
  </si>
  <si>
    <t>舊換新-MacBook Air</t>
  </si>
  <si>
    <t>2022</t>
  </si>
  <si>
    <t>Studio A商品卷</t>
  </si>
  <si>
    <t>3023</t>
  </si>
  <si>
    <t>Studio A 商品卷</t>
  </si>
  <si>
    <t>4058</t>
  </si>
  <si>
    <t>5994</t>
  </si>
  <si>
    <t>6889</t>
  </si>
  <si>
    <t>2026</t>
  </si>
  <si>
    <t>維修專用</t>
  </si>
  <si>
    <t>5423</t>
  </si>
  <si>
    <t>iPhone XS-3PP</t>
  </si>
  <si>
    <t>6079</t>
  </si>
  <si>
    <t>保貼週邊-玻璃(필름관련-유리</t>
  </si>
  <si>
    <t>5425</t>
  </si>
  <si>
    <t>iPhone XR-3PP</t>
  </si>
  <si>
    <t>2028</t>
  </si>
  <si>
    <t>Apple Care+ 代收代付</t>
  </si>
  <si>
    <t>3032</t>
  </si>
  <si>
    <t>4969</t>
  </si>
  <si>
    <t>APPLE CARE+</t>
  </si>
  <si>
    <t>5090</t>
  </si>
  <si>
    <t>6524</t>
  </si>
  <si>
    <t>APPLE CARE+-CPU</t>
  </si>
  <si>
    <t>Σ</t>
  </si>
  <si>
    <t>v2.5</t>
    <phoneticPr fontId="2" type="noConversion"/>
  </si>
  <si>
    <t>SA Care 營業額</t>
    <phoneticPr fontId="2" type="noConversion"/>
  </si>
  <si>
    <t>SA Care 搭售率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</si>
</sst>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76" formatCode="0_);[Red]\(0\)"/>
    <numFmt numFmtId="177" formatCode="#,##0_ "/>
    <numFmt numFmtId="178" formatCode="0.0%"/>
    <numFmt numFmtId="179" formatCode="0_ "/>
    <numFmt numFmtId="180" formatCode="yy/mm/dd"/>
  </numFmts>
  <fonts count="2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name val="Arial"/>
      <family val="2"/>
    </font>
    <font>
      <sz val="12"/>
      <color rgb="FF00B0F0"/>
      <name val="新細明體"/>
      <family val="2"/>
      <charset val="136"/>
      <scheme val="minor"/>
    </font>
    <font>
      <sz val="9"/>
      <name val="宋体"/>
      <charset val="134"/>
    </font>
    <font>
      <sz val="12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0"/>
      <color indexed="8"/>
      <name val="新細明體"/>
      <family val="1"/>
      <charset val="136"/>
      <scheme val="minor"/>
    </font>
    <font>
      <sz val="10"/>
      <color rgb="FF000000"/>
      <name val="新細明體"/>
      <family val="3"/>
      <charset val="136"/>
      <scheme val="minor"/>
    </font>
    <font>
      <sz val="10"/>
      <color indexed="8"/>
      <name val="Monaco"/>
      <family val="2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0"/>
      <color indexed="8"/>
      <name val="Abadi MT Condensed Extra Bold"/>
      <family val="2"/>
    </font>
    <font>
      <sz val="12"/>
      <color rgb="FF000000"/>
      <name val="Helvetica"/>
      <family val="2"/>
    </font>
    <font>
      <b/>
      <sz val="8"/>
      <name val="Arial"/>
      <family val="2"/>
    </font>
    <font>
      <sz val="12"/>
      <color rgb="FF000000"/>
      <name val="新細明體"/>
      <family val="1"/>
      <charset val="136"/>
    </font>
    <font>
      <sz val="10"/>
      <name val="新細明體"/>
      <family val="1"/>
      <charset val="136"/>
      <scheme val="minor"/>
    </font>
    <font>
      <sz val="15"/>
      <color rgb="FF000000"/>
      <name val="新細明體"/>
      <family val="1"/>
      <charset val="136"/>
    </font>
    <font>
      <sz val="12"/>
      <color rgb="FF000000"/>
      <name val="PingFang TC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" fillId="0" borderId="0"/>
    <xf numFmtId="0" fontId="1" fillId="0" borderId="0"/>
  </cellStyleXfs>
  <cellXfs count="86">
    <xf numFmtId="0" fontId="0" fillId="0" borderId="0" xfId="0"/>
    <xf numFmtId="0" fontId="4" fillId="2" borderId="0" xfId="0" applyFont="1" applyFill="1"/>
    <xf numFmtId="0" fontId="7" fillId="3" borderId="3" xfId="3" applyFont="1" applyFill="1" applyBorder="1" applyAlignment="1" applyProtection="1">
      <alignment vertical="center"/>
      <protection locked="0"/>
    </xf>
    <xf numFmtId="176" fontId="6" fillId="3" borderId="3" xfId="3" applyNumberFormat="1" applyFont="1" applyFill="1" applyBorder="1" applyAlignment="1" applyProtection="1">
      <alignment horizontal="right" vertical="center"/>
      <protection locked="0"/>
    </xf>
    <xf numFmtId="176" fontId="6" fillId="3" borderId="3" xfId="0" applyNumberFormat="1" applyFont="1" applyFill="1" applyBorder="1" applyAlignment="1" applyProtection="1">
      <alignment vertical="center"/>
      <protection locked="0"/>
    </xf>
    <xf numFmtId="0" fontId="6" fillId="4" borderId="6" xfId="3" applyFont="1" applyFill="1" applyBorder="1" applyAlignment="1" applyProtection="1">
      <alignment vertical="center"/>
      <protection locked="0"/>
    </xf>
    <xf numFmtId="176" fontId="6" fillId="3" borderId="1" xfId="3" applyNumberFormat="1" applyFont="1" applyFill="1" applyBorder="1" applyAlignment="1" applyProtection="1">
      <alignment vertical="center"/>
      <protection locked="0"/>
    </xf>
    <xf numFmtId="176" fontId="6" fillId="4" borderId="7" xfId="0" applyNumberFormat="1" applyFont="1" applyFill="1" applyBorder="1" applyAlignment="1" applyProtection="1">
      <alignment vertical="center"/>
      <protection locked="0"/>
    </xf>
    <xf numFmtId="0" fontId="8" fillId="0" borderId="6" xfId="0" applyNumberFormat="1" applyFont="1" applyFill="1" applyBorder="1" applyAlignment="1">
      <alignment vertical="center"/>
    </xf>
    <xf numFmtId="0" fontId="8" fillId="0" borderId="1" xfId="0" applyNumberFormat="1" applyFont="1" applyFill="1" applyBorder="1" applyAlignment="1">
      <alignment horizontal="center" vertical="center"/>
    </xf>
    <xf numFmtId="177" fontId="8" fillId="3" borderId="1" xfId="0" applyNumberFormat="1" applyFont="1" applyFill="1" applyBorder="1" applyAlignment="1" applyProtection="1">
      <alignment horizontal="right" vertical="center"/>
      <protection locked="0"/>
    </xf>
    <xf numFmtId="177" fontId="8" fillId="0" borderId="1" xfId="0" applyNumberFormat="1" applyFont="1" applyFill="1" applyBorder="1" applyAlignment="1" applyProtection="1">
      <alignment horizontal="right" vertical="center"/>
    </xf>
    <xf numFmtId="178" fontId="8" fillId="0" borderId="1" xfId="0" applyNumberFormat="1" applyFont="1" applyFill="1" applyBorder="1" applyAlignment="1">
      <alignment horizontal="right" vertical="center"/>
    </xf>
    <xf numFmtId="0" fontId="9" fillId="0" borderId="6" xfId="0" applyFont="1" applyBorder="1" applyAlignment="1">
      <alignment vertical="center"/>
    </xf>
    <xf numFmtId="177" fontId="8" fillId="0" borderId="1" xfId="1" applyNumberFormat="1" applyFont="1" applyFill="1" applyBorder="1" applyAlignment="1" applyProtection="1">
      <alignment horizontal="right" vertical="center"/>
    </xf>
    <xf numFmtId="177" fontId="8" fillId="4" borderId="1" xfId="0" applyNumberFormat="1" applyFont="1" applyFill="1" applyBorder="1" applyAlignment="1" applyProtection="1">
      <alignment horizontal="right" vertical="center"/>
      <protection locked="0"/>
    </xf>
    <xf numFmtId="178" fontId="8" fillId="0" borderId="1" xfId="0" applyNumberFormat="1" applyFont="1" applyFill="1" applyBorder="1" applyAlignment="1" applyProtection="1">
      <alignment horizontal="right" vertical="center"/>
    </xf>
    <xf numFmtId="176" fontId="8" fillId="3" borderId="1" xfId="0" applyNumberFormat="1" applyFont="1" applyFill="1" applyBorder="1" applyAlignment="1" applyProtection="1">
      <alignment horizontal="right" vertical="center"/>
      <protection locked="0"/>
    </xf>
    <xf numFmtId="176" fontId="8" fillId="4" borderId="1" xfId="0" applyNumberFormat="1" applyFont="1" applyFill="1" applyBorder="1" applyAlignment="1" applyProtection="1">
      <alignment horizontal="right" vertical="center"/>
      <protection locked="0"/>
    </xf>
    <xf numFmtId="177" fontId="8" fillId="3" borderId="10" xfId="0" applyNumberFormat="1" applyFont="1" applyFill="1" applyBorder="1" applyAlignment="1" applyProtection="1">
      <alignment horizontal="right" vertical="center"/>
      <protection locked="0"/>
    </xf>
    <xf numFmtId="10" fontId="8" fillId="0" borderId="1" xfId="0" applyNumberFormat="1" applyFont="1" applyFill="1" applyBorder="1" applyAlignment="1">
      <alignment horizontal="right" vertical="center"/>
    </xf>
    <xf numFmtId="178" fontId="8" fillId="0" borderId="1" xfId="2" applyNumberFormat="1" applyFont="1" applyFill="1" applyBorder="1" applyAlignment="1">
      <alignment horizontal="right" vertical="center"/>
    </xf>
    <xf numFmtId="177" fontId="8" fillId="0" borderId="1" xfId="0" applyNumberFormat="1" applyFont="1" applyFill="1" applyBorder="1" applyAlignment="1">
      <alignment horizontal="right" vertical="center"/>
    </xf>
    <xf numFmtId="0" fontId="11" fillId="0" borderId="6" xfId="0" applyFont="1" applyBorder="1" applyAlignment="1">
      <alignment vertical="center"/>
    </xf>
    <xf numFmtId="179" fontId="11" fillId="3" borderId="11" xfId="0" applyNumberFormat="1" applyFont="1" applyFill="1" applyBorder="1" applyAlignment="1" applyProtection="1">
      <alignment horizontal="left" vertical="center"/>
      <protection locked="0"/>
    </xf>
    <xf numFmtId="179" fontId="0" fillId="3" borderId="12" xfId="0" applyNumberFormat="1" applyFont="1" applyFill="1" applyBorder="1" applyAlignment="1" applyProtection="1">
      <alignment horizontal="left" vertical="center"/>
      <protection locked="0"/>
    </xf>
    <xf numFmtId="179" fontId="0" fillId="3" borderId="13" xfId="0" applyNumberFormat="1" applyFont="1" applyFill="1" applyBorder="1" applyAlignment="1" applyProtection="1">
      <alignment horizontal="left" vertical="center"/>
      <protection locked="0"/>
    </xf>
    <xf numFmtId="0" fontId="11" fillId="0" borderId="14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2" fillId="3" borderId="16" xfId="0" applyFont="1" applyFill="1" applyBorder="1" applyAlignment="1" applyProtection="1">
      <alignment horizontal="left" vertical="top" wrapText="1"/>
      <protection locked="0"/>
    </xf>
    <xf numFmtId="0" fontId="12" fillId="3" borderId="17" xfId="0" applyFont="1" applyFill="1" applyBorder="1" applyAlignment="1" applyProtection="1">
      <alignment horizontal="left" vertical="top" wrapText="1"/>
      <protection locked="0"/>
    </xf>
    <xf numFmtId="0" fontId="12" fillId="3" borderId="18" xfId="0" applyFont="1" applyFill="1" applyBorder="1" applyAlignment="1" applyProtection="1">
      <alignment horizontal="left" vertical="top" wrapText="1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2" fillId="3" borderId="20" xfId="0" applyFont="1" applyFill="1" applyBorder="1" applyAlignment="1" applyProtection="1">
      <alignment horizontal="left" vertical="top" wrapText="1"/>
      <protection locked="0"/>
    </xf>
    <xf numFmtId="0" fontId="12" fillId="3" borderId="0" xfId="0" applyFont="1" applyFill="1" applyBorder="1" applyAlignment="1" applyProtection="1">
      <alignment horizontal="left" vertical="top" wrapText="1"/>
      <protection locked="0"/>
    </xf>
    <xf numFmtId="0" fontId="12" fillId="3" borderId="9" xfId="0" applyFont="1" applyFill="1" applyBorder="1" applyAlignment="1" applyProtection="1">
      <alignment horizontal="left" vertical="top" wrapText="1"/>
      <protection locked="0"/>
    </xf>
    <xf numFmtId="0" fontId="11" fillId="0" borderId="21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12" fillId="3" borderId="23" xfId="0" applyFont="1" applyFill="1" applyBorder="1" applyAlignment="1" applyProtection="1">
      <alignment horizontal="left" vertical="top" wrapText="1"/>
      <protection locked="0"/>
    </xf>
    <xf numFmtId="0" fontId="12" fillId="3" borderId="24" xfId="0" applyFont="1" applyFill="1" applyBorder="1" applyAlignment="1" applyProtection="1">
      <alignment horizontal="left" vertical="top" wrapText="1"/>
      <protection locked="0"/>
    </xf>
    <xf numFmtId="0" fontId="12" fillId="3" borderId="25" xfId="0" applyFont="1" applyFill="1" applyBorder="1" applyAlignment="1" applyProtection="1">
      <alignment horizontal="left" vertical="top" wrapText="1"/>
      <protection locked="0"/>
    </xf>
    <xf numFmtId="0" fontId="8" fillId="6" borderId="1" xfId="0" applyNumberFormat="1" applyFont="1" applyFill="1" applyBorder="1" applyAlignment="1">
      <alignment horizontal="center" vertical="center"/>
    </xf>
    <xf numFmtId="0" fontId="8" fillId="6" borderId="7" xfId="0" applyNumberFormat="1" applyFont="1" applyFill="1" applyBorder="1" applyAlignment="1">
      <alignment horizontal="center" vertical="center"/>
    </xf>
    <xf numFmtId="178" fontId="8" fillId="6" borderId="7" xfId="0" applyNumberFormat="1" applyFont="1" applyFill="1" applyBorder="1" applyAlignment="1">
      <alignment horizontal="right" vertical="center"/>
    </xf>
    <xf numFmtId="178" fontId="8" fillId="6" borderId="7" xfId="0" applyNumberFormat="1" applyFont="1" applyFill="1" applyBorder="1" applyAlignment="1" applyProtection="1">
      <alignment horizontal="right" vertical="center"/>
    </xf>
    <xf numFmtId="10" fontId="8" fillId="6" borderId="1" xfId="0" applyNumberFormat="1" applyFont="1" applyFill="1" applyBorder="1" applyAlignment="1">
      <alignment horizontal="right" vertical="center"/>
    </xf>
    <xf numFmtId="177" fontId="8" fillId="6" borderId="1" xfId="1" applyNumberFormat="1" applyFont="1" applyFill="1" applyBorder="1" applyAlignment="1">
      <alignment horizontal="right" vertical="center"/>
    </xf>
    <xf numFmtId="0" fontId="6" fillId="5" borderId="8" xfId="3" applyFont="1" applyFill="1" applyBorder="1" applyAlignment="1">
      <alignment vertical="center"/>
    </xf>
    <xf numFmtId="0" fontId="6" fillId="5" borderId="0" xfId="3" applyFont="1" applyFill="1" applyBorder="1" applyAlignment="1">
      <alignment vertical="center"/>
    </xf>
    <xf numFmtId="0" fontId="6" fillId="5" borderId="0" xfId="3" applyFont="1" applyFill="1" applyBorder="1" applyAlignment="1">
      <alignment horizontal="right" vertical="center"/>
    </xf>
    <xf numFmtId="0" fontId="6" fillId="5" borderId="0" xfId="0" applyFont="1" applyFill="1" applyBorder="1" applyAlignment="1">
      <alignment vertical="center"/>
    </xf>
    <xf numFmtId="10" fontId="6" fillId="5" borderId="9" xfId="0" applyNumberFormat="1" applyFont="1" applyFill="1" applyBorder="1" applyAlignment="1">
      <alignment vertical="center"/>
    </xf>
    <xf numFmtId="0" fontId="6" fillId="5" borderId="4" xfId="3" applyFont="1" applyFill="1" applyBorder="1" applyAlignment="1">
      <alignment vertical="center"/>
    </xf>
    <xf numFmtId="0" fontId="6" fillId="5" borderId="2" xfId="3" applyFont="1" applyFill="1" applyBorder="1" applyAlignment="1">
      <alignment vertical="center"/>
    </xf>
    <xf numFmtId="0" fontId="6" fillId="5" borderId="5" xfId="0" applyFont="1" applyFill="1" applyBorder="1" applyAlignment="1">
      <alignment horizontal="right" vertical="center"/>
    </xf>
    <xf numFmtId="0" fontId="13" fillId="0" borderId="0" xfId="0" applyFont="1"/>
    <xf numFmtId="0" fontId="4" fillId="8" borderId="0" xfId="0" applyFont="1" applyFill="1"/>
    <xf numFmtId="0" fontId="4" fillId="9" borderId="0" xfId="0" applyFont="1" applyFill="1"/>
    <xf numFmtId="0" fontId="16" fillId="0" borderId="0" xfId="0" applyFont="1"/>
    <xf numFmtId="4" fontId="3" fillId="0" borderId="1" xfId="0" applyNumberFormat="1" applyFont="1" applyFill="1" applyBorder="1" applyAlignment="1"/>
    <xf numFmtId="180" fontId="13" fillId="0" borderId="0" xfId="0" applyNumberFormat="1" applyFont="1"/>
    <xf numFmtId="178" fontId="8" fillId="6" borderId="13" xfId="0" applyNumberFormat="1" applyFont="1" applyFill="1" applyBorder="1" applyAlignment="1">
      <alignment horizontal="right" vertical="center"/>
    </xf>
    <xf numFmtId="0" fontId="17" fillId="0" borderId="26" xfId="0" applyNumberFormat="1" applyFont="1" applyFill="1" applyBorder="1" applyAlignment="1">
      <alignment vertical="center"/>
    </xf>
    <xf numFmtId="179" fontId="0" fillId="3" borderId="17" xfId="0" applyNumberFormat="1" applyFont="1" applyFill="1" applyBorder="1" applyAlignment="1" applyProtection="1">
      <alignment horizontal="left" vertical="center"/>
      <protection locked="0"/>
    </xf>
    <xf numFmtId="179" fontId="0" fillId="3" borderId="18" xfId="0" applyNumberFormat="1" applyFont="1" applyFill="1" applyBorder="1" applyAlignment="1" applyProtection="1">
      <alignment horizontal="left" vertical="center"/>
      <protection locked="0"/>
    </xf>
    <xf numFmtId="179" fontId="0" fillId="0" borderId="1" xfId="0" applyNumberFormat="1" applyFont="1" applyFill="1" applyBorder="1" applyAlignment="1" applyProtection="1">
      <alignment horizontal="left" vertical="center"/>
      <protection locked="0"/>
    </xf>
    <xf numFmtId="178" fontId="0" fillId="0" borderId="0" xfId="0" applyNumberFormat="1"/>
    <xf numFmtId="178" fontId="8" fillId="0" borderId="6" xfId="0" applyNumberFormat="1" applyFont="1" applyFill="1" applyBorder="1" applyAlignment="1">
      <alignment vertical="center"/>
    </xf>
    <xf numFmtId="178" fontId="8" fillId="6" borderId="1" xfId="1" applyNumberFormat="1" applyFont="1" applyFill="1" applyBorder="1" applyAlignment="1">
      <alignment horizontal="right" vertical="center"/>
    </xf>
    <xf numFmtId="0" fontId="0" fillId="0" borderId="0" xfId="0" applyFill="1"/>
    <xf numFmtId="0" fontId="0" fillId="7" borderId="0" xfId="0" applyFill="1"/>
    <xf numFmtId="0" fontId="19" fillId="10" borderId="1" xfId="0" applyNumberFormat="1" applyFont="1" applyFill="1" applyBorder="1" applyAlignment="1"/>
    <xf numFmtId="49" fontId="0" fillId="0" borderId="0" xfId="0" applyNumberFormat="1"/>
    <xf numFmtId="0" fontId="21" fillId="0" borderId="6" xfId="0" applyNumberFormat="1" applyFont="1" applyFill="1" applyBorder="1" applyAlignment="1">
      <alignment vertical="center"/>
    </xf>
    <xf numFmtId="0" fontId="18" fillId="0" borderId="0" xfId="0" applyFont="1"/>
    <xf numFmtId="0" fontId="3" fillId="0" borderId="28" xfId="0" applyFont="1" applyBorder="1"/>
    <xf numFmtId="4" fontId="3" fillId="0" borderId="28" xfId="0" applyNumberFormat="1" applyFont="1" applyBorder="1"/>
    <xf numFmtId="0" fontId="3" fillId="11" borderId="28" xfId="0" applyFont="1" applyFill="1" applyBorder="1"/>
    <xf numFmtId="4" fontId="3" fillId="11" borderId="28" xfId="0" applyNumberFormat="1" applyFont="1" applyFill="1" applyBorder="1"/>
    <xf numFmtId="0" fontId="11" fillId="0" borderId="27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8" fillId="0" borderId="6" xfId="0" applyFont="1" applyBorder="1" applyAlignment="1">
      <alignment vertical="center"/>
    </xf>
    <xf numFmtId="177" fontId="8" fillId="3" borderId="28" xfId="0" applyNumberFormat="1" applyFont="1" applyFill="1" applyBorder="1" applyAlignment="1" applyProtection="1">
      <alignment horizontal="right" vertical="center"/>
      <protection locked="0"/>
    </xf>
    <xf numFmtId="10" fontId="8" fillId="0" borderId="28" xfId="0" applyNumberFormat="1" applyFont="1" applyBorder="1" applyAlignment="1">
      <alignment horizontal="right" vertical="center"/>
    </xf>
    <xf numFmtId="178" fontId="8" fillId="0" borderId="28" xfId="0" applyNumberFormat="1" applyFont="1" applyBorder="1" applyAlignment="1">
      <alignment horizontal="right" vertical="center"/>
    </xf>
  </cellXfs>
  <cellStyles count="16">
    <cellStyle name="一般" xfId="0" builtinId="0"/>
    <cellStyle name="一般 2" xfId="14" xr:uid="{E6C04B7F-EB9E-7E4E-BFDC-5C62D2633CD6}"/>
    <cellStyle name="一般 3" xfId="15" xr:uid="{626E8155-19FB-C149-8F91-DABB33B42EBD}"/>
    <cellStyle name="千分位" xfId="1" builtinId="3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百分比" xfId="2" builtinId="5"/>
    <cellStyle name="常规_金鹰天地店" xfId="3" xr:uid="{00000000-0005-0000-0000-000007000000}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46</xdr:row>
          <xdr:rowOff>12700</xdr:rowOff>
        </xdr:from>
        <xdr:to>
          <xdr:col>7</xdr:col>
          <xdr:colOff>1003300</xdr:colOff>
          <xdr:row>48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5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清除暫存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812800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執行每日計算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800100</xdr:colOff>
          <xdr:row>7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執行每月累計計算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800100</xdr:colOff>
          <xdr:row>6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執行同期比較計算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165100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資料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165100</xdr:rowOff>
        </xdr:from>
        <xdr:to>
          <xdr:col>5</xdr:col>
          <xdr:colOff>749300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每日營業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1</xdr:row>
          <xdr:rowOff>165100</xdr:rowOff>
        </xdr:from>
        <xdr:to>
          <xdr:col>11</xdr:col>
          <xdr:colOff>533400</xdr:colOff>
          <xdr:row>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同期比較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165100</xdr:rowOff>
        </xdr:from>
        <xdr:to>
          <xdr:col>8</xdr:col>
          <xdr:colOff>596900</xdr:colOff>
          <xdr:row>4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每月累積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/>
  <dimension ref="A1:H44"/>
  <sheetViews>
    <sheetView tabSelected="1" topLeftCell="A3" zoomScale="125" zoomScaleNormal="125" zoomScalePageLayoutView="125" workbookViewId="0">
      <selection activeCell="K29" sqref="K29"/>
    </sheetView>
  </sheetViews>
  <sheetFormatPr baseColWidth="10" defaultRowHeight="15"/>
  <cols>
    <col min="2" max="2" width="15.33203125" customWidth="1"/>
    <col min="8" max="8" width="13.83203125" bestFit="1" customWidth="1"/>
  </cols>
  <sheetData>
    <row r="1" spans="1:8">
      <c r="A1" s="56" t="s">
        <v>388</v>
      </c>
    </row>
    <row r="2" spans="1:8" ht="16" thickBot="1">
      <c r="H2" s="61">
        <f ca="1">NOW()</f>
        <v>43990.568359490739</v>
      </c>
    </row>
    <row r="3" spans="1:8">
      <c r="B3" s="54" t="s">
        <v>0</v>
      </c>
      <c r="C3" s="2" t="s">
        <v>1</v>
      </c>
      <c r="D3" s="53" t="s">
        <v>2</v>
      </c>
      <c r="E3" s="3">
        <v>1</v>
      </c>
      <c r="F3" s="53" t="s">
        <v>3</v>
      </c>
      <c r="G3" s="4">
        <v>1</v>
      </c>
      <c r="H3" s="55" t="s">
        <v>4</v>
      </c>
    </row>
    <row r="4" spans="1:8">
      <c r="B4" s="5" t="str">
        <f ca="1">"Date : "&amp;MONTH(H2)&amp;"月"</f>
        <v>Date : 6月</v>
      </c>
      <c r="C4" s="6">
        <f ca="1">DAY(H2)</f>
        <v>8</v>
      </c>
      <c r="D4" s="49" t="s">
        <v>5</v>
      </c>
      <c r="E4" s="50"/>
      <c r="F4" s="49"/>
      <c r="G4" s="51"/>
      <c r="H4" s="7">
        <v>30</v>
      </c>
    </row>
    <row r="5" spans="1:8">
      <c r="B5" s="48"/>
      <c r="C5" s="49"/>
      <c r="D5" s="49"/>
      <c r="E5" s="50"/>
      <c r="F5" s="51"/>
      <c r="G5" s="51" t="s">
        <v>6</v>
      </c>
      <c r="H5" s="52">
        <f ca="1">C4/H4</f>
        <v>0.26666666666666666</v>
      </c>
    </row>
    <row r="6" spans="1:8">
      <c r="B6" s="8" t="s">
        <v>7</v>
      </c>
      <c r="C6" s="9" t="s">
        <v>8</v>
      </c>
      <c r="D6" s="9" t="s">
        <v>9</v>
      </c>
      <c r="E6" s="9" t="s">
        <v>10</v>
      </c>
      <c r="F6" s="9" t="s">
        <v>11</v>
      </c>
      <c r="G6" s="42" t="s">
        <v>12</v>
      </c>
      <c r="H6" s="43" t="s">
        <v>13</v>
      </c>
    </row>
    <row r="7" spans="1:8">
      <c r="B7" s="8" t="s">
        <v>14</v>
      </c>
      <c r="C7" s="10">
        <v>2131508</v>
      </c>
      <c r="D7" s="10">
        <v>1034744</v>
      </c>
      <c r="E7" s="11">
        <v>650000</v>
      </c>
      <c r="F7" s="12">
        <f t="shared" ref="F7:F29" si="0">D7/E7</f>
        <v>1.5919138461538462</v>
      </c>
      <c r="G7" s="10">
        <v>159413</v>
      </c>
      <c r="H7" s="44">
        <f>(D7-G7)/G7</f>
        <v>5.4909637231593411</v>
      </c>
    </row>
    <row r="8" spans="1:8" hidden="1">
      <c r="B8" s="8" t="s">
        <v>74</v>
      </c>
      <c r="C8" s="10">
        <v>846917.50000000012</v>
      </c>
      <c r="D8" s="10">
        <v>0</v>
      </c>
      <c r="E8" s="11"/>
      <c r="F8" s="12"/>
      <c r="G8" s="10">
        <v>0</v>
      </c>
      <c r="H8" s="44"/>
    </row>
    <row r="9" spans="1:8">
      <c r="B9" s="13" t="s">
        <v>15</v>
      </c>
      <c r="C9" s="11">
        <f>C7-C10</f>
        <v>2131508</v>
      </c>
      <c r="D9" s="11">
        <f>D7-D10</f>
        <v>1034744</v>
      </c>
      <c r="E9" s="11">
        <f>E7-E10</f>
        <v>650000</v>
      </c>
      <c r="F9" s="16">
        <f t="shared" si="0"/>
        <v>1.5919138461538462</v>
      </c>
      <c r="G9" s="14">
        <f>G7-G10</f>
        <v>159413</v>
      </c>
      <c r="H9" s="44">
        <f>(D9-G9)/G9</f>
        <v>5.4909637231593411</v>
      </c>
    </row>
    <row r="10" spans="1:8">
      <c r="B10" s="8" t="s">
        <v>16</v>
      </c>
      <c r="C10" s="10"/>
      <c r="D10" s="10"/>
      <c r="E10" s="15"/>
      <c r="F10" s="12" t="e">
        <f t="shared" si="0"/>
        <v>#DIV/0!</v>
      </c>
      <c r="G10" s="10"/>
      <c r="H10" s="44" t="e">
        <f t="shared" ref="H10:H29" si="1">(D10-G10)/G10</f>
        <v>#DIV/0!</v>
      </c>
    </row>
    <row r="11" spans="1:8">
      <c r="B11" s="8" t="s">
        <v>17</v>
      </c>
      <c r="C11" s="10">
        <v>504429</v>
      </c>
      <c r="D11" s="10">
        <v>872230</v>
      </c>
      <c r="E11" s="15">
        <v>84535500</v>
      </c>
      <c r="F11" s="12">
        <f t="shared" si="0"/>
        <v>1.031791377586931E-2</v>
      </c>
      <c r="G11" s="10">
        <v>121000</v>
      </c>
      <c r="H11" s="44">
        <f t="shared" si="1"/>
        <v>6.2085123966942151</v>
      </c>
    </row>
    <row r="12" spans="1:8">
      <c r="B12" s="8" t="s">
        <v>18</v>
      </c>
      <c r="C12" s="10">
        <v>30120</v>
      </c>
      <c r="D12" s="10">
        <v>97430</v>
      </c>
      <c r="E12" s="15">
        <v>9779000</v>
      </c>
      <c r="F12" s="12">
        <f t="shared" si="0"/>
        <v>9.9631864198793333E-3</v>
      </c>
      <c r="G12" s="10">
        <v>28970</v>
      </c>
      <c r="H12" s="44">
        <f t="shared" si="1"/>
        <v>2.3631342768381085</v>
      </c>
    </row>
    <row r="13" spans="1:8">
      <c r="B13" s="8" t="s">
        <v>19</v>
      </c>
      <c r="C13" s="17">
        <v>10</v>
      </c>
      <c r="D13" s="17">
        <v>13</v>
      </c>
      <c r="E13" s="18">
        <v>660</v>
      </c>
      <c r="F13" s="12">
        <f t="shared" si="0"/>
        <v>1.9696969696969695E-2</v>
      </c>
      <c r="G13" s="17">
        <v>0</v>
      </c>
      <c r="H13" s="44" t="e">
        <f t="shared" si="1"/>
        <v>#DIV/0!</v>
      </c>
    </row>
    <row r="14" spans="1:8">
      <c r="B14" s="8" t="s">
        <v>20</v>
      </c>
      <c r="C14" s="17">
        <v>3</v>
      </c>
      <c r="D14" s="17">
        <v>10</v>
      </c>
      <c r="E14" s="18">
        <v>920</v>
      </c>
      <c r="F14" s="12">
        <f t="shared" si="0"/>
        <v>1.0869565217391304E-2</v>
      </c>
      <c r="G14" s="17">
        <v>0</v>
      </c>
      <c r="H14" s="44" t="e">
        <f>(D14-G14)/G14</f>
        <v>#DIV/0!</v>
      </c>
    </row>
    <row r="15" spans="1:8">
      <c r="B15" s="8" t="s">
        <v>21</v>
      </c>
      <c r="C15" s="17">
        <v>1</v>
      </c>
      <c r="D15" s="17">
        <v>4</v>
      </c>
      <c r="E15" s="18">
        <v>165</v>
      </c>
      <c r="F15" s="12">
        <f t="shared" si="0"/>
        <v>2.4242424242424242E-2</v>
      </c>
      <c r="G15" s="17">
        <v>0</v>
      </c>
      <c r="H15" s="44" t="e">
        <f t="shared" si="1"/>
        <v>#DIV/0!</v>
      </c>
    </row>
    <row r="16" spans="1:8">
      <c r="B16" s="8" t="s">
        <v>22</v>
      </c>
      <c r="C16" s="17">
        <v>1</v>
      </c>
      <c r="D16" s="17">
        <v>0</v>
      </c>
      <c r="E16" s="18">
        <v>1300</v>
      </c>
      <c r="F16" s="12">
        <f t="shared" si="0"/>
        <v>0</v>
      </c>
      <c r="G16" s="17">
        <v>3</v>
      </c>
      <c r="H16" s="44">
        <f t="shared" si="1"/>
        <v>-1</v>
      </c>
    </row>
    <row r="17" spans="2:8">
      <c r="B17" s="8" t="s">
        <v>23</v>
      </c>
      <c r="C17" s="19">
        <v>0</v>
      </c>
      <c r="D17" s="19">
        <v>0</v>
      </c>
      <c r="E17" s="15">
        <v>246</v>
      </c>
      <c r="F17" s="16">
        <f t="shared" si="0"/>
        <v>0</v>
      </c>
      <c r="G17" s="19">
        <v>1</v>
      </c>
      <c r="H17" s="45">
        <f>(D17-G17)/G17</f>
        <v>-1</v>
      </c>
    </row>
    <row r="18" spans="2:8">
      <c r="B18" s="8" t="s">
        <v>24</v>
      </c>
      <c r="C18" s="17">
        <v>0</v>
      </c>
      <c r="D18" s="17">
        <v>0</v>
      </c>
      <c r="E18" s="18">
        <v>121</v>
      </c>
      <c r="F18" s="12">
        <f t="shared" si="0"/>
        <v>0</v>
      </c>
      <c r="G18" s="17">
        <v>0</v>
      </c>
      <c r="H18" s="44" t="e">
        <f t="shared" si="1"/>
        <v>#DIV/0!</v>
      </c>
    </row>
    <row r="19" spans="2:8">
      <c r="B19" s="8" t="s">
        <v>25</v>
      </c>
      <c r="C19" s="17">
        <v>1</v>
      </c>
      <c r="D19" s="17">
        <v>0</v>
      </c>
      <c r="E19" s="18">
        <v>232</v>
      </c>
      <c r="F19" s="12">
        <f t="shared" si="0"/>
        <v>0</v>
      </c>
      <c r="G19" s="17">
        <v>0</v>
      </c>
      <c r="H19" s="44" t="e">
        <f t="shared" si="1"/>
        <v>#DIV/0!</v>
      </c>
    </row>
    <row r="20" spans="2:8">
      <c r="B20" s="8" t="s">
        <v>26</v>
      </c>
      <c r="C20" s="20">
        <f>C19/C13</f>
        <v>0.1</v>
      </c>
      <c r="D20" s="20">
        <f>D19/D13</f>
        <v>0</v>
      </c>
      <c r="E20" s="20">
        <f>E19/E13</f>
        <v>0.3515151515151515</v>
      </c>
      <c r="F20" s="12">
        <f t="shared" si="0"/>
        <v>0</v>
      </c>
      <c r="G20" s="46" t="e">
        <f>G19/G13</f>
        <v>#DIV/0!</v>
      </c>
      <c r="H20" s="44" t="e">
        <f>D20-G20</f>
        <v>#DIV/0!</v>
      </c>
    </row>
    <row r="21" spans="2:8">
      <c r="B21" s="8" t="s">
        <v>27</v>
      </c>
      <c r="C21" s="17">
        <v>1</v>
      </c>
      <c r="D21" s="17">
        <v>1</v>
      </c>
      <c r="E21" s="18">
        <v>165</v>
      </c>
      <c r="F21" s="12">
        <f t="shared" si="0"/>
        <v>6.0606060606060606E-3</v>
      </c>
      <c r="G21" s="17">
        <v>0</v>
      </c>
      <c r="H21" s="44" t="e">
        <f t="shared" si="1"/>
        <v>#DIV/0!</v>
      </c>
    </row>
    <row r="22" spans="2:8">
      <c r="B22" s="8" t="s">
        <v>28</v>
      </c>
      <c r="C22" s="20">
        <f>C21/C13</f>
        <v>0.1</v>
      </c>
      <c r="D22" s="20">
        <f>D21/D13</f>
        <v>7.6923076923076927E-2</v>
      </c>
      <c r="E22" s="20">
        <f>E21/E13</f>
        <v>0.25</v>
      </c>
      <c r="F22" s="21">
        <f t="shared" si="0"/>
        <v>0.30769230769230771</v>
      </c>
      <c r="G22" s="46" t="e">
        <f>G21/G13</f>
        <v>#DIV/0!</v>
      </c>
      <c r="H22" s="44" t="e">
        <f>D22-G22</f>
        <v>#DIV/0!</v>
      </c>
    </row>
    <row r="23" spans="2:8">
      <c r="B23" s="8" t="s">
        <v>29</v>
      </c>
      <c r="C23" s="17">
        <v>1</v>
      </c>
      <c r="D23" s="17">
        <v>2</v>
      </c>
      <c r="E23" s="18">
        <v>286</v>
      </c>
      <c r="F23" s="12">
        <f t="shared" si="0"/>
        <v>6.993006993006993E-3</v>
      </c>
      <c r="G23" s="17">
        <v>0</v>
      </c>
      <c r="H23" s="44" t="e">
        <f>(D23-G23)/G23</f>
        <v>#DIV/0!</v>
      </c>
    </row>
    <row r="24" spans="2:8">
      <c r="B24" s="8" t="s">
        <v>30</v>
      </c>
      <c r="C24" s="20">
        <f>C23/(C15+C16+C14)</f>
        <v>0.2</v>
      </c>
      <c r="D24" s="20">
        <f>D23/(D15+D16+D14)</f>
        <v>0.14285714285714285</v>
      </c>
      <c r="E24" s="20">
        <f>E23/(E15+E16+E14)</f>
        <v>0.119916142557652</v>
      </c>
      <c r="F24" s="21">
        <f t="shared" si="0"/>
        <v>1.1913086913086912</v>
      </c>
      <c r="G24" s="46">
        <f>G23/(G15+G16+G14)</f>
        <v>0</v>
      </c>
      <c r="H24" s="44">
        <f>D24-G24</f>
        <v>0.14285714285714285</v>
      </c>
    </row>
    <row r="25" spans="2:8">
      <c r="B25" s="8" t="s">
        <v>31</v>
      </c>
      <c r="C25" s="10">
        <v>63259</v>
      </c>
      <c r="D25" s="10">
        <v>94449</v>
      </c>
      <c r="E25" s="15">
        <v>14400000</v>
      </c>
      <c r="F25" s="12">
        <f t="shared" si="0"/>
        <v>6.5589583333333333E-3</v>
      </c>
      <c r="G25" s="10">
        <v>18917</v>
      </c>
      <c r="H25" s="44">
        <f t="shared" si="1"/>
        <v>3.9928106993709362</v>
      </c>
    </row>
    <row r="26" spans="2:8">
      <c r="B26" s="8" t="s">
        <v>32</v>
      </c>
      <c r="C26" s="20">
        <f>C25/C9</f>
        <v>2.9678049531130072E-2</v>
      </c>
      <c r="D26" s="20">
        <f>D25/D9</f>
        <v>9.1277649350950577E-2</v>
      </c>
      <c r="E26" s="20">
        <f>E25/E9</f>
        <v>22.153846153846153</v>
      </c>
      <c r="F26" s="12">
        <f t="shared" si="0"/>
        <v>4.1201716720915193E-3</v>
      </c>
      <c r="G26" s="46">
        <f>G25/G9</f>
        <v>0.11866660811853487</v>
      </c>
      <c r="H26" s="44">
        <f>D26-G26</f>
        <v>-2.7388958767584293E-2</v>
      </c>
    </row>
    <row r="27" spans="2:8">
      <c r="B27" s="82" t="s">
        <v>389</v>
      </c>
      <c r="C27" s="83">
        <v>1539850</v>
      </c>
      <c r="D27" s="83"/>
      <c r="E27" s="84"/>
      <c r="F27" s="85"/>
      <c r="G27" s="83"/>
      <c r="H27" s="44" t="e">
        <f t="shared" ref="H27:H28" si="2">(D27-G27)/G27</f>
        <v>#DIV/0!</v>
      </c>
    </row>
    <row r="28" spans="2:8">
      <c r="B28" s="82" t="s">
        <v>390</v>
      </c>
      <c r="C28" s="84">
        <f>C27/C9</f>
        <v>0.72242281051724877</v>
      </c>
      <c r="D28" s="84">
        <f>D27/D9</f>
        <v>0</v>
      </c>
      <c r="E28" s="84"/>
      <c r="F28" s="85"/>
      <c r="G28" s="46">
        <f>G27/G9</f>
        <v>0</v>
      </c>
      <c r="H28" s="44">
        <f>D28-G28</f>
        <v>0</v>
      </c>
    </row>
    <row r="29" spans="2:8">
      <c r="B29" s="8" t="s">
        <v>33</v>
      </c>
      <c r="C29" s="10">
        <v>0</v>
      </c>
      <c r="D29" s="10">
        <v>0</v>
      </c>
      <c r="E29" s="15">
        <v>0</v>
      </c>
      <c r="F29" s="12" t="e">
        <f t="shared" si="0"/>
        <v>#DIV/0!</v>
      </c>
      <c r="G29" s="10">
        <v>0</v>
      </c>
      <c r="H29" s="44" t="e">
        <f t="shared" si="1"/>
        <v>#DIV/0!</v>
      </c>
    </row>
    <row r="30" spans="2:8">
      <c r="B30" s="74" t="s">
        <v>75</v>
      </c>
      <c r="C30" s="10">
        <v>0</v>
      </c>
      <c r="D30" s="10"/>
      <c r="E30" s="15"/>
      <c r="F30" s="12"/>
      <c r="G30" s="10">
        <v>0</v>
      </c>
      <c r="H30" s="44"/>
    </row>
    <row r="31" spans="2:8">
      <c r="B31" s="8" t="s">
        <v>72</v>
      </c>
      <c r="C31" s="10">
        <v>0</v>
      </c>
      <c r="D31" s="10"/>
      <c r="E31" s="15"/>
      <c r="F31" s="12"/>
      <c r="G31" s="10"/>
      <c r="H31" s="44"/>
    </row>
    <row r="32" spans="2:8">
      <c r="B32" s="8" t="s">
        <v>71</v>
      </c>
      <c r="C32" s="10">
        <v>0</v>
      </c>
      <c r="D32" s="10">
        <v>4212</v>
      </c>
      <c r="E32" s="15"/>
      <c r="F32" s="12"/>
      <c r="G32" s="10">
        <v>0</v>
      </c>
      <c r="H32" s="44"/>
    </row>
    <row r="33" spans="2:8">
      <c r="B33" s="8" t="s">
        <v>34</v>
      </c>
      <c r="C33" s="22">
        <f>C7-C11-C12-C25-C29</f>
        <v>1533700</v>
      </c>
      <c r="D33" s="22">
        <f>D7-D11-D12-D25-D29</f>
        <v>-29365</v>
      </c>
      <c r="E33" s="22"/>
      <c r="F33" s="12"/>
      <c r="G33" s="47">
        <f>G7-G11-G12-G25-G29</f>
        <v>-9474</v>
      </c>
      <c r="H33" s="44">
        <f>(D33-G33)/G33</f>
        <v>2.0995355710365211</v>
      </c>
    </row>
    <row r="34" spans="2:8">
      <c r="B34" s="8" t="s">
        <v>35</v>
      </c>
      <c r="C34" s="22">
        <f>C9/E3</f>
        <v>2131508</v>
      </c>
      <c r="D34" s="22">
        <f>D9/(E3+G3)</f>
        <v>517372</v>
      </c>
      <c r="E34" s="22">
        <f>E9/(E3+G3)</f>
        <v>325000</v>
      </c>
      <c r="F34" s="12">
        <f>D34/E34</f>
        <v>1.5919138461538462</v>
      </c>
      <c r="G34" s="47">
        <f>G9/(E3+G3)</f>
        <v>79706.5</v>
      </c>
      <c r="H34" s="44">
        <f>(D34-G34)/G34</f>
        <v>5.4909637231593411</v>
      </c>
    </row>
    <row r="35" spans="2:8">
      <c r="B35" s="63" t="s">
        <v>45</v>
      </c>
      <c r="C35" s="17">
        <v>21</v>
      </c>
      <c r="D35" s="17"/>
      <c r="E35" s="22"/>
      <c r="F35" s="12"/>
      <c r="G35" s="17"/>
      <c r="H35" s="62"/>
    </row>
    <row r="36" spans="2:8">
      <c r="B36" s="8" t="s">
        <v>43</v>
      </c>
      <c r="C36" s="17">
        <v>5</v>
      </c>
      <c r="D36" s="17"/>
      <c r="E36" s="22"/>
      <c r="F36" s="12"/>
      <c r="G36" s="17"/>
      <c r="H36" s="62"/>
    </row>
    <row r="37" spans="2:8" s="67" customFormat="1">
      <c r="B37" s="68" t="s">
        <v>44</v>
      </c>
      <c r="C37" s="12">
        <f>C36/C35</f>
        <v>0.23809523809523808</v>
      </c>
      <c r="D37" s="12"/>
      <c r="E37" s="12"/>
      <c r="F37" s="12"/>
      <c r="G37" s="69"/>
      <c r="H37" s="62"/>
    </row>
    <row r="38" spans="2:8">
      <c r="B38" s="23" t="s">
        <v>36</v>
      </c>
      <c r="C38" s="24"/>
      <c r="D38" s="25"/>
      <c r="E38" s="66" t="s">
        <v>47</v>
      </c>
      <c r="F38" s="25"/>
      <c r="G38" s="25"/>
      <c r="H38" s="26"/>
    </row>
    <row r="39" spans="2:8">
      <c r="B39" s="80" t="s">
        <v>46</v>
      </c>
      <c r="C39" s="81"/>
      <c r="D39" s="64"/>
      <c r="E39" s="64"/>
      <c r="F39" s="64"/>
      <c r="G39" s="64"/>
      <c r="H39" s="65"/>
    </row>
    <row r="40" spans="2:8">
      <c r="B40" s="27" t="s">
        <v>37</v>
      </c>
      <c r="C40" s="28"/>
      <c r="D40" s="29"/>
      <c r="E40" s="30"/>
      <c r="F40" s="30"/>
      <c r="G40" s="30"/>
      <c r="H40" s="31"/>
    </row>
    <row r="41" spans="2:8">
      <c r="B41" s="32"/>
      <c r="C41" s="33"/>
      <c r="D41" s="34"/>
      <c r="E41" s="35"/>
      <c r="F41" s="35"/>
      <c r="G41" s="35"/>
      <c r="H41" s="36"/>
    </row>
    <row r="42" spans="2:8">
      <c r="B42" s="32"/>
      <c r="C42" s="33"/>
      <c r="D42" s="34"/>
      <c r="E42" s="35"/>
      <c r="F42" s="35"/>
      <c r="G42" s="35"/>
      <c r="H42" s="36"/>
    </row>
    <row r="43" spans="2:8">
      <c r="B43" s="32"/>
      <c r="C43" s="33"/>
      <c r="D43" s="34"/>
      <c r="E43" s="35"/>
      <c r="F43" s="35"/>
      <c r="G43" s="35"/>
      <c r="H43" s="36"/>
    </row>
    <row r="44" spans="2:8" ht="16" thickBot="1">
      <c r="B44" s="37"/>
      <c r="C44" s="38"/>
      <c r="D44" s="39"/>
      <c r="E44" s="40"/>
      <c r="F44" s="40"/>
      <c r="G44" s="40"/>
      <c r="H44" s="41"/>
    </row>
  </sheetData>
  <mergeCells count="1">
    <mergeCell ref="B39:C39"/>
  </mergeCells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Temp">
                <anchor moveWithCells="1" sizeWithCells="1">
                  <from>
                    <xdr:col>6</xdr:col>
                    <xdr:colOff>304800</xdr:colOff>
                    <xdr:row>46</xdr:row>
                    <xdr:rowOff>12700</xdr:rowOff>
                  </from>
                  <to>
                    <xdr:col>7</xdr:col>
                    <xdr:colOff>1003300</xdr:colOff>
                    <xdr:row>48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L60"/>
  <sheetViews>
    <sheetView workbookViewId="0">
      <selection activeCell="N47" sqref="N47"/>
    </sheetView>
  </sheetViews>
  <sheetFormatPr baseColWidth="10" defaultRowHeight="15"/>
  <sheetData>
    <row r="1" spans="1:12">
      <c r="A1" s="56">
        <v>1.5</v>
      </c>
    </row>
    <row r="2" spans="1:12">
      <c r="B2" s="56">
        <v>1</v>
      </c>
      <c r="H2" s="70"/>
    </row>
    <row r="3" spans="1:12">
      <c r="G3" s="70"/>
      <c r="H3" s="70"/>
      <c r="I3" s="70"/>
      <c r="K3" t="s">
        <v>73</v>
      </c>
      <c r="L3" s="71">
        <v>0</v>
      </c>
    </row>
    <row r="4" spans="1:12">
      <c r="K4" s="59" t="s">
        <v>38</v>
      </c>
    </row>
    <row r="5" spans="1:12">
      <c r="K5" s="59" t="s">
        <v>39</v>
      </c>
    </row>
    <row r="6" spans="1:12">
      <c r="K6" s="59" t="s">
        <v>40</v>
      </c>
    </row>
    <row r="10" spans="1:12" s="1" customFormat="1"/>
    <row r="11" spans="1:12">
      <c r="A11" s="76" t="s">
        <v>221</v>
      </c>
      <c r="B11" s="76" t="s">
        <v>222</v>
      </c>
      <c r="C11" s="76" t="s">
        <v>223</v>
      </c>
      <c r="D11" s="76" t="s">
        <v>224</v>
      </c>
      <c r="E11" s="76" t="s">
        <v>225</v>
      </c>
      <c r="F11" s="76" t="s">
        <v>226</v>
      </c>
      <c r="G11" s="76" t="s">
        <v>227</v>
      </c>
      <c r="H11" s="76" t="s">
        <v>228</v>
      </c>
      <c r="I11" s="76" t="s">
        <v>229</v>
      </c>
      <c r="J11" s="76" t="s">
        <v>228</v>
      </c>
      <c r="K11" s="77">
        <v>1</v>
      </c>
      <c r="L11" s="77">
        <v>57000</v>
      </c>
    </row>
    <row r="12" spans="1:12">
      <c r="A12" s="76" t="s">
        <v>221</v>
      </c>
      <c r="B12" s="76" t="s">
        <v>222</v>
      </c>
      <c r="C12" s="76" t="s">
        <v>223</v>
      </c>
      <c r="D12" s="76" t="s">
        <v>224</v>
      </c>
      <c r="E12" s="76" t="s">
        <v>230</v>
      </c>
      <c r="F12" s="76" t="s">
        <v>231</v>
      </c>
      <c r="G12" s="76" t="s">
        <v>232</v>
      </c>
      <c r="H12" s="76" t="s">
        <v>233</v>
      </c>
      <c r="I12" s="76" t="s">
        <v>234</v>
      </c>
      <c r="J12" s="76" t="s">
        <v>233</v>
      </c>
      <c r="K12" s="77">
        <v>4</v>
      </c>
      <c r="L12" s="77">
        <v>201600</v>
      </c>
    </row>
    <row r="13" spans="1:12">
      <c r="A13" s="76" t="s">
        <v>221</v>
      </c>
      <c r="B13" s="76" t="s">
        <v>222</v>
      </c>
      <c r="C13" s="76" t="s">
        <v>223</v>
      </c>
      <c r="D13" s="76" t="s">
        <v>224</v>
      </c>
      <c r="E13" s="76" t="s">
        <v>230</v>
      </c>
      <c r="F13" s="76" t="s">
        <v>231</v>
      </c>
      <c r="G13" s="76" t="s">
        <v>235</v>
      </c>
      <c r="H13" s="76" t="s">
        <v>236</v>
      </c>
      <c r="I13" s="76" t="s">
        <v>237</v>
      </c>
      <c r="J13" s="76" t="s">
        <v>236</v>
      </c>
      <c r="K13" s="77">
        <v>5</v>
      </c>
      <c r="L13" s="77">
        <v>132300</v>
      </c>
    </row>
    <row r="14" spans="1:12">
      <c r="A14" s="76" t="s">
        <v>221</v>
      </c>
      <c r="B14" s="76" t="s">
        <v>222</v>
      </c>
      <c r="C14" s="76" t="s">
        <v>223</v>
      </c>
      <c r="D14" s="76" t="s">
        <v>224</v>
      </c>
      <c r="E14" s="76" t="s">
        <v>238</v>
      </c>
      <c r="F14" s="76" t="s">
        <v>239</v>
      </c>
      <c r="G14" s="76" t="s">
        <v>240</v>
      </c>
      <c r="H14" s="76" t="s">
        <v>241</v>
      </c>
      <c r="I14" s="76" t="s">
        <v>242</v>
      </c>
      <c r="J14" s="76" t="s">
        <v>241</v>
      </c>
      <c r="K14" s="77">
        <v>1</v>
      </c>
      <c r="L14" s="77">
        <v>30400</v>
      </c>
    </row>
    <row r="15" spans="1:12">
      <c r="A15" s="76" t="s">
        <v>221</v>
      </c>
      <c r="B15" s="76" t="s">
        <v>222</v>
      </c>
      <c r="C15" s="76" t="s">
        <v>223</v>
      </c>
      <c r="D15" s="76" t="s">
        <v>224</v>
      </c>
      <c r="E15" s="76" t="s">
        <v>243</v>
      </c>
      <c r="F15" s="76" t="s">
        <v>244</v>
      </c>
      <c r="G15" s="76" t="s">
        <v>245</v>
      </c>
      <c r="H15" s="76" t="s">
        <v>246</v>
      </c>
      <c r="I15" s="76" t="s">
        <v>247</v>
      </c>
      <c r="J15" s="76" t="s">
        <v>248</v>
      </c>
      <c r="K15" s="77">
        <v>3</v>
      </c>
      <c r="L15" s="77">
        <v>58600</v>
      </c>
    </row>
    <row r="16" spans="1:12">
      <c r="A16" s="76" t="s">
        <v>221</v>
      </c>
      <c r="B16" s="76" t="s">
        <v>222</v>
      </c>
      <c r="C16" s="76" t="s">
        <v>223</v>
      </c>
      <c r="D16" s="76" t="s">
        <v>224</v>
      </c>
      <c r="E16" s="76" t="s">
        <v>249</v>
      </c>
      <c r="F16" s="76" t="s">
        <v>250</v>
      </c>
      <c r="G16" s="76" t="s">
        <v>251</v>
      </c>
      <c r="H16" s="76" t="s">
        <v>250</v>
      </c>
      <c r="I16" s="76" t="s">
        <v>252</v>
      </c>
      <c r="J16" s="76" t="s">
        <v>253</v>
      </c>
      <c r="K16" s="77">
        <v>1</v>
      </c>
      <c r="L16" s="77">
        <v>24529</v>
      </c>
    </row>
    <row r="17" spans="1:12">
      <c r="A17" s="76" t="s">
        <v>221</v>
      </c>
      <c r="B17" s="76" t="s">
        <v>222</v>
      </c>
      <c r="C17" s="76" t="s">
        <v>254</v>
      </c>
      <c r="D17" s="76" t="s">
        <v>255</v>
      </c>
      <c r="E17" s="76" t="s">
        <v>256</v>
      </c>
      <c r="F17" s="76" t="s">
        <v>257</v>
      </c>
      <c r="G17" s="76" t="s">
        <v>258</v>
      </c>
      <c r="H17" s="76" t="s">
        <v>259</v>
      </c>
      <c r="I17" s="76" t="s">
        <v>260</v>
      </c>
      <c r="J17" s="76" t="s">
        <v>261</v>
      </c>
      <c r="K17" s="77">
        <v>1</v>
      </c>
      <c r="L17" s="77">
        <v>2290</v>
      </c>
    </row>
    <row r="18" spans="1:12">
      <c r="A18" s="76" t="s">
        <v>221</v>
      </c>
      <c r="B18" s="76" t="s">
        <v>222</v>
      </c>
      <c r="C18" s="76" t="s">
        <v>254</v>
      </c>
      <c r="D18" s="76" t="s">
        <v>255</v>
      </c>
      <c r="E18" s="76" t="s">
        <v>262</v>
      </c>
      <c r="F18" s="76" t="s">
        <v>263</v>
      </c>
      <c r="G18" s="76" t="s">
        <v>264</v>
      </c>
      <c r="H18" s="76" t="s">
        <v>265</v>
      </c>
      <c r="I18" s="76" t="s">
        <v>266</v>
      </c>
      <c r="J18" s="76" t="s">
        <v>267</v>
      </c>
      <c r="K18" s="77">
        <v>2</v>
      </c>
      <c r="L18" s="77">
        <v>2780</v>
      </c>
    </row>
    <row r="19" spans="1:12">
      <c r="A19" s="76" t="s">
        <v>221</v>
      </c>
      <c r="B19" s="76" t="s">
        <v>222</v>
      </c>
      <c r="C19" s="76" t="s">
        <v>254</v>
      </c>
      <c r="D19" s="76" t="s">
        <v>255</v>
      </c>
      <c r="E19" s="76" t="s">
        <v>262</v>
      </c>
      <c r="F19" s="76" t="s">
        <v>263</v>
      </c>
      <c r="G19" s="76" t="s">
        <v>268</v>
      </c>
      <c r="H19" s="76" t="s">
        <v>269</v>
      </c>
      <c r="I19" s="76" t="s">
        <v>270</v>
      </c>
      <c r="J19" s="76" t="s">
        <v>271</v>
      </c>
      <c r="K19" s="77">
        <v>1</v>
      </c>
      <c r="L19" s="77">
        <v>3890</v>
      </c>
    </row>
    <row r="20" spans="1:12">
      <c r="A20" s="76" t="s">
        <v>221</v>
      </c>
      <c r="B20" s="76" t="s">
        <v>222</v>
      </c>
      <c r="C20" s="76" t="s">
        <v>254</v>
      </c>
      <c r="D20" s="76" t="s">
        <v>255</v>
      </c>
      <c r="E20" s="76" t="s">
        <v>272</v>
      </c>
      <c r="F20" s="76" t="s">
        <v>273</v>
      </c>
      <c r="G20" s="76" t="s">
        <v>274</v>
      </c>
      <c r="H20" s="76" t="s">
        <v>275</v>
      </c>
      <c r="I20" s="76" t="s">
        <v>276</v>
      </c>
      <c r="J20" s="76" t="s">
        <v>277</v>
      </c>
      <c r="K20" s="77">
        <v>2</v>
      </c>
      <c r="L20" s="77">
        <v>11580</v>
      </c>
    </row>
    <row r="21" spans="1:12">
      <c r="A21" s="76" t="s">
        <v>221</v>
      </c>
      <c r="B21" s="76" t="s">
        <v>222</v>
      </c>
      <c r="C21" s="76" t="s">
        <v>254</v>
      </c>
      <c r="D21" s="76" t="s">
        <v>255</v>
      </c>
      <c r="E21" s="76" t="s">
        <v>278</v>
      </c>
      <c r="F21" s="76" t="s">
        <v>279</v>
      </c>
      <c r="G21" s="76" t="s">
        <v>274</v>
      </c>
      <c r="H21" s="76" t="s">
        <v>275</v>
      </c>
      <c r="I21" s="76" t="s">
        <v>280</v>
      </c>
      <c r="J21" s="76" t="s">
        <v>281</v>
      </c>
      <c r="K21" s="77">
        <v>2</v>
      </c>
      <c r="L21" s="77">
        <v>9580</v>
      </c>
    </row>
    <row r="22" spans="1:12">
      <c r="A22" s="76" t="s">
        <v>282</v>
      </c>
      <c r="B22" s="76" t="s">
        <v>283</v>
      </c>
      <c r="C22" s="76" t="s">
        <v>284</v>
      </c>
      <c r="D22" s="76" t="s">
        <v>285</v>
      </c>
      <c r="E22" s="76" t="s">
        <v>256</v>
      </c>
      <c r="F22" s="76" t="s">
        <v>257</v>
      </c>
      <c r="G22" s="76" t="s">
        <v>286</v>
      </c>
      <c r="H22" s="76" t="s">
        <v>287</v>
      </c>
      <c r="I22" s="76" t="s">
        <v>288</v>
      </c>
      <c r="J22" s="76" t="s">
        <v>289</v>
      </c>
      <c r="K22" s="77">
        <v>1</v>
      </c>
      <c r="L22" s="77">
        <v>3950</v>
      </c>
    </row>
    <row r="23" spans="1:12">
      <c r="A23" s="76" t="s">
        <v>282</v>
      </c>
      <c r="B23" s="76" t="s">
        <v>283</v>
      </c>
      <c r="C23" s="76" t="s">
        <v>284</v>
      </c>
      <c r="D23" s="76" t="s">
        <v>285</v>
      </c>
      <c r="E23" s="76" t="s">
        <v>256</v>
      </c>
      <c r="F23" s="76" t="s">
        <v>257</v>
      </c>
      <c r="G23" s="76" t="s">
        <v>286</v>
      </c>
      <c r="H23" s="76" t="s">
        <v>287</v>
      </c>
      <c r="I23" s="76" t="s">
        <v>290</v>
      </c>
      <c r="J23" s="76" t="s">
        <v>291</v>
      </c>
      <c r="K23" s="77">
        <v>2</v>
      </c>
      <c r="L23" s="77">
        <v>8600</v>
      </c>
    </row>
    <row r="24" spans="1:12">
      <c r="A24" s="76" t="s">
        <v>282</v>
      </c>
      <c r="B24" s="76" t="s">
        <v>283</v>
      </c>
      <c r="C24" s="76" t="s">
        <v>284</v>
      </c>
      <c r="D24" s="76" t="s">
        <v>285</v>
      </c>
      <c r="E24" s="76" t="s">
        <v>256</v>
      </c>
      <c r="F24" s="76" t="s">
        <v>257</v>
      </c>
      <c r="G24" s="76" t="s">
        <v>258</v>
      </c>
      <c r="H24" s="76" t="s">
        <v>259</v>
      </c>
      <c r="I24" s="76" t="s">
        <v>260</v>
      </c>
      <c r="J24" s="76" t="s">
        <v>261</v>
      </c>
      <c r="K24" s="77">
        <v>1</v>
      </c>
      <c r="L24" s="77">
        <v>552</v>
      </c>
    </row>
    <row r="25" spans="1:12">
      <c r="A25" s="76" t="s">
        <v>282</v>
      </c>
      <c r="B25" s="76" t="s">
        <v>283</v>
      </c>
      <c r="C25" s="76" t="s">
        <v>284</v>
      </c>
      <c r="D25" s="76" t="s">
        <v>285</v>
      </c>
      <c r="E25" s="76" t="s">
        <v>256</v>
      </c>
      <c r="F25" s="76" t="s">
        <v>257</v>
      </c>
      <c r="G25" s="76" t="s">
        <v>264</v>
      </c>
      <c r="H25" s="76" t="s">
        <v>265</v>
      </c>
      <c r="I25" s="76" t="s">
        <v>292</v>
      </c>
      <c r="J25" s="76" t="s">
        <v>293</v>
      </c>
      <c r="K25" s="77">
        <v>5</v>
      </c>
      <c r="L25" s="77">
        <v>4916</v>
      </c>
    </row>
    <row r="26" spans="1:12">
      <c r="A26" s="76" t="s">
        <v>282</v>
      </c>
      <c r="B26" s="76" t="s">
        <v>283</v>
      </c>
      <c r="C26" s="76" t="s">
        <v>284</v>
      </c>
      <c r="D26" s="76" t="s">
        <v>285</v>
      </c>
      <c r="E26" s="76" t="s">
        <v>256</v>
      </c>
      <c r="F26" s="76" t="s">
        <v>257</v>
      </c>
      <c r="G26" s="76" t="s">
        <v>294</v>
      </c>
      <c r="H26" s="76" t="s">
        <v>295</v>
      </c>
      <c r="I26" s="76" t="s">
        <v>296</v>
      </c>
      <c r="J26" s="76" t="s">
        <v>297</v>
      </c>
      <c r="K26" s="77">
        <v>6</v>
      </c>
      <c r="L26" s="77">
        <v>6676</v>
      </c>
    </row>
    <row r="27" spans="1:12">
      <c r="A27" s="76" t="s">
        <v>282</v>
      </c>
      <c r="B27" s="76" t="s">
        <v>283</v>
      </c>
      <c r="C27" s="76" t="s">
        <v>284</v>
      </c>
      <c r="D27" s="76" t="s">
        <v>285</v>
      </c>
      <c r="E27" s="76" t="s">
        <v>256</v>
      </c>
      <c r="F27" s="76" t="s">
        <v>257</v>
      </c>
      <c r="G27" s="76" t="s">
        <v>294</v>
      </c>
      <c r="H27" s="76" t="s">
        <v>295</v>
      </c>
      <c r="I27" s="76" t="s">
        <v>298</v>
      </c>
      <c r="J27" s="76" t="s">
        <v>299</v>
      </c>
      <c r="K27" s="77">
        <v>1</v>
      </c>
      <c r="L27" s="77">
        <v>1111</v>
      </c>
    </row>
    <row r="28" spans="1:12">
      <c r="A28" s="76" t="s">
        <v>282</v>
      </c>
      <c r="B28" s="76" t="s">
        <v>283</v>
      </c>
      <c r="C28" s="76" t="s">
        <v>284</v>
      </c>
      <c r="D28" s="76" t="s">
        <v>285</v>
      </c>
      <c r="E28" s="76" t="s">
        <v>256</v>
      </c>
      <c r="F28" s="76" t="s">
        <v>257</v>
      </c>
      <c r="G28" s="76" t="s">
        <v>294</v>
      </c>
      <c r="H28" s="76" t="s">
        <v>295</v>
      </c>
      <c r="I28" s="76" t="s">
        <v>300</v>
      </c>
      <c r="J28" s="76" t="s">
        <v>301</v>
      </c>
      <c r="K28" s="77">
        <v>2</v>
      </c>
      <c r="L28" s="77">
        <v>1045</v>
      </c>
    </row>
    <row r="29" spans="1:12">
      <c r="A29" s="76" t="s">
        <v>282</v>
      </c>
      <c r="B29" s="76" t="s">
        <v>283</v>
      </c>
      <c r="C29" s="76" t="s">
        <v>284</v>
      </c>
      <c r="D29" s="76" t="s">
        <v>285</v>
      </c>
      <c r="E29" s="76" t="s">
        <v>256</v>
      </c>
      <c r="F29" s="76" t="s">
        <v>257</v>
      </c>
      <c r="G29" s="76" t="s">
        <v>294</v>
      </c>
      <c r="H29" s="76" t="s">
        <v>295</v>
      </c>
      <c r="I29" s="76" t="s">
        <v>302</v>
      </c>
      <c r="J29" s="76" t="s">
        <v>303</v>
      </c>
      <c r="K29" s="77">
        <v>7</v>
      </c>
      <c r="L29" s="77">
        <v>8970</v>
      </c>
    </row>
    <row r="30" spans="1:12">
      <c r="A30" s="76" t="s">
        <v>282</v>
      </c>
      <c r="B30" s="76" t="s">
        <v>283</v>
      </c>
      <c r="C30" s="76" t="s">
        <v>284</v>
      </c>
      <c r="D30" s="76" t="s">
        <v>285</v>
      </c>
      <c r="E30" s="76" t="s">
        <v>304</v>
      </c>
      <c r="F30" s="76" t="s">
        <v>305</v>
      </c>
      <c r="G30" s="76" t="s">
        <v>258</v>
      </c>
      <c r="H30" s="76" t="s">
        <v>259</v>
      </c>
      <c r="I30" s="76" t="s">
        <v>306</v>
      </c>
      <c r="J30" s="76" t="s">
        <v>307</v>
      </c>
      <c r="K30" s="77">
        <v>1</v>
      </c>
      <c r="L30" s="77">
        <v>1112</v>
      </c>
    </row>
    <row r="31" spans="1:12">
      <c r="A31" s="76" t="s">
        <v>282</v>
      </c>
      <c r="B31" s="76" t="s">
        <v>283</v>
      </c>
      <c r="C31" s="76" t="s">
        <v>284</v>
      </c>
      <c r="D31" s="76" t="s">
        <v>285</v>
      </c>
      <c r="E31" s="76" t="s">
        <v>304</v>
      </c>
      <c r="F31" s="76" t="s">
        <v>305</v>
      </c>
      <c r="G31" s="76" t="s">
        <v>264</v>
      </c>
      <c r="H31" s="76" t="s">
        <v>265</v>
      </c>
      <c r="I31" s="76" t="s">
        <v>292</v>
      </c>
      <c r="J31" s="76" t="s">
        <v>293</v>
      </c>
      <c r="K31" s="77">
        <v>1</v>
      </c>
      <c r="L31" s="77">
        <v>621</v>
      </c>
    </row>
    <row r="32" spans="1:12">
      <c r="A32" s="76" t="s">
        <v>282</v>
      </c>
      <c r="B32" s="76" t="s">
        <v>283</v>
      </c>
      <c r="C32" s="76" t="s">
        <v>284</v>
      </c>
      <c r="D32" s="76" t="s">
        <v>285</v>
      </c>
      <c r="E32" s="76" t="s">
        <v>304</v>
      </c>
      <c r="F32" s="76" t="s">
        <v>305</v>
      </c>
      <c r="G32" s="76" t="s">
        <v>308</v>
      </c>
      <c r="H32" s="76" t="s">
        <v>309</v>
      </c>
      <c r="I32" s="76" t="s">
        <v>310</v>
      </c>
      <c r="J32" s="76" t="s">
        <v>311</v>
      </c>
      <c r="K32" s="77">
        <v>1</v>
      </c>
      <c r="L32" s="77">
        <v>792</v>
      </c>
    </row>
    <row r="33" spans="1:12">
      <c r="A33" s="76" t="s">
        <v>282</v>
      </c>
      <c r="B33" s="76" t="s">
        <v>283</v>
      </c>
      <c r="C33" s="76" t="s">
        <v>284</v>
      </c>
      <c r="D33" s="76" t="s">
        <v>285</v>
      </c>
      <c r="E33" s="76" t="s">
        <v>304</v>
      </c>
      <c r="F33" s="76" t="s">
        <v>305</v>
      </c>
      <c r="G33" s="76" t="s">
        <v>312</v>
      </c>
      <c r="H33" s="76" t="s">
        <v>313</v>
      </c>
      <c r="I33" s="76" t="s">
        <v>310</v>
      </c>
      <c r="J33" s="76" t="s">
        <v>311</v>
      </c>
      <c r="K33" s="77">
        <v>1</v>
      </c>
      <c r="L33" s="77">
        <v>711</v>
      </c>
    </row>
    <row r="34" spans="1:12">
      <c r="A34" s="76" t="s">
        <v>282</v>
      </c>
      <c r="B34" s="76" t="s">
        <v>283</v>
      </c>
      <c r="C34" s="76" t="s">
        <v>284</v>
      </c>
      <c r="D34" s="76" t="s">
        <v>285</v>
      </c>
      <c r="E34" s="76" t="s">
        <v>262</v>
      </c>
      <c r="F34" s="76" t="s">
        <v>263</v>
      </c>
      <c r="G34" s="76" t="s">
        <v>314</v>
      </c>
      <c r="H34" s="76" t="s">
        <v>315</v>
      </c>
      <c r="I34" s="76" t="s">
        <v>316</v>
      </c>
      <c r="J34" s="76" t="s">
        <v>317</v>
      </c>
      <c r="K34" s="77">
        <v>1</v>
      </c>
      <c r="L34" s="77">
        <v>1521</v>
      </c>
    </row>
    <row r="35" spans="1:12">
      <c r="A35" s="76" t="s">
        <v>282</v>
      </c>
      <c r="B35" s="76" t="s">
        <v>283</v>
      </c>
      <c r="C35" s="76" t="s">
        <v>284</v>
      </c>
      <c r="D35" s="76" t="s">
        <v>285</v>
      </c>
      <c r="E35" s="76" t="s">
        <v>262</v>
      </c>
      <c r="F35" s="76" t="s">
        <v>263</v>
      </c>
      <c r="G35" s="76" t="s">
        <v>314</v>
      </c>
      <c r="H35" s="76" t="s">
        <v>315</v>
      </c>
      <c r="I35" s="76" t="s">
        <v>318</v>
      </c>
      <c r="J35" s="76" t="s">
        <v>319</v>
      </c>
      <c r="K35" s="77">
        <v>2</v>
      </c>
      <c r="L35" s="77">
        <v>1350</v>
      </c>
    </row>
    <row r="36" spans="1:12">
      <c r="A36" s="76" t="s">
        <v>282</v>
      </c>
      <c r="B36" s="76" t="s">
        <v>283</v>
      </c>
      <c r="C36" s="76" t="s">
        <v>284</v>
      </c>
      <c r="D36" s="76" t="s">
        <v>285</v>
      </c>
      <c r="E36" s="76" t="s">
        <v>262</v>
      </c>
      <c r="F36" s="76" t="s">
        <v>263</v>
      </c>
      <c r="G36" s="76" t="s">
        <v>320</v>
      </c>
      <c r="H36" s="76" t="s">
        <v>321</v>
      </c>
      <c r="I36" s="76" t="s">
        <v>318</v>
      </c>
      <c r="J36" s="76" t="s">
        <v>319</v>
      </c>
      <c r="K36" s="77">
        <v>2</v>
      </c>
      <c r="L36" s="77">
        <v>1425</v>
      </c>
    </row>
    <row r="37" spans="1:12">
      <c r="A37" s="76" t="s">
        <v>282</v>
      </c>
      <c r="B37" s="76" t="s">
        <v>283</v>
      </c>
      <c r="C37" s="76" t="s">
        <v>284</v>
      </c>
      <c r="D37" s="76" t="s">
        <v>285</v>
      </c>
      <c r="E37" s="76" t="s">
        <v>262</v>
      </c>
      <c r="F37" s="76" t="s">
        <v>263</v>
      </c>
      <c r="G37" s="76" t="s">
        <v>322</v>
      </c>
      <c r="H37" s="76" t="s">
        <v>323</v>
      </c>
      <c r="I37" s="76" t="s">
        <v>316</v>
      </c>
      <c r="J37" s="76" t="s">
        <v>317</v>
      </c>
      <c r="K37" s="77">
        <v>3</v>
      </c>
      <c r="L37" s="77">
        <v>1593</v>
      </c>
    </row>
    <row r="38" spans="1:12">
      <c r="A38" s="76" t="s">
        <v>282</v>
      </c>
      <c r="B38" s="76" t="s">
        <v>283</v>
      </c>
      <c r="C38" s="76" t="s">
        <v>284</v>
      </c>
      <c r="D38" s="76" t="s">
        <v>285</v>
      </c>
      <c r="E38" s="76" t="s">
        <v>262</v>
      </c>
      <c r="F38" s="76" t="s">
        <v>263</v>
      </c>
      <c r="G38" s="76" t="s">
        <v>324</v>
      </c>
      <c r="H38" s="76" t="s">
        <v>325</v>
      </c>
      <c r="I38" s="76" t="s">
        <v>310</v>
      </c>
      <c r="J38" s="76" t="s">
        <v>311</v>
      </c>
      <c r="K38" s="77">
        <v>1</v>
      </c>
      <c r="L38" s="77">
        <v>1152</v>
      </c>
    </row>
    <row r="39" spans="1:12">
      <c r="A39" s="76" t="s">
        <v>282</v>
      </c>
      <c r="B39" s="76" t="s">
        <v>283</v>
      </c>
      <c r="C39" s="76" t="s">
        <v>284</v>
      </c>
      <c r="D39" s="76" t="s">
        <v>285</v>
      </c>
      <c r="E39" s="76" t="s">
        <v>262</v>
      </c>
      <c r="F39" s="76" t="s">
        <v>263</v>
      </c>
      <c r="G39" s="76" t="s">
        <v>324</v>
      </c>
      <c r="H39" s="76" t="s">
        <v>325</v>
      </c>
      <c r="I39" s="76" t="s">
        <v>318</v>
      </c>
      <c r="J39" s="76" t="s">
        <v>319</v>
      </c>
      <c r="K39" s="77">
        <v>1</v>
      </c>
      <c r="L39" s="77">
        <v>600</v>
      </c>
    </row>
    <row r="40" spans="1:12">
      <c r="A40" s="76" t="s">
        <v>282</v>
      </c>
      <c r="B40" s="76" t="s">
        <v>283</v>
      </c>
      <c r="C40" s="76" t="s">
        <v>284</v>
      </c>
      <c r="D40" s="76" t="s">
        <v>285</v>
      </c>
      <c r="E40" s="76" t="s">
        <v>272</v>
      </c>
      <c r="F40" s="76" t="s">
        <v>273</v>
      </c>
      <c r="G40" s="76" t="s">
        <v>274</v>
      </c>
      <c r="H40" s="76" t="s">
        <v>275</v>
      </c>
      <c r="I40" s="76" t="s">
        <v>326</v>
      </c>
      <c r="J40" s="76" t="s">
        <v>327</v>
      </c>
      <c r="K40" s="77">
        <v>2</v>
      </c>
      <c r="L40" s="77">
        <v>1290</v>
      </c>
    </row>
    <row r="41" spans="1:12">
      <c r="A41" s="76" t="s">
        <v>282</v>
      </c>
      <c r="B41" s="76" t="s">
        <v>283</v>
      </c>
      <c r="C41" s="76" t="s">
        <v>284</v>
      </c>
      <c r="D41" s="76" t="s">
        <v>285</v>
      </c>
      <c r="E41" s="76" t="s">
        <v>272</v>
      </c>
      <c r="F41" s="76" t="s">
        <v>273</v>
      </c>
      <c r="G41" s="76" t="s">
        <v>328</v>
      </c>
      <c r="H41" s="76" t="s">
        <v>329</v>
      </c>
      <c r="I41" s="76" t="s">
        <v>292</v>
      </c>
      <c r="J41" s="76" t="s">
        <v>293</v>
      </c>
      <c r="K41" s="77">
        <v>4</v>
      </c>
      <c r="L41" s="77">
        <v>9760</v>
      </c>
    </row>
    <row r="42" spans="1:12">
      <c r="A42" s="76" t="s">
        <v>282</v>
      </c>
      <c r="B42" s="76" t="s">
        <v>283</v>
      </c>
      <c r="C42" s="76" t="s">
        <v>284</v>
      </c>
      <c r="D42" s="76" t="s">
        <v>285</v>
      </c>
      <c r="E42" s="76" t="s">
        <v>272</v>
      </c>
      <c r="F42" s="76" t="s">
        <v>273</v>
      </c>
      <c r="G42" s="76" t="s">
        <v>258</v>
      </c>
      <c r="H42" s="76" t="s">
        <v>259</v>
      </c>
      <c r="I42" s="76" t="s">
        <v>292</v>
      </c>
      <c r="J42" s="76" t="s">
        <v>293</v>
      </c>
      <c r="K42" s="77">
        <v>2</v>
      </c>
      <c r="L42" s="77">
        <v>0</v>
      </c>
    </row>
    <row r="43" spans="1:12">
      <c r="A43" s="76" t="s">
        <v>282</v>
      </c>
      <c r="B43" s="76" t="s">
        <v>283</v>
      </c>
      <c r="C43" s="76" t="s">
        <v>284</v>
      </c>
      <c r="D43" s="76" t="s">
        <v>285</v>
      </c>
      <c r="E43" s="76" t="s">
        <v>272</v>
      </c>
      <c r="F43" s="76" t="s">
        <v>273</v>
      </c>
      <c r="G43" s="76" t="s">
        <v>264</v>
      </c>
      <c r="H43" s="76" t="s">
        <v>265</v>
      </c>
      <c r="I43" s="76" t="s">
        <v>292</v>
      </c>
      <c r="J43" s="76" t="s">
        <v>293</v>
      </c>
      <c r="K43" s="77">
        <v>3</v>
      </c>
      <c r="L43" s="77">
        <v>1773</v>
      </c>
    </row>
    <row r="44" spans="1:12">
      <c r="A44" s="76" t="s">
        <v>282</v>
      </c>
      <c r="B44" s="76" t="s">
        <v>283</v>
      </c>
      <c r="C44" s="76" t="s">
        <v>284</v>
      </c>
      <c r="D44" s="76" t="s">
        <v>285</v>
      </c>
      <c r="E44" s="76" t="s">
        <v>278</v>
      </c>
      <c r="F44" s="76" t="s">
        <v>279</v>
      </c>
      <c r="G44" s="76" t="s">
        <v>274</v>
      </c>
      <c r="H44" s="76" t="s">
        <v>275</v>
      </c>
      <c r="I44" s="76" t="s">
        <v>280</v>
      </c>
      <c r="J44" s="76" t="s">
        <v>281</v>
      </c>
      <c r="K44" s="77">
        <v>5</v>
      </c>
      <c r="L44" s="77">
        <v>0</v>
      </c>
    </row>
    <row r="45" spans="1:12">
      <c r="A45" s="76" t="s">
        <v>282</v>
      </c>
      <c r="B45" s="76" t="s">
        <v>283</v>
      </c>
      <c r="C45" s="76" t="s">
        <v>284</v>
      </c>
      <c r="D45" s="76" t="s">
        <v>285</v>
      </c>
      <c r="E45" s="76" t="s">
        <v>330</v>
      </c>
      <c r="F45" s="76" t="s">
        <v>331</v>
      </c>
      <c r="G45" s="76" t="s">
        <v>332</v>
      </c>
      <c r="H45" s="76" t="s">
        <v>333</v>
      </c>
      <c r="I45" s="76" t="s">
        <v>334</v>
      </c>
      <c r="J45" s="76" t="s">
        <v>335</v>
      </c>
      <c r="K45" s="77">
        <v>4</v>
      </c>
      <c r="L45" s="77">
        <v>3000</v>
      </c>
    </row>
    <row r="46" spans="1:12">
      <c r="A46" s="76" t="s">
        <v>282</v>
      </c>
      <c r="B46" s="76" t="s">
        <v>283</v>
      </c>
      <c r="C46" s="76" t="s">
        <v>284</v>
      </c>
      <c r="D46" s="76" t="s">
        <v>285</v>
      </c>
      <c r="E46" s="76" t="s">
        <v>330</v>
      </c>
      <c r="F46" s="76" t="s">
        <v>331</v>
      </c>
      <c r="G46" s="76" t="s">
        <v>336</v>
      </c>
      <c r="H46" s="76" t="s">
        <v>337</v>
      </c>
      <c r="I46" s="76" t="s">
        <v>310</v>
      </c>
      <c r="J46" s="76" t="s">
        <v>311</v>
      </c>
      <c r="K46" s="77">
        <v>1</v>
      </c>
      <c r="L46" s="77">
        <v>0</v>
      </c>
    </row>
    <row r="47" spans="1:12">
      <c r="A47" s="76" t="s">
        <v>282</v>
      </c>
      <c r="B47" s="76" t="s">
        <v>283</v>
      </c>
      <c r="C47" s="76" t="s">
        <v>284</v>
      </c>
      <c r="D47" s="76" t="s">
        <v>285</v>
      </c>
      <c r="E47" s="76" t="s">
        <v>338</v>
      </c>
      <c r="F47" s="76" t="s">
        <v>339</v>
      </c>
      <c r="G47" s="76" t="s">
        <v>340</v>
      </c>
      <c r="H47" s="76" t="s">
        <v>341</v>
      </c>
      <c r="I47" s="76" t="s">
        <v>342</v>
      </c>
      <c r="J47" s="76" t="s">
        <v>341</v>
      </c>
      <c r="K47" s="77">
        <v>2</v>
      </c>
      <c r="L47" s="77">
        <v>739</v>
      </c>
    </row>
    <row r="48" spans="1:12">
      <c r="A48" s="76" t="s">
        <v>282</v>
      </c>
      <c r="B48" s="76" t="s">
        <v>283</v>
      </c>
      <c r="C48" s="76" t="s">
        <v>343</v>
      </c>
      <c r="D48" s="76" t="s">
        <v>344</v>
      </c>
      <c r="E48" s="76" t="s">
        <v>345</v>
      </c>
      <c r="F48" s="76" t="s">
        <v>344</v>
      </c>
      <c r="G48" s="76" t="s">
        <v>346</v>
      </c>
      <c r="H48" s="76" t="s">
        <v>344</v>
      </c>
      <c r="I48" s="76" t="s">
        <v>50</v>
      </c>
      <c r="J48" s="76" t="s">
        <v>51</v>
      </c>
      <c r="K48" s="77">
        <v>1</v>
      </c>
      <c r="L48" s="77">
        <v>0</v>
      </c>
    </row>
    <row r="49" spans="1:12">
      <c r="A49" s="76" t="s">
        <v>282</v>
      </c>
      <c r="B49" s="76" t="s">
        <v>283</v>
      </c>
      <c r="C49" s="76" t="s">
        <v>343</v>
      </c>
      <c r="D49" s="76" t="s">
        <v>344</v>
      </c>
      <c r="E49" s="76" t="s">
        <v>345</v>
      </c>
      <c r="F49" s="76" t="s">
        <v>344</v>
      </c>
      <c r="G49" s="76" t="s">
        <v>346</v>
      </c>
      <c r="H49" s="76" t="s">
        <v>344</v>
      </c>
      <c r="I49" s="76" t="s">
        <v>41</v>
      </c>
      <c r="J49" s="76" t="s">
        <v>42</v>
      </c>
      <c r="K49" s="77">
        <v>1</v>
      </c>
      <c r="L49" s="77">
        <v>0</v>
      </c>
    </row>
    <row r="50" spans="1:12">
      <c r="A50" s="76" t="s">
        <v>347</v>
      </c>
      <c r="B50" s="76" t="s">
        <v>348</v>
      </c>
      <c r="C50" s="76" t="s">
        <v>349</v>
      </c>
      <c r="D50" s="76" t="s">
        <v>348</v>
      </c>
      <c r="E50" s="76" t="s">
        <v>350</v>
      </c>
      <c r="F50" s="76" t="s">
        <v>348</v>
      </c>
      <c r="G50" s="76" t="s">
        <v>351</v>
      </c>
      <c r="H50" s="76" t="s">
        <v>348</v>
      </c>
      <c r="I50" s="76" t="s">
        <v>352</v>
      </c>
      <c r="J50" s="76" t="s">
        <v>353</v>
      </c>
      <c r="K50" s="77">
        <v>41</v>
      </c>
      <c r="L50" s="77">
        <v>-15649</v>
      </c>
    </row>
    <row r="51" spans="1:12">
      <c r="A51" s="76" t="s">
        <v>347</v>
      </c>
      <c r="B51" s="76" t="s">
        <v>348</v>
      </c>
      <c r="C51" s="76" t="s">
        <v>349</v>
      </c>
      <c r="D51" s="76" t="s">
        <v>348</v>
      </c>
      <c r="E51" s="76" t="s">
        <v>354</v>
      </c>
      <c r="F51" s="76" t="s">
        <v>354</v>
      </c>
      <c r="G51" s="76" t="s">
        <v>354</v>
      </c>
      <c r="H51" s="76" t="s">
        <v>354</v>
      </c>
      <c r="I51" s="76" t="s">
        <v>354</v>
      </c>
      <c r="J51" s="76" t="s">
        <v>354</v>
      </c>
      <c r="K51" s="77">
        <v>1</v>
      </c>
      <c r="L51" s="77">
        <v>-100</v>
      </c>
    </row>
    <row r="52" spans="1:12">
      <c r="A52" s="76" t="s">
        <v>347</v>
      </c>
      <c r="B52" s="76" t="s">
        <v>348</v>
      </c>
      <c r="C52" s="76" t="s">
        <v>354</v>
      </c>
      <c r="D52" s="76" t="s">
        <v>354</v>
      </c>
      <c r="E52" s="76" t="s">
        <v>354</v>
      </c>
      <c r="F52" s="76" t="s">
        <v>354</v>
      </c>
      <c r="G52" s="76" t="s">
        <v>354</v>
      </c>
      <c r="H52" s="76" t="s">
        <v>354</v>
      </c>
      <c r="I52" s="76" t="s">
        <v>354</v>
      </c>
      <c r="J52" s="76" t="s">
        <v>354</v>
      </c>
      <c r="K52" s="77">
        <v>-4</v>
      </c>
      <c r="L52" s="77">
        <v>-200</v>
      </c>
    </row>
    <row r="53" spans="1:12">
      <c r="A53" s="76" t="s">
        <v>355</v>
      </c>
      <c r="B53" s="76" t="s">
        <v>356</v>
      </c>
      <c r="C53" s="76" t="s">
        <v>357</v>
      </c>
      <c r="D53" s="76" t="s">
        <v>356</v>
      </c>
      <c r="E53" s="76" t="s">
        <v>358</v>
      </c>
      <c r="F53" s="76" t="s">
        <v>356</v>
      </c>
      <c r="G53" s="76" t="s">
        <v>354</v>
      </c>
      <c r="H53" s="76" t="s">
        <v>354</v>
      </c>
      <c r="I53" s="76" t="s">
        <v>359</v>
      </c>
      <c r="J53" s="76" t="s">
        <v>356</v>
      </c>
      <c r="K53" s="77">
        <v>1</v>
      </c>
      <c r="L53" s="77">
        <v>6000</v>
      </c>
    </row>
    <row r="54" spans="1:12">
      <c r="A54" s="76" t="s">
        <v>355</v>
      </c>
      <c r="B54" s="76" t="s">
        <v>356</v>
      </c>
      <c r="C54" s="76" t="s">
        <v>357</v>
      </c>
      <c r="D54" s="76" t="s">
        <v>356</v>
      </c>
      <c r="E54" s="76" t="s">
        <v>360</v>
      </c>
      <c r="F54" s="76" t="s">
        <v>361</v>
      </c>
      <c r="G54" s="76" t="s">
        <v>362</v>
      </c>
      <c r="H54" s="76" t="s">
        <v>363</v>
      </c>
      <c r="I54" s="76" t="s">
        <v>359</v>
      </c>
      <c r="J54" s="76" t="s">
        <v>356</v>
      </c>
      <c r="K54" s="77">
        <v>-1</v>
      </c>
      <c r="L54" s="77">
        <v>-6000</v>
      </c>
    </row>
    <row r="55" spans="1:12">
      <c r="A55" s="76" t="s">
        <v>364</v>
      </c>
      <c r="B55" s="76" t="s">
        <v>365</v>
      </c>
      <c r="C55" s="76" t="s">
        <v>366</v>
      </c>
      <c r="D55" s="76" t="s">
        <v>367</v>
      </c>
      <c r="E55" s="76" t="s">
        <v>368</v>
      </c>
      <c r="F55" s="76" t="s">
        <v>367</v>
      </c>
      <c r="G55" s="76" t="s">
        <v>369</v>
      </c>
      <c r="H55" s="76" t="s">
        <v>367</v>
      </c>
      <c r="I55" s="76" t="s">
        <v>370</v>
      </c>
      <c r="J55" s="76" t="s">
        <v>367</v>
      </c>
      <c r="K55" s="77">
        <v>-1</v>
      </c>
      <c r="L55" s="77">
        <v>-144</v>
      </c>
    </row>
    <row r="56" spans="1:12">
      <c r="A56" s="76" t="s">
        <v>371</v>
      </c>
      <c r="B56" s="76" t="s">
        <v>372</v>
      </c>
      <c r="C56" s="76" t="s">
        <v>284</v>
      </c>
      <c r="D56" s="76" t="s">
        <v>285</v>
      </c>
      <c r="E56" s="76" t="s">
        <v>304</v>
      </c>
      <c r="F56" s="76" t="s">
        <v>305</v>
      </c>
      <c r="G56" s="76" t="s">
        <v>373</v>
      </c>
      <c r="H56" s="76" t="s">
        <v>374</v>
      </c>
      <c r="I56" s="76" t="s">
        <v>375</v>
      </c>
      <c r="J56" s="76" t="s">
        <v>376</v>
      </c>
      <c r="K56" s="77">
        <v>1</v>
      </c>
      <c r="L56" s="77">
        <v>690</v>
      </c>
    </row>
    <row r="57" spans="1:12">
      <c r="A57" s="76" t="s">
        <v>371</v>
      </c>
      <c r="B57" s="76" t="s">
        <v>372</v>
      </c>
      <c r="C57" s="76" t="s">
        <v>284</v>
      </c>
      <c r="D57" s="76" t="s">
        <v>285</v>
      </c>
      <c r="E57" s="76" t="s">
        <v>304</v>
      </c>
      <c r="F57" s="76" t="s">
        <v>305</v>
      </c>
      <c r="G57" s="76" t="s">
        <v>377</v>
      </c>
      <c r="H57" s="76" t="s">
        <v>378</v>
      </c>
      <c r="I57" s="76" t="s">
        <v>375</v>
      </c>
      <c r="J57" s="76" t="s">
        <v>376</v>
      </c>
      <c r="K57" s="77">
        <v>1</v>
      </c>
      <c r="L57" s="77">
        <v>390</v>
      </c>
    </row>
    <row r="58" spans="1:12">
      <c r="A58" s="76" t="s">
        <v>379</v>
      </c>
      <c r="B58" s="76" t="s">
        <v>380</v>
      </c>
      <c r="C58" s="76" t="s">
        <v>381</v>
      </c>
      <c r="D58" s="76" t="s">
        <v>380</v>
      </c>
      <c r="E58" s="76" t="s">
        <v>382</v>
      </c>
      <c r="F58" s="76" t="s">
        <v>383</v>
      </c>
      <c r="G58" s="76" t="s">
        <v>384</v>
      </c>
      <c r="H58" s="76" t="s">
        <v>383</v>
      </c>
      <c r="I58" s="76" t="s">
        <v>385</v>
      </c>
      <c r="J58" s="76" t="s">
        <v>386</v>
      </c>
      <c r="K58" s="77">
        <v>1</v>
      </c>
      <c r="L58" s="77">
        <v>9590</v>
      </c>
    </row>
    <row r="59" spans="1:12">
      <c r="A59" s="76" t="s">
        <v>354</v>
      </c>
      <c r="B59" s="76" t="s">
        <v>354</v>
      </c>
      <c r="C59" s="76" t="s">
        <v>354</v>
      </c>
      <c r="D59" s="76" t="s">
        <v>354</v>
      </c>
      <c r="E59" s="76" t="s">
        <v>354</v>
      </c>
      <c r="F59" s="76" t="s">
        <v>354</v>
      </c>
      <c r="G59" s="76" t="s">
        <v>354</v>
      </c>
      <c r="H59" s="76" t="s">
        <v>354</v>
      </c>
      <c r="I59" s="76" t="s">
        <v>354</v>
      </c>
      <c r="J59" s="76" t="s">
        <v>354</v>
      </c>
      <c r="K59" s="77">
        <v>-1454</v>
      </c>
      <c r="L59" s="77">
        <v>-727</v>
      </c>
    </row>
    <row r="60" spans="1:12">
      <c r="A60" s="78" t="s">
        <v>387</v>
      </c>
      <c r="B60" s="78" t="s">
        <v>354</v>
      </c>
      <c r="C60" s="78" t="s">
        <v>354</v>
      </c>
      <c r="D60" s="78" t="s">
        <v>354</v>
      </c>
      <c r="E60" s="78" t="s">
        <v>354</v>
      </c>
      <c r="F60" s="78" t="s">
        <v>354</v>
      </c>
      <c r="G60" s="78" t="s">
        <v>354</v>
      </c>
      <c r="H60" s="78" t="s">
        <v>354</v>
      </c>
      <c r="I60" s="78" t="s">
        <v>354</v>
      </c>
      <c r="J60" s="78" t="s">
        <v>354</v>
      </c>
      <c r="K60" s="79">
        <v>-1327</v>
      </c>
      <c r="L60" s="79">
        <v>591658</v>
      </c>
    </row>
  </sheetData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每日營業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812800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daily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B2:L10"/>
  <sheetViews>
    <sheetView workbookViewId="0">
      <selection activeCell="M22" sqref="M22"/>
    </sheetView>
  </sheetViews>
  <sheetFormatPr baseColWidth="10" defaultRowHeight="15"/>
  <sheetData>
    <row r="2" spans="2:12">
      <c r="B2" s="56">
        <v>1</v>
      </c>
    </row>
    <row r="3" spans="2:12">
      <c r="G3" s="70"/>
      <c r="H3" s="70"/>
      <c r="I3" s="70"/>
      <c r="K3" t="s">
        <v>73</v>
      </c>
      <c r="L3" s="71"/>
    </row>
    <row r="10" spans="2:12" s="57" customFormat="1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每月累積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800100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monthly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B2:L10"/>
  <sheetViews>
    <sheetView workbookViewId="0">
      <selection activeCell="E18" sqref="E18"/>
    </sheetView>
  </sheetViews>
  <sheetFormatPr baseColWidth="10" defaultRowHeight="15"/>
  <sheetData>
    <row r="2" spans="2:12">
      <c r="B2" s="56">
        <v>1</v>
      </c>
    </row>
    <row r="3" spans="2:12">
      <c r="I3" s="70"/>
      <c r="J3" s="70"/>
      <c r="K3" t="s">
        <v>73</v>
      </c>
      <c r="L3" s="71"/>
    </row>
    <row r="10" spans="2:12" s="58" customFormat="1"/>
  </sheetData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同期比較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800100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samemonth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9:G26"/>
  <sheetViews>
    <sheetView workbookViewId="0">
      <selection activeCell="H33" sqref="H33"/>
    </sheetView>
  </sheetViews>
  <sheetFormatPr baseColWidth="10" defaultRowHeight="15"/>
  <sheetData>
    <row r="9" spans="1:7" s="71" customFormat="1">
      <c r="A9" s="71" t="s">
        <v>48</v>
      </c>
    </row>
    <row r="10" spans="1:7" ht="16">
      <c r="A10" s="75" t="s">
        <v>137</v>
      </c>
      <c r="B10" s="72" t="s">
        <v>49</v>
      </c>
      <c r="C10" s="72" t="s">
        <v>50</v>
      </c>
      <c r="D10" s="72" t="s">
        <v>51</v>
      </c>
      <c r="E10" s="60">
        <v>29</v>
      </c>
      <c r="F10">
        <f>IFERROR(VLOOKUP(A10,SACare價目表!A:C,3,FALSE),0)</f>
        <v>1990</v>
      </c>
      <c r="G10">
        <v>57710</v>
      </c>
    </row>
    <row r="11" spans="1:7" ht="16">
      <c r="A11" s="75" t="s">
        <v>138</v>
      </c>
      <c r="B11" s="72" t="s">
        <v>52</v>
      </c>
      <c r="C11" s="72" t="s">
        <v>50</v>
      </c>
      <c r="D11" s="72" t="s">
        <v>51</v>
      </c>
      <c r="E11" s="60">
        <v>142</v>
      </c>
      <c r="F11">
        <f>IFERROR(VLOOKUP(A11,SACare價目表!A:C,3,FALSE),0)</f>
        <v>4690</v>
      </c>
      <c r="G11">
        <v>665980</v>
      </c>
    </row>
    <row r="12" spans="1:7" ht="16">
      <c r="A12" s="75" t="s">
        <v>139</v>
      </c>
      <c r="B12" s="72" t="s">
        <v>53</v>
      </c>
      <c r="C12" s="72" t="s">
        <v>50</v>
      </c>
      <c r="D12" s="72" t="s">
        <v>51</v>
      </c>
      <c r="E12" s="60">
        <v>1</v>
      </c>
      <c r="F12">
        <f>IFERROR(VLOOKUP(A12,SACare價目表!A:C,3,FALSE),0)</f>
        <v>4690</v>
      </c>
      <c r="G12">
        <v>4690</v>
      </c>
    </row>
    <row r="13" spans="1:7" ht="16">
      <c r="A13" s="75" t="s">
        <v>125</v>
      </c>
      <c r="B13" s="72" t="s">
        <v>54</v>
      </c>
      <c r="C13" s="72" t="s">
        <v>50</v>
      </c>
      <c r="D13" s="72" t="s">
        <v>51</v>
      </c>
      <c r="E13" s="60">
        <v>20</v>
      </c>
      <c r="F13">
        <f>IFERROR(VLOOKUP(A13,SACare價目表!A:C,3,FALSE),0)</f>
        <v>2690</v>
      </c>
      <c r="G13">
        <v>53800</v>
      </c>
    </row>
    <row r="14" spans="1:7" ht="16">
      <c r="A14" s="75" t="s">
        <v>126</v>
      </c>
      <c r="B14" s="72" t="s">
        <v>55</v>
      </c>
      <c r="C14" s="72" t="s">
        <v>50</v>
      </c>
      <c r="D14" s="72" t="s">
        <v>51</v>
      </c>
      <c r="E14" s="60">
        <v>4</v>
      </c>
      <c r="F14">
        <f>IFERROR(VLOOKUP(A14,SACare價目表!A:C,3,FALSE),0)</f>
        <v>3690</v>
      </c>
      <c r="G14">
        <v>14760</v>
      </c>
    </row>
    <row r="15" spans="1:7" ht="16">
      <c r="A15" s="75" t="s">
        <v>127</v>
      </c>
      <c r="B15" s="72" t="s">
        <v>56</v>
      </c>
      <c r="C15" s="72" t="s">
        <v>50</v>
      </c>
      <c r="D15" s="72" t="s">
        <v>51</v>
      </c>
      <c r="E15" s="60">
        <v>1</v>
      </c>
      <c r="F15">
        <f>IFERROR(VLOOKUP(A15,SACare價目表!A:C,3,FALSE),0)</f>
        <v>3690</v>
      </c>
      <c r="G15">
        <v>3690</v>
      </c>
    </row>
    <row r="16" spans="1:7" ht="16">
      <c r="A16" s="75" t="s">
        <v>128</v>
      </c>
      <c r="B16" s="72" t="s">
        <v>57</v>
      </c>
      <c r="C16" s="72" t="s">
        <v>50</v>
      </c>
      <c r="D16" s="72" t="s">
        <v>51</v>
      </c>
      <c r="E16" s="60">
        <v>29</v>
      </c>
      <c r="F16">
        <f>IFERROR(VLOOKUP(A16,SACare價目表!A:C,3,FALSE),0)</f>
        <v>2690</v>
      </c>
      <c r="G16">
        <v>78010</v>
      </c>
    </row>
    <row r="17" spans="1:7" ht="16">
      <c r="A17" s="75" t="s">
        <v>137</v>
      </c>
      <c r="B17" s="72" t="s">
        <v>58</v>
      </c>
      <c r="C17" s="72" t="s">
        <v>50</v>
      </c>
      <c r="D17" s="72" t="s">
        <v>51</v>
      </c>
      <c r="E17" s="60">
        <v>1</v>
      </c>
      <c r="F17">
        <f>IFERROR(VLOOKUP(A17,SACare價目表!A:C,3,FALSE),0)</f>
        <v>1990</v>
      </c>
      <c r="G17">
        <v>1990</v>
      </c>
    </row>
    <row r="18" spans="1:7" ht="16">
      <c r="A18" s="75" t="s">
        <v>138</v>
      </c>
      <c r="B18" s="72" t="s">
        <v>59</v>
      </c>
      <c r="C18" s="72" t="s">
        <v>50</v>
      </c>
      <c r="D18" s="72" t="s">
        <v>51</v>
      </c>
      <c r="E18" s="60">
        <v>1</v>
      </c>
      <c r="F18">
        <f>IFERROR(VLOOKUP(A18,SACare價目表!A:C,3,FALSE),0)</f>
        <v>4690</v>
      </c>
      <c r="G18">
        <v>4690</v>
      </c>
    </row>
    <row r="19" spans="1:7" ht="16">
      <c r="A19" s="75" t="s">
        <v>139</v>
      </c>
      <c r="B19" s="72" t="s">
        <v>60</v>
      </c>
      <c r="C19" s="72" t="s">
        <v>41</v>
      </c>
      <c r="D19" s="72" t="s">
        <v>42</v>
      </c>
      <c r="E19" s="60">
        <v>56</v>
      </c>
      <c r="F19">
        <f>IFERROR(VLOOKUP(A19,SACare價目表!A:C,3,FALSE),0)</f>
        <v>4690</v>
      </c>
      <c r="G19">
        <v>262640</v>
      </c>
    </row>
    <row r="20" spans="1:7" ht="16">
      <c r="A20" s="75" t="s">
        <v>125</v>
      </c>
      <c r="B20" s="72" t="s">
        <v>61</v>
      </c>
      <c r="C20" s="72" t="s">
        <v>41</v>
      </c>
      <c r="D20" s="72" t="s">
        <v>42</v>
      </c>
      <c r="E20" s="60">
        <v>19</v>
      </c>
      <c r="F20">
        <f>IFERROR(VLOOKUP(A20,SACare價目表!A:C,3,FALSE),0)</f>
        <v>2690</v>
      </c>
      <c r="G20">
        <v>51110</v>
      </c>
    </row>
    <row r="21" spans="1:7" ht="16">
      <c r="A21" s="75" t="s">
        <v>126</v>
      </c>
      <c r="B21" s="72" t="s">
        <v>62</v>
      </c>
      <c r="C21" s="72" t="s">
        <v>41</v>
      </c>
      <c r="D21" s="72" t="s">
        <v>42</v>
      </c>
      <c r="E21" s="60">
        <v>3</v>
      </c>
      <c r="F21">
        <f>IFERROR(VLOOKUP(A21,SACare價目表!A:C,3,FALSE),0)</f>
        <v>3690</v>
      </c>
      <c r="G21">
        <v>11070</v>
      </c>
    </row>
    <row r="22" spans="1:7" ht="16">
      <c r="A22" s="75" t="s">
        <v>127</v>
      </c>
      <c r="B22" s="72" t="s">
        <v>63</v>
      </c>
      <c r="C22" s="72" t="s">
        <v>50</v>
      </c>
      <c r="D22" s="72" t="s">
        <v>51</v>
      </c>
      <c r="E22" s="60">
        <v>1</v>
      </c>
      <c r="F22">
        <f>IFERROR(VLOOKUP(A22,SACare價目表!A:C,3,FALSE),0)</f>
        <v>3690</v>
      </c>
      <c r="G22">
        <v>3690</v>
      </c>
    </row>
    <row r="23" spans="1:7" ht="16">
      <c r="A23" s="75" t="s">
        <v>128</v>
      </c>
      <c r="B23" s="72" t="s">
        <v>64</v>
      </c>
      <c r="C23" s="72" t="s">
        <v>50</v>
      </c>
      <c r="D23" s="72" t="s">
        <v>51</v>
      </c>
      <c r="E23" s="60">
        <v>1</v>
      </c>
      <c r="F23">
        <f>IFERROR(VLOOKUP(A23,SACare價目表!A:C,3,FALSE),0)</f>
        <v>2690</v>
      </c>
      <c r="G23">
        <v>2690</v>
      </c>
    </row>
    <row r="24" spans="1:7" ht="16">
      <c r="A24" s="75" t="s">
        <v>137</v>
      </c>
      <c r="B24" s="72" t="s">
        <v>65</v>
      </c>
      <c r="C24" s="72" t="s">
        <v>50</v>
      </c>
      <c r="D24" s="72" t="s">
        <v>51</v>
      </c>
      <c r="E24" s="60">
        <v>14</v>
      </c>
      <c r="F24">
        <f>IFERROR(VLOOKUP(A24,SACare價目表!A:C,3,FALSE),0)</f>
        <v>1990</v>
      </c>
      <c r="G24">
        <v>27860</v>
      </c>
    </row>
    <row r="25" spans="1:7" ht="16">
      <c r="A25" s="75" t="s">
        <v>138</v>
      </c>
      <c r="B25" s="72" t="s">
        <v>66</v>
      </c>
      <c r="C25" s="72" t="s">
        <v>50</v>
      </c>
      <c r="D25" s="72" t="s">
        <v>51</v>
      </c>
      <c r="E25" s="60">
        <v>62</v>
      </c>
      <c r="F25">
        <f>IFERROR(VLOOKUP(A25,SACare價目表!A:C,3,FALSE),0)</f>
        <v>4690</v>
      </c>
      <c r="G25">
        <v>290780</v>
      </c>
    </row>
    <row r="26" spans="1:7" ht="16">
      <c r="A26" s="75" t="s">
        <v>139</v>
      </c>
      <c r="B26" s="72" t="s">
        <v>67</v>
      </c>
      <c r="C26" s="72" t="s">
        <v>50</v>
      </c>
      <c r="D26" s="72" t="s">
        <v>51</v>
      </c>
      <c r="E26" s="60">
        <v>1</v>
      </c>
      <c r="F26">
        <f>IFERROR(VLOOKUP(A26,SACare價目表!A:C,3,FALSE),0)</f>
        <v>4690</v>
      </c>
      <c r="G26">
        <v>4690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ClearSACare">
                <anchor moveWithCells="1" sizeWithCells="1">
                  <from>
                    <xdr:col>1</xdr:col>
                    <xdr:colOff>723900</xdr:colOff>
                    <xdr:row>1</xdr:row>
                    <xdr:rowOff>165100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autoFill="0" autoPict="0" macro="[0]!sacaremoney">
                <anchor moveWithCells="1" sizeWithCells="1">
                  <from>
                    <xdr:col>3</xdr:col>
                    <xdr:colOff>533400</xdr:colOff>
                    <xdr:row>1</xdr:row>
                    <xdr:rowOff>165100</xdr:rowOff>
                  </from>
                  <to>
                    <xdr:col>5</xdr:col>
                    <xdr:colOff>749300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autoFill="0" autoPict="0" macro="[0]!sacaremoney3">
                <anchor moveWithCells="1" sizeWithCells="1">
                  <from>
                    <xdr:col>9</xdr:col>
                    <xdr:colOff>317500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autoFill="0" autoPict="0" macro="[0]!sacaremoney2">
                <anchor moveWithCells="1" sizeWithCells="1">
                  <from>
                    <xdr:col>6</xdr:col>
                    <xdr:colOff>381000</xdr:colOff>
                    <xdr:row>1</xdr:row>
                    <xdr:rowOff>165100</xdr:rowOff>
                  </from>
                  <to>
                    <xdr:col>8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102"/>
  <sheetViews>
    <sheetView workbookViewId="0">
      <selection activeCell="A14" sqref="A14:A20"/>
    </sheetView>
  </sheetViews>
  <sheetFormatPr baseColWidth="10" defaultRowHeight="15"/>
  <cols>
    <col min="1" max="1" width="10.83203125" style="73"/>
    <col min="2" max="2" width="66.5" style="73" bestFit="1" customWidth="1"/>
  </cols>
  <sheetData>
    <row r="1" spans="1:3">
      <c r="A1" s="73" t="s">
        <v>68</v>
      </c>
      <c r="B1" s="73" t="s">
        <v>69</v>
      </c>
      <c r="C1" t="s">
        <v>70</v>
      </c>
    </row>
    <row r="2" spans="1:3" ht="16">
      <c r="A2" s="75" t="s">
        <v>125</v>
      </c>
      <c r="B2" s="75" t="s">
        <v>49</v>
      </c>
      <c r="C2" s="75">
        <v>2690</v>
      </c>
    </row>
    <row r="3" spans="1:3" ht="16">
      <c r="A3" s="75" t="s">
        <v>126</v>
      </c>
      <c r="B3" s="75" t="s">
        <v>52</v>
      </c>
      <c r="C3" s="75">
        <v>3690</v>
      </c>
    </row>
    <row r="4" spans="1:3" ht="19">
      <c r="A4" s="75" t="s">
        <v>127</v>
      </c>
      <c r="B4" s="75" t="s">
        <v>151</v>
      </c>
      <c r="C4" s="75">
        <v>3690</v>
      </c>
    </row>
    <row r="5" spans="1:3" ht="19">
      <c r="A5" s="75" t="s">
        <v>128</v>
      </c>
      <c r="B5" s="75" t="s">
        <v>152</v>
      </c>
      <c r="C5" s="75">
        <v>2690</v>
      </c>
    </row>
    <row r="6" spans="1:3" ht="16">
      <c r="A6" s="75" t="s">
        <v>129</v>
      </c>
      <c r="B6" s="75" t="s">
        <v>57</v>
      </c>
      <c r="C6" s="75">
        <v>3690</v>
      </c>
    </row>
    <row r="7" spans="1:3" ht="19">
      <c r="A7" s="75" t="s">
        <v>130</v>
      </c>
      <c r="B7" s="75" t="s">
        <v>153</v>
      </c>
      <c r="C7" s="75">
        <v>3690</v>
      </c>
    </row>
    <row r="8" spans="1:3" ht="19">
      <c r="A8" s="75" t="s">
        <v>131</v>
      </c>
      <c r="B8" s="75" t="s">
        <v>154</v>
      </c>
      <c r="C8" s="75">
        <v>3690</v>
      </c>
    </row>
    <row r="9" spans="1:3" ht="19">
      <c r="A9" s="75" t="s">
        <v>132</v>
      </c>
      <c r="B9" s="75" t="s">
        <v>155</v>
      </c>
      <c r="C9" s="75">
        <v>2690</v>
      </c>
    </row>
    <row r="10" spans="1:3" ht="19">
      <c r="A10" s="75" t="s">
        <v>133</v>
      </c>
      <c r="B10" s="75" t="s">
        <v>156</v>
      </c>
      <c r="C10" s="75">
        <v>3690</v>
      </c>
    </row>
    <row r="11" spans="1:3" ht="16">
      <c r="A11" s="75" t="s">
        <v>134</v>
      </c>
      <c r="B11" s="75" t="s">
        <v>60</v>
      </c>
      <c r="C11" s="75">
        <v>3690</v>
      </c>
    </row>
    <row r="12" spans="1:3" ht="16">
      <c r="A12" s="75" t="s">
        <v>135</v>
      </c>
      <c r="B12" s="75" t="s">
        <v>61</v>
      </c>
      <c r="C12" s="75">
        <v>4690</v>
      </c>
    </row>
    <row r="13" spans="1:3" ht="19">
      <c r="A13" s="75" t="s">
        <v>136</v>
      </c>
      <c r="B13" s="75" t="s">
        <v>157</v>
      </c>
      <c r="C13" s="75">
        <v>6690</v>
      </c>
    </row>
    <row r="14" spans="1:3" ht="16">
      <c r="A14" s="75" t="s">
        <v>137</v>
      </c>
      <c r="B14" s="75" t="s">
        <v>65</v>
      </c>
      <c r="C14" s="75">
        <v>1990</v>
      </c>
    </row>
    <row r="15" spans="1:3" ht="16">
      <c r="A15" s="75" t="s">
        <v>138</v>
      </c>
      <c r="B15" s="75" t="s">
        <v>66</v>
      </c>
      <c r="C15" s="75">
        <v>4690</v>
      </c>
    </row>
    <row r="16" spans="1:3" ht="19">
      <c r="A16" s="75" t="s">
        <v>139</v>
      </c>
      <c r="B16" s="75" t="s">
        <v>158</v>
      </c>
      <c r="C16" s="75">
        <v>4690</v>
      </c>
    </row>
    <row r="17" spans="1:3" ht="16">
      <c r="A17" s="75" t="s">
        <v>125</v>
      </c>
      <c r="B17" s="75" t="s">
        <v>49</v>
      </c>
      <c r="C17" s="75">
        <v>2690</v>
      </c>
    </row>
    <row r="18" spans="1:3" ht="16">
      <c r="A18" s="75" t="s">
        <v>126</v>
      </c>
      <c r="B18" s="75" t="s">
        <v>52</v>
      </c>
      <c r="C18" s="75">
        <v>3690</v>
      </c>
    </row>
    <row r="19" spans="1:3" ht="19">
      <c r="A19" s="75" t="s">
        <v>127</v>
      </c>
      <c r="B19" s="75" t="s">
        <v>151</v>
      </c>
      <c r="C19" s="75">
        <v>3690</v>
      </c>
    </row>
    <row r="20" spans="1:3" ht="19">
      <c r="A20" s="75" t="s">
        <v>128</v>
      </c>
      <c r="B20" s="75" t="s">
        <v>152</v>
      </c>
      <c r="C20" s="75">
        <v>2690</v>
      </c>
    </row>
    <row r="21" spans="1:3" ht="16">
      <c r="A21" s="75" t="s">
        <v>129</v>
      </c>
      <c r="B21" s="75" t="s">
        <v>57</v>
      </c>
      <c r="C21" s="75">
        <v>3690</v>
      </c>
    </row>
    <row r="22" spans="1:3" ht="19">
      <c r="A22" s="75" t="s">
        <v>130</v>
      </c>
      <c r="B22" s="75" t="s">
        <v>153</v>
      </c>
      <c r="C22" s="75">
        <v>3690</v>
      </c>
    </row>
    <row r="23" spans="1:3" ht="19">
      <c r="A23" s="75" t="s">
        <v>131</v>
      </c>
      <c r="B23" s="75" t="s">
        <v>154</v>
      </c>
      <c r="C23" s="75">
        <v>3690</v>
      </c>
    </row>
    <row r="24" spans="1:3" ht="19">
      <c r="A24" s="75" t="s">
        <v>132</v>
      </c>
      <c r="B24" s="75" t="s">
        <v>155</v>
      </c>
      <c r="C24" s="75">
        <v>2690</v>
      </c>
    </row>
    <row r="25" spans="1:3" ht="19">
      <c r="A25" s="75" t="s">
        <v>133</v>
      </c>
      <c r="B25" s="75" t="s">
        <v>156</v>
      </c>
      <c r="C25" s="75">
        <v>3690</v>
      </c>
    </row>
    <row r="26" spans="1:3" ht="16">
      <c r="A26" s="75" t="s">
        <v>134</v>
      </c>
      <c r="B26" s="75" t="s">
        <v>60</v>
      </c>
      <c r="C26" s="75">
        <v>3690</v>
      </c>
    </row>
    <row r="27" spans="1:3" ht="16">
      <c r="A27" s="75" t="s">
        <v>135</v>
      </c>
      <c r="B27" s="75" t="s">
        <v>61</v>
      </c>
      <c r="C27" s="75">
        <v>4690</v>
      </c>
    </row>
    <row r="28" spans="1:3" ht="19">
      <c r="A28" s="75" t="s">
        <v>136</v>
      </c>
      <c r="B28" s="75" t="s">
        <v>157</v>
      </c>
      <c r="C28" s="75">
        <v>6690</v>
      </c>
    </row>
    <row r="29" spans="1:3" ht="16">
      <c r="A29" s="75" t="s">
        <v>137</v>
      </c>
      <c r="B29" s="75" t="s">
        <v>65</v>
      </c>
      <c r="C29" s="75">
        <v>1990</v>
      </c>
    </row>
    <row r="30" spans="1:3" ht="16">
      <c r="A30" s="75" t="s">
        <v>138</v>
      </c>
      <c r="B30" s="75" t="s">
        <v>66</v>
      </c>
      <c r="C30" s="75">
        <v>4690</v>
      </c>
    </row>
    <row r="31" spans="1:3" ht="19">
      <c r="A31" s="75" t="s">
        <v>139</v>
      </c>
      <c r="B31" s="75" t="s">
        <v>158</v>
      </c>
      <c r="C31" s="75">
        <v>4690</v>
      </c>
    </row>
    <row r="32" spans="1:3" ht="19">
      <c r="A32" s="75" t="s">
        <v>140</v>
      </c>
      <c r="B32" s="75" t="s">
        <v>159</v>
      </c>
      <c r="C32" s="75">
        <v>3752</v>
      </c>
    </row>
    <row r="33" spans="1:3" ht="19">
      <c r="A33" s="75" t="s">
        <v>140</v>
      </c>
      <c r="B33" s="75" t="s">
        <v>159</v>
      </c>
      <c r="C33" s="75">
        <v>3752</v>
      </c>
    </row>
    <row r="34" spans="1:3" ht="19">
      <c r="A34" s="75" t="s">
        <v>142</v>
      </c>
      <c r="B34" s="75" t="s">
        <v>160</v>
      </c>
      <c r="C34" s="75">
        <v>3690</v>
      </c>
    </row>
    <row r="35" spans="1:3" ht="19">
      <c r="A35" s="75" t="s">
        <v>144</v>
      </c>
      <c r="B35" s="75" t="s">
        <v>161</v>
      </c>
      <c r="C35" s="75">
        <v>4690</v>
      </c>
    </row>
    <row r="36" spans="1:3" ht="19">
      <c r="A36" s="75" t="s">
        <v>141</v>
      </c>
      <c r="B36" s="75" t="s">
        <v>162</v>
      </c>
      <c r="C36" s="75">
        <v>2690</v>
      </c>
    </row>
    <row r="37" spans="1:3" ht="19">
      <c r="A37" s="75" t="s">
        <v>143</v>
      </c>
      <c r="B37" s="75" t="s">
        <v>163</v>
      </c>
      <c r="C37" s="75">
        <v>3690</v>
      </c>
    </row>
    <row r="38" spans="1:3" ht="19">
      <c r="A38" s="75" t="s">
        <v>142</v>
      </c>
      <c r="B38" s="75" t="s">
        <v>160</v>
      </c>
      <c r="C38" s="75">
        <v>3690</v>
      </c>
    </row>
    <row r="39" spans="1:3" ht="19">
      <c r="A39" s="75" t="s">
        <v>144</v>
      </c>
      <c r="B39" s="75" t="s">
        <v>161</v>
      </c>
      <c r="C39" s="75">
        <v>4690</v>
      </c>
    </row>
    <row r="40" spans="1:3" ht="19">
      <c r="A40" s="75" t="s">
        <v>141</v>
      </c>
      <c r="B40" s="75" t="s">
        <v>162</v>
      </c>
      <c r="C40" s="75">
        <v>2690</v>
      </c>
    </row>
    <row r="41" spans="1:3" ht="19">
      <c r="A41" s="75" t="s">
        <v>143</v>
      </c>
      <c r="B41" s="75" t="s">
        <v>163</v>
      </c>
      <c r="C41" s="75">
        <v>3690</v>
      </c>
    </row>
    <row r="42" spans="1:3" ht="16">
      <c r="A42" s="75" t="s">
        <v>145</v>
      </c>
      <c r="B42" s="75" t="s">
        <v>164</v>
      </c>
      <c r="C42" s="75">
        <v>2990</v>
      </c>
    </row>
    <row r="43" spans="1:3" ht="19">
      <c r="A43" s="75" t="s">
        <v>146</v>
      </c>
      <c r="B43" s="75" t="s">
        <v>165</v>
      </c>
      <c r="C43" s="75">
        <v>2990</v>
      </c>
    </row>
    <row r="44" spans="1:3" ht="19">
      <c r="A44" s="75" t="s">
        <v>147</v>
      </c>
      <c r="B44" s="75" t="s">
        <v>166</v>
      </c>
      <c r="C44" s="75">
        <v>2990</v>
      </c>
    </row>
    <row r="45" spans="1:3" ht="19">
      <c r="A45" s="75" t="s">
        <v>148</v>
      </c>
      <c r="B45" s="75" t="s">
        <v>167</v>
      </c>
      <c r="C45" s="75">
        <v>2392</v>
      </c>
    </row>
    <row r="46" spans="1:3" ht="16">
      <c r="A46" s="75" t="s">
        <v>145</v>
      </c>
      <c r="B46" s="75" t="s">
        <v>164</v>
      </c>
      <c r="C46" s="75">
        <v>2990</v>
      </c>
    </row>
    <row r="47" spans="1:3" ht="19">
      <c r="A47" s="75" t="s">
        <v>146</v>
      </c>
      <c r="B47" s="75" t="s">
        <v>165</v>
      </c>
      <c r="C47" s="75">
        <v>2990</v>
      </c>
    </row>
    <row r="48" spans="1:3" ht="19">
      <c r="A48" s="75" t="s">
        <v>147</v>
      </c>
      <c r="B48" s="75" t="s">
        <v>166</v>
      </c>
      <c r="C48" s="75">
        <v>2990</v>
      </c>
    </row>
    <row r="49" spans="1:3" ht="19">
      <c r="A49" s="75" t="s">
        <v>148</v>
      </c>
      <c r="B49" s="75" t="s">
        <v>167</v>
      </c>
      <c r="C49" s="75">
        <v>2392</v>
      </c>
    </row>
    <row r="50" spans="1:3" ht="19">
      <c r="A50" s="75" t="s">
        <v>76</v>
      </c>
      <c r="B50" s="75" t="s">
        <v>168</v>
      </c>
      <c r="C50" s="75">
        <v>3790</v>
      </c>
    </row>
    <row r="51" spans="1:3" ht="19">
      <c r="A51" s="75" t="s">
        <v>77</v>
      </c>
      <c r="B51" s="75" t="s">
        <v>169</v>
      </c>
      <c r="C51" s="75">
        <v>4690</v>
      </c>
    </row>
    <row r="52" spans="1:3" ht="19">
      <c r="A52" s="75" t="s">
        <v>78</v>
      </c>
      <c r="B52" s="75" t="s">
        <v>170</v>
      </c>
      <c r="C52" s="75">
        <v>6590</v>
      </c>
    </row>
    <row r="53" spans="1:3" ht="19">
      <c r="A53" s="75" t="s">
        <v>79</v>
      </c>
      <c r="B53" s="75" t="s">
        <v>171</v>
      </c>
      <c r="C53" s="75">
        <v>1990</v>
      </c>
    </row>
    <row r="54" spans="1:3" ht="19">
      <c r="A54" s="75" t="s">
        <v>80</v>
      </c>
      <c r="B54" s="75" t="s">
        <v>172</v>
      </c>
      <c r="C54" s="75">
        <v>3490</v>
      </c>
    </row>
    <row r="55" spans="1:3" ht="19">
      <c r="A55" s="75" t="s">
        <v>173</v>
      </c>
      <c r="B55" s="75" t="s">
        <v>174</v>
      </c>
      <c r="C55" s="75">
        <v>1690</v>
      </c>
    </row>
    <row r="56" spans="1:3" ht="19">
      <c r="A56" s="75" t="s">
        <v>81</v>
      </c>
      <c r="B56" s="75" t="s">
        <v>175</v>
      </c>
      <c r="C56" s="75">
        <v>2390</v>
      </c>
    </row>
    <row r="57" spans="1:3" ht="19">
      <c r="A57" s="75" t="s">
        <v>82</v>
      </c>
      <c r="B57" s="75" t="s">
        <v>176</v>
      </c>
      <c r="C57" s="75">
        <v>7190</v>
      </c>
    </row>
    <row r="58" spans="1:3" ht="19">
      <c r="A58" s="75" t="s">
        <v>83</v>
      </c>
      <c r="B58" s="75" t="s">
        <v>177</v>
      </c>
      <c r="C58" s="75">
        <v>8090</v>
      </c>
    </row>
    <row r="59" spans="1:3" ht="19">
      <c r="A59" s="75" t="s">
        <v>84</v>
      </c>
      <c r="B59" s="75" t="s">
        <v>178</v>
      </c>
      <c r="C59" s="75">
        <v>11090</v>
      </c>
    </row>
    <row r="60" spans="1:3" ht="19">
      <c r="A60" s="75" t="s">
        <v>85</v>
      </c>
      <c r="B60" s="75" t="s">
        <v>179</v>
      </c>
      <c r="C60" s="75">
        <v>3790</v>
      </c>
    </row>
    <row r="61" spans="1:3" ht="19">
      <c r="A61" s="75" t="s">
        <v>86</v>
      </c>
      <c r="B61" s="75" t="s">
        <v>180</v>
      </c>
      <c r="C61" s="75">
        <v>4690</v>
      </c>
    </row>
    <row r="62" spans="1:3" ht="19">
      <c r="A62" s="75" t="s">
        <v>87</v>
      </c>
      <c r="B62" s="75" t="s">
        <v>181</v>
      </c>
      <c r="C62" s="75">
        <v>6590</v>
      </c>
    </row>
    <row r="63" spans="1:3" ht="19">
      <c r="A63" s="75" t="s">
        <v>88</v>
      </c>
      <c r="B63" s="75" t="s">
        <v>182</v>
      </c>
      <c r="C63" s="75">
        <v>1990</v>
      </c>
    </row>
    <row r="64" spans="1:3" ht="19">
      <c r="A64" s="75" t="s">
        <v>89</v>
      </c>
      <c r="B64" s="75" t="s">
        <v>183</v>
      </c>
      <c r="C64" s="75">
        <v>3490</v>
      </c>
    </row>
    <row r="65" spans="1:3" ht="19">
      <c r="A65" s="75" t="s">
        <v>90</v>
      </c>
      <c r="B65" s="75" t="s">
        <v>184</v>
      </c>
      <c r="C65" s="75">
        <v>2590</v>
      </c>
    </row>
    <row r="66" spans="1:3" ht="19">
      <c r="A66" s="75" t="s">
        <v>91</v>
      </c>
      <c r="B66" s="75" t="s">
        <v>185</v>
      </c>
      <c r="C66" s="75">
        <v>3290</v>
      </c>
    </row>
    <row r="67" spans="1:3" ht="19">
      <c r="A67" s="75" t="s">
        <v>92</v>
      </c>
      <c r="B67" s="75" t="s">
        <v>186</v>
      </c>
      <c r="C67" s="75">
        <v>4390</v>
      </c>
    </row>
    <row r="68" spans="1:3" ht="19">
      <c r="A68" s="75" t="s">
        <v>93</v>
      </c>
      <c r="B68" s="75" t="s">
        <v>187</v>
      </c>
      <c r="C68" s="75">
        <v>1590</v>
      </c>
    </row>
    <row r="69" spans="1:3" ht="19">
      <c r="A69" s="75" t="s">
        <v>94</v>
      </c>
      <c r="B69" s="75" t="s">
        <v>188</v>
      </c>
      <c r="C69" s="75">
        <v>2590</v>
      </c>
    </row>
    <row r="70" spans="1:3" ht="19">
      <c r="A70" s="75" t="s">
        <v>95</v>
      </c>
      <c r="B70" s="75" t="s">
        <v>189</v>
      </c>
      <c r="C70" s="75">
        <v>1290</v>
      </c>
    </row>
    <row r="71" spans="1:3" ht="19">
      <c r="A71" s="75" t="s">
        <v>96</v>
      </c>
      <c r="B71" s="75" t="s">
        <v>190</v>
      </c>
      <c r="C71" s="75">
        <v>1690</v>
      </c>
    </row>
    <row r="72" spans="1:3" ht="19">
      <c r="A72" s="75" t="s">
        <v>97</v>
      </c>
      <c r="B72" s="75" t="s">
        <v>191</v>
      </c>
      <c r="C72" s="75">
        <v>4690</v>
      </c>
    </row>
    <row r="73" spans="1:3" ht="19">
      <c r="A73" s="75" t="s">
        <v>98</v>
      </c>
      <c r="B73" s="75" t="s">
        <v>192</v>
      </c>
      <c r="C73" s="75">
        <v>5290</v>
      </c>
    </row>
    <row r="74" spans="1:3" ht="19">
      <c r="A74" s="75" t="s">
        <v>99</v>
      </c>
      <c r="B74" s="75" t="s">
        <v>193</v>
      </c>
      <c r="C74" s="75">
        <v>6990</v>
      </c>
    </row>
    <row r="75" spans="1:3" ht="19">
      <c r="A75" s="75" t="s">
        <v>100</v>
      </c>
      <c r="B75" s="75" t="s">
        <v>194</v>
      </c>
      <c r="C75" s="75">
        <v>2590</v>
      </c>
    </row>
    <row r="76" spans="1:3" ht="19">
      <c r="A76" s="75" t="s">
        <v>101</v>
      </c>
      <c r="B76" s="75" t="s">
        <v>195</v>
      </c>
      <c r="C76" s="75">
        <v>3290</v>
      </c>
    </row>
    <row r="77" spans="1:3" ht="19">
      <c r="A77" s="75" t="s">
        <v>102</v>
      </c>
      <c r="B77" s="75" t="s">
        <v>196</v>
      </c>
      <c r="C77" s="75">
        <v>4390</v>
      </c>
    </row>
    <row r="78" spans="1:3" ht="19">
      <c r="A78" s="75" t="s">
        <v>103</v>
      </c>
      <c r="B78" s="75" t="s">
        <v>197</v>
      </c>
      <c r="C78" s="75">
        <v>1590</v>
      </c>
    </row>
    <row r="79" spans="1:3" ht="19">
      <c r="A79" s="75" t="s">
        <v>104</v>
      </c>
      <c r="B79" s="75" t="s">
        <v>198</v>
      </c>
      <c r="C79" s="75">
        <v>2590</v>
      </c>
    </row>
    <row r="80" spans="1:3" ht="19">
      <c r="A80" s="75" t="s">
        <v>105</v>
      </c>
      <c r="B80" s="75" t="s">
        <v>199</v>
      </c>
      <c r="C80" s="75">
        <v>1690</v>
      </c>
    </row>
    <row r="81" spans="1:3" ht="19">
      <c r="A81" s="75" t="s">
        <v>106</v>
      </c>
      <c r="B81" s="75" t="s">
        <v>200</v>
      </c>
      <c r="C81" s="75">
        <v>2390</v>
      </c>
    </row>
    <row r="82" spans="1:3" ht="19">
      <c r="A82" s="75" t="s">
        <v>107</v>
      </c>
      <c r="B82" s="75" t="s">
        <v>201</v>
      </c>
      <c r="C82" s="75">
        <v>7190</v>
      </c>
    </row>
    <row r="83" spans="1:3" ht="19">
      <c r="A83" s="75" t="s">
        <v>108</v>
      </c>
      <c r="B83" s="75" t="s">
        <v>202</v>
      </c>
      <c r="C83" s="75">
        <v>8090</v>
      </c>
    </row>
    <row r="84" spans="1:3" ht="19">
      <c r="A84" s="75" t="s">
        <v>109</v>
      </c>
      <c r="B84" s="75" t="s">
        <v>203</v>
      </c>
      <c r="C84" s="75">
        <v>11090</v>
      </c>
    </row>
    <row r="85" spans="1:3" ht="19">
      <c r="A85" s="75" t="s">
        <v>110</v>
      </c>
      <c r="B85" s="75" t="s">
        <v>204</v>
      </c>
      <c r="C85" s="75">
        <v>1290</v>
      </c>
    </row>
    <row r="86" spans="1:3" ht="19">
      <c r="A86" s="75" t="s">
        <v>111</v>
      </c>
      <c r="B86" s="75" t="s">
        <v>205</v>
      </c>
      <c r="C86" s="75">
        <v>1690</v>
      </c>
    </row>
    <row r="87" spans="1:3" ht="19">
      <c r="A87" s="75" t="s">
        <v>112</v>
      </c>
      <c r="B87" s="75" t="s">
        <v>206</v>
      </c>
      <c r="C87" s="75">
        <v>4690</v>
      </c>
    </row>
    <row r="88" spans="1:3" ht="19">
      <c r="A88" s="75" t="s">
        <v>113</v>
      </c>
      <c r="B88" s="75" t="s">
        <v>207</v>
      </c>
      <c r="C88" s="75">
        <v>5290</v>
      </c>
    </row>
    <row r="89" spans="1:3" ht="19">
      <c r="A89" s="75" t="s">
        <v>114</v>
      </c>
      <c r="B89" s="75" t="s">
        <v>208</v>
      </c>
      <c r="C89" s="75">
        <v>6990</v>
      </c>
    </row>
    <row r="90" spans="1:3" ht="19">
      <c r="A90" s="75" t="s">
        <v>115</v>
      </c>
      <c r="B90" s="75" t="s">
        <v>209</v>
      </c>
      <c r="C90" s="75">
        <v>2590</v>
      </c>
    </row>
    <row r="91" spans="1:3" ht="19">
      <c r="A91" s="75" t="s">
        <v>116</v>
      </c>
      <c r="B91" s="75" t="s">
        <v>210</v>
      </c>
      <c r="C91" s="75">
        <v>3290</v>
      </c>
    </row>
    <row r="92" spans="1:3" ht="19">
      <c r="A92" s="75" t="s">
        <v>117</v>
      </c>
      <c r="B92" s="75" t="s">
        <v>211</v>
      </c>
      <c r="C92" s="75">
        <v>4390</v>
      </c>
    </row>
    <row r="93" spans="1:3" ht="19">
      <c r="A93" s="75" t="s">
        <v>118</v>
      </c>
      <c r="B93" s="75" t="s">
        <v>212</v>
      </c>
      <c r="C93" s="75">
        <v>1590</v>
      </c>
    </row>
    <row r="94" spans="1:3" ht="19">
      <c r="A94" s="75" t="s">
        <v>119</v>
      </c>
      <c r="B94" s="75" t="s">
        <v>213</v>
      </c>
      <c r="C94" s="75">
        <v>2590</v>
      </c>
    </row>
    <row r="95" spans="1:3" ht="19">
      <c r="A95" s="75" t="s">
        <v>120</v>
      </c>
      <c r="B95" s="75" t="s">
        <v>214</v>
      </c>
      <c r="C95" s="75">
        <v>1290</v>
      </c>
    </row>
    <row r="96" spans="1:3" ht="19">
      <c r="A96" s="75" t="s">
        <v>121</v>
      </c>
      <c r="B96" s="75" t="s">
        <v>215</v>
      </c>
      <c r="C96" s="75">
        <v>1690</v>
      </c>
    </row>
    <row r="97" spans="1:3" ht="19">
      <c r="A97" s="75" t="s">
        <v>122</v>
      </c>
      <c r="B97" s="75" t="s">
        <v>216</v>
      </c>
      <c r="C97" s="75">
        <v>4690</v>
      </c>
    </row>
    <row r="98" spans="1:3" ht="19">
      <c r="A98" s="75" t="s">
        <v>123</v>
      </c>
      <c r="B98" s="75" t="s">
        <v>217</v>
      </c>
      <c r="C98" s="75">
        <v>5290</v>
      </c>
    </row>
    <row r="99" spans="1:3" ht="19">
      <c r="A99" s="75" t="s">
        <v>124</v>
      </c>
      <c r="B99" s="75" t="s">
        <v>218</v>
      </c>
      <c r="C99" s="75">
        <v>6990</v>
      </c>
    </row>
    <row r="100" spans="1:3" ht="19">
      <c r="A100" s="75" t="s">
        <v>124</v>
      </c>
      <c r="B100" s="75" t="s">
        <v>218</v>
      </c>
      <c r="C100" s="75">
        <v>6990</v>
      </c>
    </row>
    <row r="101" spans="1:3" ht="19">
      <c r="A101" s="75" t="s">
        <v>149</v>
      </c>
      <c r="B101" s="75" t="s">
        <v>219</v>
      </c>
      <c r="C101" s="75">
        <v>699</v>
      </c>
    </row>
    <row r="102" spans="1:3" ht="19">
      <c r="A102" s="75" t="s">
        <v>150</v>
      </c>
      <c r="B102" s="75" t="s">
        <v>220</v>
      </c>
      <c r="C102" s="75">
        <v>799</v>
      </c>
    </row>
  </sheetData>
  <phoneticPr fontId="2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日報</vt:lpstr>
      <vt:lpstr>每日營業</vt:lpstr>
      <vt:lpstr>每月累積</vt:lpstr>
      <vt:lpstr>同期比較</vt:lpstr>
      <vt:lpstr>SAcare</vt:lpstr>
      <vt:lpstr>SACare價目表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Steve</cp:lastModifiedBy>
  <dcterms:created xsi:type="dcterms:W3CDTF">2017-06-19T09:09:42Z</dcterms:created>
  <dcterms:modified xsi:type="dcterms:W3CDTF">2020-06-08T05:43:59Z</dcterms:modified>
</cp:coreProperties>
</file>