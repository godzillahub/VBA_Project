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Kor/"/>
    </mc:Choice>
  </mc:AlternateContent>
  <xr:revisionPtr revIDLastSave="0" documentId="13_ncr:1_{E2E0B831-86B3-8E43-84C3-D611A706638E}" xr6:coauthVersionLast="45" xr6:coauthVersionMax="45" xr10:uidLastSave="{00000000-0000-0000-0000-000000000000}"/>
  <bookViews>
    <workbookView xWindow="0" yWindow="460" windowWidth="33600" windowHeight="20540" xr2:uid="{D982A1CE-6C13-FA42-8605-0E01B8D3DA5D}"/>
  </bookViews>
  <sheets>
    <sheet name="A_GP" sheetId="1" r:id="rId1"/>
    <sheet name="B_3PP" sheetId="2" r:id="rId2"/>
    <sheet name="C_Stock&amp;CPU" sheetId="4" r:id="rId3"/>
    <sheet name="Target" sheetId="5" r:id="rId4"/>
    <sheet name="Final" sheetId="6" r:id="rId5"/>
    <sheet name="Pivot" sheetId="9" r:id="rId6"/>
  </sheets>
  <calcPr calcId="191029"/>
  <pivotCaches>
    <pivotCache cacheId="91" r:id="rId7"/>
    <pivotCache cacheId="9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5" l="1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2" i="5"/>
</calcChain>
</file>

<file path=xl/sharedStrings.xml><?xml version="1.0" encoding="utf-8"?>
<sst xmlns="http://schemas.openxmlformats.org/spreadsheetml/2006/main" count="824" uniqueCount="234">
  <si>
    <t>銷貨毛利</t>
    <phoneticPr fontId="1" type="noConversion"/>
  </si>
  <si>
    <t>毛利目標</t>
    <phoneticPr fontId="1" type="noConversion"/>
  </si>
  <si>
    <t>目標達成率</t>
    <phoneticPr fontId="1" type="noConversion"/>
  </si>
  <si>
    <t>門市代碼</t>
    <phoneticPr fontId="1" type="noConversion"/>
  </si>
  <si>
    <t>門市名稱</t>
    <phoneticPr fontId="1" type="noConversion"/>
  </si>
  <si>
    <t>3PP搭售率目標</t>
    <phoneticPr fontId="1" type="noConversion"/>
  </si>
  <si>
    <t>呆滯庫存目標</t>
    <phoneticPr fontId="1" type="noConversion"/>
  </si>
  <si>
    <t>庫存數</t>
    <phoneticPr fontId="1" type="noConversion"/>
  </si>
  <si>
    <t>CPU目標</t>
    <phoneticPr fontId="1" type="noConversion"/>
  </si>
  <si>
    <t>人員代碼</t>
    <phoneticPr fontId="1" type="noConversion"/>
  </si>
  <si>
    <t>人員名稱</t>
    <phoneticPr fontId="1" type="noConversion"/>
  </si>
  <si>
    <t>毛利額</t>
    <phoneticPr fontId="1" type="noConversion"/>
  </si>
  <si>
    <t>目標毛利</t>
    <phoneticPr fontId="1" type="noConversion"/>
  </si>
  <si>
    <t>毛利達成率</t>
    <phoneticPr fontId="1" type="noConversion"/>
  </si>
  <si>
    <t>毛利獎金</t>
    <phoneticPr fontId="1" type="noConversion"/>
  </si>
  <si>
    <t>3pp銷售額</t>
    <phoneticPr fontId="1" type="noConversion"/>
  </si>
  <si>
    <t>3pp目標</t>
    <phoneticPr fontId="1" type="noConversion"/>
  </si>
  <si>
    <t>3pp達成率</t>
    <phoneticPr fontId="1" type="noConversion"/>
  </si>
  <si>
    <t>3pp獎金倍率</t>
    <phoneticPr fontId="1" type="noConversion"/>
  </si>
  <si>
    <t>呆滯庫存率</t>
    <phoneticPr fontId="1" type="noConversion"/>
  </si>
  <si>
    <t>庫存獎金倍率</t>
    <phoneticPr fontId="1" type="noConversion"/>
  </si>
  <si>
    <t>CPU銷售額</t>
    <phoneticPr fontId="1" type="noConversion"/>
  </si>
  <si>
    <t>CPU銷售數量</t>
    <phoneticPr fontId="1" type="noConversion"/>
  </si>
  <si>
    <t>CPU銷售目標</t>
    <phoneticPr fontId="1" type="noConversion"/>
  </si>
  <si>
    <t>K002</t>
  </si>
  <si>
    <t>코엑스점</t>
  </si>
  <si>
    <t>K016</t>
  </si>
  <si>
    <t>현대백화점 디큐브시티점</t>
  </si>
  <si>
    <t>K201</t>
  </si>
  <si>
    <t>현대백화점 무역센터점</t>
  </si>
  <si>
    <t>K202</t>
  </si>
  <si>
    <t>현대백화점 천호점</t>
  </si>
  <si>
    <t>K203</t>
  </si>
  <si>
    <t>현대백화점 신촌점</t>
  </si>
  <si>
    <t>K205</t>
  </si>
  <si>
    <t>현대백화점 목동점</t>
  </si>
  <si>
    <t>K206</t>
  </si>
  <si>
    <t>현대백화점 중동점</t>
  </si>
  <si>
    <t>K207</t>
  </si>
  <si>
    <t>현대백화점 울산점</t>
  </si>
  <si>
    <t>K208</t>
  </si>
  <si>
    <t>현대백화점 압구정점</t>
  </si>
  <si>
    <t>K210</t>
  </si>
  <si>
    <t>현대백화점 충청점</t>
  </si>
  <si>
    <t>K212</t>
  </si>
  <si>
    <t>현대백화점 일산점</t>
  </si>
  <si>
    <t>K213</t>
  </si>
  <si>
    <t>현대아울렛 송도점</t>
  </si>
  <si>
    <t>K504</t>
  </si>
  <si>
    <t>디큐브거제점</t>
  </si>
  <si>
    <t>K505</t>
  </si>
  <si>
    <t>현대백화점 대구점</t>
  </si>
  <si>
    <t>3pp獎金</t>
    <phoneticPr fontId="1" type="noConversion"/>
  </si>
  <si>
    <t>目標庫存數</t>
    <phoneticPr fontId="1" type="noConversion"/>
  </si>
  <si>
    <t>庫存達成率</t>
    <phoneticPr fontId="1" type="noConversion"/>
  </si>
  <si>
    <t>員工</t>
    <phoneticPr fontId="1" type="noConversion"/>
  </si>
  <si>
    <t>員工代碼</t>
    <phoneticPr fontId="1" type="noConversion"/>
  </si>
  <si>
    <t>員工名稱</t>
    <phoneticPr fontId="1" type="noConversion"/>
  </si>
  <si>
    <t>獎金率</t>
    <phoneticPr fontId="1" type="noConversion"/>
  </si>
  <si>
    <t>庫存獎金率</t>
    <phoneticPr fontId="1" type="noConversion"/>
  </si>
  <si>
    <t>庫存獎金</t>
    <phoneticPr fontId="1" type="noConversion"/>
  </si>
  <si>
    <t>CPU目標額</t>
    <phoneticPr fontId="1" type="noConversion"/>
  </si>
  <si>
    <t>CPU達成率</t>
    <phoneticPr fontId="1" type="noConversion"/>
  </si>
  <si>
    <t>CPU獎金率</t>
    <phoneticPr fontId="1" type="noConversion"/>
  </si>
  <si>
    <t>CPU獎金</t>
    <phoneticPr fontId="1" type="noConversion"/>
  </si>
  <si>
    <t>CPU台數獎金</t>
    <phoneticPr fontId="1" type="noConversion"/>
  </si>
  <si>
    <t>CPU台數</t>
    <phoneticPr fontId="1" type="noConversion"/>
  </si>
  <si>
    <t>總獎金</t>
    <phoneticPr fontId="1" type="noConversion"/>
  </si>
  <si>
    <t>列標籤</t>
  </si>
  <si>
    <t>(空白)</t>
  </si>
  <si>
    <t>總計</t>
  </si>
  <si>
    <t>SAK0017</t>
  </si>
  <si>
    <t>김태경</t>
  </si>
  <si>
    <t>SAK0020</t>
  </si>
  <si>
    <t>안준이</t>
  </si>
  <si>
    <t>SAK0023</t>
  </si>
  <si>
    <t>송원경</t>
  </si>
  <si>
    <t>SAK0032</t>
  </si>
  <si>
    <t>박민규</t>
  </si>
  <si>
    <t>SAK0046</t>
  </si>
  <si>
    <t>류진희</t>
  </si>
  <si>
    <t>SAK0079</t>
  </si>
  <si>
    <t>이지원</t>
  </si>
  <si>
    <t>SAK0086</t>
  </si>
  <si>
    <t>정호인</t>
  </si>
  <si>
    <t>SAK0094</t>
  </si>
  <si>
    <t>박현준</t>
  </si>
  <si>
    <t>SAK0095</t>
  </si>
  <si>
    <t>서솔</t>
  </si>
  <si>
    <t>SAK0103</t>
  </si>
  <si>
    <t>이아름</t>
  </si>
  <si>
    <t>SAK0104</t>
  </si>
  <si>
    <t>백은정</t>
  </si>
  <si>
    <t>SAK0105</t>
  </si>
  <si>
    <t>손민선</t>
  </si>
  <si>
    <t>SAK0106</t>
  </si>
  <si>
    <t>이혜진</t>
  </si>
  <si>
    <t>SAK0107</t>
  </si>
  <si>
    <t>장은경</t>
  </si>
  <si>
    <t>SAK0114</t>
  </si>
  <si>
    <t>심윤보</t>
  </si>
  <si>
    <t>SAK0115</t>
  </si>
  <si>
    <t>박한희</t>
  </si>
  <si>
    <t>SAK0117</t>
  </si>
  <si>
    <t>주한샘</t>
  </si>
  <si>
    <t>SAK0120</t>
  </si>
  <si>
    <t>김아람</t>
  </si>
  <si>
    <t>SAK0123</t>
  </si>
  <si>
    <t>윤세라</t>
  </si>
  <si>
    <t>SAK0133</t>
  </si>
  <si>
    <t>남윤아</t>
  </si>
  <si>
    <t>SAK0137</t>
  </si>
  <si>
    <t>최은미</t>
  </si>
  <si>
    <t>SAK0146</t>
  </si>
  <si>
    <t>박정익</t>
  </si>
  <si>
    <t>SAK0147</t>
  </si>
  <si>
    <t>전효석</t>
  </si>
  <si>
    <t>SAK0148</t>
  </si>
  <si>
    <t>오현명</t>
  </si>
  <si>
    <t>SAK0149</t>
  </si>
  <si>
    <t>조성현</t>
  </si>
  <si>
    <t>SAK0150</t>
  </si>
  <si>
    <t>서윤배</t>
  </si>
  <si>
    <t>SAK0151</t>
  </si>
  <si>
    <t>진현성</t>
  </si>
  <si>
    <t>SAK0152</t>
  </si>
  <si>
    <t>이세인</t>
  </si>
  <si>
    <t>SAK0175</t>
  </si>
  <si>
    <t>김지수</t>
  </si>
  <si>
    <t>SAK0176</t>
  </si>
  <si>
    <t>유형원</t>
  </si>
  <si>
    <t>SAK0177</t>
  </si>
  <si>
    <t>엄태은</t>
  </si>
  <si>
    <t>SAKJ098</t>
  </si>
  <si>
    <t>김은지</t>
  </si>
  <si>
    <t>SAKJ102</t>
  </si>
  <si>
    <t>장영래</t>
  </si>
  <si>
    <t>SAKJ103</t>
  </si>
  <si>
    <t>윤지영</t>
  </si>
  <si>
    <t>SAKJ123</t>
  </si>
  <si>
    <t>김영은</t>
  </si>
  <si>
    <t>SAKJ125</t>
  </si>
  <si>
    <t>정찬미</t>
  </si>
  <si>
    <t>SAKJ132</t>
  </si>
  <si>
    <t>이혜인</t>
  </si>
  <si>
    <t>SAKJ141</t>
  </si>
  <si>
    <t>윤지환</t>
  </si>
  <si>
    <t>SAKJ149</t>
  </si>
  <si>
    <t>이소현</t>
  </si>
  <si>
    <t>SAKJ155</t>
  </si>
  <si>
    <t>이유라</t>
  </si>
  <si>
    <t>SAKJ158</t>
  </si>
  <si>
    <t>진세빈</t>
  </si>
  <si>
    <t>SAKJ162</t>
  </si>
  <si>
    <t>김도연</t>
  </si>
  <si>
    <t>SAKJ165</t>
  </si>
  <si>
    <t>최동식</t>
  </si>
  <si>
    <t>SAKJ168</t>
  </si>
  <si>
    <t>김진홍</t>
  </si>
  <si>
    <t>SAKJ171</t>
  </si>
  <si>
    <t>한우상</t>
  </si>
  <si>
    <t>SAKJ175</t>
  </si>
  <si>
    <t>박필서</t>
  </si>
  <si>
    <t>SAKJ176</t>
  </si>
  <si>
    <t>김윤재</t>
  </si>
  <si>
    <t>SAKJ177</t>
  </si>
  <si>
    <t>강영훈</t>
  </si>
  <si>
    <t>SAKJ178</t>
  </si>
  <si>
    <t>김유미</t>
  </si>
  <si>
    <t>SAKJ179</t>
  </si>
  <si>
    <t>차민기</t>
  </si>
  <si>
    <t>SAKJ180</t>
  </si>
  <si>
    <t>엄민우</t>
  </si>
  <si>
    <t>SAKJ181</t>
  </si>
  <si>
    <t>최영록</t>
  </si>
  <si>
    <t>SAKJ182</t>
  </si>
  <si>
    <t>김석주</t>
  </si>
  <si>
    <t>SAKJ183</t>
  </si>
  <si>
    <t>이반희</t>
  </si>
  <si>
    <t>SAKJ184</t>
  </si>
  <si>
    <t>조영재</t>
  </si>
  <si>
    <t>SAKJ185</t>
  </si>
  <si>
    <t>안종석</t>
  </si>
  <si>
    <t>SAKJ186</t>
  </si>
  <si>
    <t>박진혁</t>
  </si>
  <si>
    <t>SAKJ187</t>
  </si>
  <si>
    <t>모가윤</t>
  </si>
  <si>
    <t>SAKJ188</t>
  </si>
  <si>
    <t>박찬욱</t>
  </si>
  <si>
    <t>SAKJ189</t>
  </si>
  <si>
    <t>이정윤</t>
  </si>
  <si>
    <t>SAKJ190</t>
  </si>
  <si>
    <t>이준호</t>
  </si>
  <si>
    <t>SAKJ191</t>
  </si>
  <si>
    <t>이시원</t>
  </si>
  <si>
    <t>SAKJ192</t>
  </si>
  <si>
    <t>이동은</t>
  </si>
  <si>
    <t>員工從A11開始貼</t>
  </si>
  <si>
    <t>員工從A11開始貼</t>
    <phoneticPr fontId="1" type="noConversion"/>
  </si>
  <si>
    <t>門市從C11開始貼</t>
  </si>
  <si>
    <t>門市從C11開始貼</t>
    <phoneticPr fontId="1" type="noConversion"/>
  </si>
  <si>
    <t>先設定Target</t>
  </si>
  <si>
    <t>先設定Target</t>
    <phoneticPr fontId="1" type="noConversion"/>
  </si>
  <si>
    <t>門市</t>
    <phoneticPr fontId="1" type="noConversion"/>
  </si>
  <si>
    <t>門市毛利抓800FA的 KorBouns_Magin_ForStore</t>
    <phoneticPr fontId="1" type="noConversion"/>
  </si>
  <si>
    <t>員工毛利抓800FA的 KorBouns_Magin_ForStaff</t>
    <phoneticPr fontId="1" type="noConversion"/>
  </si>
  <si>
    <t>門市3PP抓800FA的 KorBouns_3PP_ForStore</t>
    <phoneticPr fontId="1" type="noConversion"/>
  </si>
  <si>
    <t>員工3PP抓800FA的 KorBouns_3PP_ForStaff</t>
    <phoneticPr fontId="1" type="noConversion"/>
  </si>
  <si>
    <t>員工CPU抓800FA的 KorBouns_CPU_ForStaff</t>
    <phoneticPr fontId="1" type="noConversion"/>
  </si>
  <si>
    <t>門市CPU抓800FA的 KorBouns_CPU_ForStore</t>
    <phoneticPr fontId="1" type="noConversion"/>
  </si>
  <si>
    <t>800FA 設定日期 門市或員工</t>
    <phoneticPr fontId="1" type="noConversion"/>
  </si>
  <si>
    <t>3pp搭售率</t>
    <phoneticPr fontId="1" type="noConversion"/>
  </si>
  <si>
    <t>總銷售</t>
    <phoneticPr fontId="1" type="noConversion"/>
  </si>
  <si>
    <t>毛利目標達成率</t>
    <phoneticPr fontId="1" type="noConversion"/>
  </si>
  <si>
    <r>
      <rPr>
        <b/>
        <sz val="12"/>
        <rFont val="Arial"/>
        <family val="2"/>
      </rPr>
      <t>코엑스점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</si>
  <si>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디큐브시티점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</si>
  <si>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무역센터점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</si>
  <si>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천호점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</si>
  <si>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신촌점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</si>
  <si>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목동점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</si>
  <si>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중동점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</si>
  <si>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울산점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</si>
  <si>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압구정점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</si>
  <si>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충청점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</si>
  <si>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일산점</t>
    </r>
  </si>
  <si>
    <r>
      <rPr>
        <b/>
        <sz val="12"/>
        <rFont val="Arial"/>
        <family val="2"/>
      </rPr>
      <t>현대아울렛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송도점</t>
    </r>
  </si>
  <si>
    <r>
      <rPr>
        <b/>
        <sz val="12"/>
        <rFont val="Arial"/>
        <family val="2"/>
      </rPr>
      <t>디큐브거제점</t>
    </r>
  </si>
  <si>
    <r>
      <rPr>
        <b/>
        <sz val="12"/>
        <rFont val="Arial"/>
        <family val="2"/>
      </rPr>
      <t>현대백화점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대구점</t>
    </r>
  </si>
  <si>
    <t>SAK0039</t>
  </si>
  <si>
    <t>박원</t>
  </si>
  <si>
    <t>SAK0125</t>
  </si>
  <si>
    <t>권혜림</t>
  </si>
  <si>
    <t>SAKJ193</t>
  </si>
  <si>
    <t>김선구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</si>
</sst>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_);[Red]\(0.00\)"/>
  </numFmts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8"/>
      <name val="Arial"/>
      <family val="2"/>
    </font>
    <font>
      <sz val="8"/>
      <name val="Arial"/>
      <family val="2"/>
    </font>
    <font>
      <sz val="10.8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name val="Arial"/>
      <family val="2"/>
    </font>
    <font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1" xfId="0" applyFont="1" applyBorder="1" applyAlignment="1"/>
    <xf numFmtId="4" fontId="4" fillId="0" borderId="1" xfId="0" applyNumberFormat="1" applyFont="1" applyBorder="1" applyAlignment="1"/>
    <xf numFmtId="0" fontId="4" fillId="0" borderId="1" xfId="0" applyFont="1" applyBorder="1" applyAlignment="1"/>
    <xf numFmtId="0" fontId="0" fillId="3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0" fontId="0" fillId="4" borderId="0" xfId="0" applyFill="1">
      <alignment vertical="center"/>
    </xf>
    <xf numFmtId="0" fontId="7" fillId="0" borderId="0" xfId="0" applyFont="1" applyAlignment="1"/>
    <xf numFmtId="0" fontId="8" fillId="0" borderId="0" xfId="0" applyFont="1" applyAlignment="1"/>
    <xf numFmtId="4" fontId="7" fillId="0" borderId="0" xfId="0" applyNumberFormat="1" applyFont="1" applyAlignment="1"/>
    <xf numFmtId="0" fontId="10" fillId="0" borderId="0" xfId="0" applyFont="1">
      <alignment vertical="center"/>
    </xf>
    <xf numFmtId="1" fontId="10" fillId="0" borderId="0" xfId="0" applyNumberFormat="1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2</xdr:row>
          <xdr:rowOff>152400</xdr:rowOff>
        </xdr:from>
        <xdr:to>
          <xdr:col>5</xdr:col>
          <xdr:colOff>520700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2</xdr:row>
          <xdr:rowOff>152400</xdr:rowOff>
        </xdr:from>
        <xdr:to>
          <xdr:col>7</xdr:col>
          <xdr:colOff>812800</xdr:colOff>
          <xdr:row>4</xdr:row>
          <xdr:rowOff>152400</xdr:rowOff>
        </xdr:to>
        <xdr:sp macro="" textlink="">
          <xdr:nvSpPr>
            <xdr:cNvPr id="3074" name="Button 2" descr="Clea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3</xdr:row>
          <xdr:rowOff>25400</xdr:rowOff>
        </xdr:from>
        <xdr:to>
          <xdr:col>5</xdr:col>
          <xdr:colOff>152400</xdr:colOff>
          <xdr:row>5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774700</xdr:colOff>
          <xdr:row>3</xdr:row>
          <xdr:rowOff>25400</xdr:rowOff>
        </xdr:from>
        <xdr:to>
          <xdr:col>7</xdr:col>
          <xdr:colOff>647700</xdr:colOff>
          <xdr:row>5</xdr:row>
          <xdr:rowOff>25400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25400</xdr:rowOff>
        </xdr:from>
        <xdr:to>
          <xdr:col>5</xdr:col>
          <xdr:colOff>241300</xdr:colOff>
          <xdr:row>5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12700</xdr:rowOff>
        </xdr:from>
        <xdr:to>
          <xdr:col>7</xdr:col>
          <xdr:colOff>609600</xdr:colOff>
          <xdr:row>5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8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979.521549999998" createdVersion="6" refreshedVersion="6" minRefreshableVersion="3" recordCount="61" xr:uid="{EF6637A5-DBF5-F145-8FBE-CEE821A2AC9F}">
  <cacheSource type="worksheet">
    <worksheetSource ref="C1:Y1048576" sheet="Final"/>
  </cacheSource>
  <cacheFields count="23">
    <cacheField name="門市代碼" numFmtId="0">
      <sharedItems containsBlank="1" count="17">
        <s v="K505"/>
        <s v="K504"/>
        <s v="K016"/>
        <s v="K205"/>
        <s v="K208"/>
        <s v="K207"/>
        <s v="K202"/>
        <s v="K201"/>
        <s v="K002"/>
        <s v="K213"/>
        <s v="K210"/>
        <s v="K203"/>
        <s v="K206"/>
        <s v="K212"/>
        <m/>
        <s v="K601" u="1"/>
        <s v="K099" u="1"/>
      </sharedItems>
    </cacheField>
    <cacheField name="門市名稱" numFmtId="0">
      <sharedItems containsBlank="1"/>
    </cacheField>
    <cacheField name="總銷售" numFmtId="0">
      <sharedItems containsString="0" containsBlank="1" containsNumber="1" containsInteger="1" minValue="22727" maxValue="83983812"/>
    </cacheField>
    <cacheField name="毛利額" numFmtId="0">
      <sharedItems containsString="0" containsBlank="1" containsNumber="1" containsInteger="1" minValue="-191277" maxValue="13047016"/>
    </cacheField>
    <cacheField name="目標毛利" numFmtId="0">
      <sharedItems containsString="0" containsBlank="1" containsNumber="1" minValue="15348181.430790538" maxValue="87003942.217024654"/>
    </cacheField>
    <cacheField name="毛利達成率" numFmtId="0">
      <sharedItems containsString="0" containsBlank="1" containsNumber="1" minValue="0.44838274315406756" maxValue="0.92399706359661959"/>
    </cacheField>
    <cacheField name="毛利獎金" numFmtId="0">
      <sharedItems containsString="0" containsBlank="1" containsNumber="1" minValue="0" maxValue="325726.77880688675"/>
    </cacheField>
    <cacheField name="3pp銷售額" numFmtId="0">
      <sharedItems containsString="0" containsBlank="1" containsNumber="1" containsInteger="1" minValue="1485332" maxValue="1874931"/>
    </cacheField>
    <cacheField name="3pp目標" numFmtId="176">
      <sharedItems containsString="0" containsBlank="1" containsNumber="1" minValue="0.3" maxValue="0.3"/>
    </cacheField>
    <cacheField name="3pp搭售率" numFmtId="0">
      <sharedItems containsString="0" containsBlank="1" containsNumber="1" minValue="3.0287899257867467E-2" maxValue="3.5833998433421069E-2"/>
    </cacheField>
    <cacheField name="3pp達成率" numFmtId="0">
      <sharedItems containsString="0" containsBlank="1" containsNumber="1" minValue="0.10095966419289155" maxValue="0.1194466614447369"/>
    </cacheField>
    <cacheField name="3pp獎金倍率" numFmtId="176">
      <sharedItems containsString="0" containsBlank="1" containsNumber="1" minValue="0.5" maxValue="0.5"/>
    </cacheField>
    <cacheField name="3pp獎金" numFmtId="0">
      <sharedItems containsString="0" containsBlank="1" containsNumber="1" minValue="72549.049750001577" maxValue="92914.285058859561"/>
    </cacheField>
    <cacheField name="呆滯庫存率" numFmtId="0">
      <sharedItems containsNonDate="0" containsString="0" containsBlank="1"/>
    </cacheField>
    <cacheField name="庫存獎金倍率" numFmtId="0">
      <sharedItems containsNonDate="0" containsString="0" containsBlank="1"/>
    </cacheField>
    <cacheField name="庫存獎金" numFmtId="0">
      <sharedItems containsString="0" containsBlank="1" containsNumber="1" containsInteger="1" minValue="0" maxValue="0"/>
    </cacheField>
    <cacheField name="CPU台數" numFmtId="176">
      <sharedItems containsString="0" containsBlank="1" containsNumber="1" containsInteger="1" minValue="12" maxValue="12"/>
    </cacheField>
    <cacheField name="CPU目標額" numFmtId="0">
      <sharedItems containsNonDate="0" containsString="0" containsBlank="1"/>
    </cacheField>
    <cacheField name="CPU達成率" numFmtId="0">
      <sharedItems containsNonDate="0" containsString="0" containsBlank="1"/>
    </cacheField>
    <cacheField name="CPU獎金率" numFmtId="0">
      <sharedItems containsNonDate="0" containsString="0" containsBlank="1"/>
    </cacheField>
    <cacheField name="CPU獎金" numFmtId="0">
      <sharedItems containsString="0" containsBlank="1" containsNumber="1" containsInteger="1" minValue="0" maxValue="0"/>
    </cacheField>
    <cacheField name="CPU台數獎金" numFmtId="0">
      <sharedItems containsString="0" containsBlank="1" containsNumber="1" containsInteger="1" minValue="0" maxValue="0"/>
    </cacheField>
    <cacheField name="總獎金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979.521554050923" createdVersion="6" refreshedVersion="6" minRefreshableVersion="3" recordCount="61" xr:uid="{40267F66-1F61-9146-89A7-78504F1BB4DD}">
  <cacheSource type="worksheet">
    <worksheetSource ref="A1:W1048576" sheet="Final"/>
  </cacheSource>
  <cacheFields count="23">
    <cacheField name="員工代碼" numFmtId="0">
      <sharedItems containsBlank="1" containsMixedTypes="1" containsNumber="1" containsInteger="1" minValue="1" maxValue="1" count="62">
        <s v="SAK0017"/>
        <s v="SAK0020"/>
        <s v="SAK0023"/>
        <s v="SAK0032"/>
        <s v="SAK0039"/>
        <s v="SAK0046"/>
        <s v="SAK0079"/>
        <s v="SAK0094"/>
        <s v="SAK0095"/>
        <s v="SAK0103"/>
        <s v="SAK0104"/>
        <s v="SAK0105"/>
        <s v="SAK0106"/>
        <s v="SAK0107"/>
        <s v="SAK0114"/>
        <s v="SAK0115"/>
        <s v="SAK0117"/>
        <s v="SAK0120"/>
        <s v="SAK0123"/>
        <s v="SAK0125"/>
        <s v="SAK0133"/>
        <s v="SAK0137"/>
        <s v="SAK0147"/>
        <s v="SAK0148"/>
        <s v="SAK0149"/>
        <s v="SAK0150"/>
        <s v="SAK0151"/>
        <s v="SAK0175"/>
        <s v="SAK0176"/>
        <s v="SAK0177"/>
        <s v="SAKJ098"/>
        <s v="SAKJ102"/>
        <s v="SAKJ103"/>
        <s v="SAKJ123"/>
        <s v="SAKJ125"/>
        <s v="SAKJ149"/>
        <s v="SAKJ155"/>
        <s v="SAKJ158"/>
        <s v="SAKJ162"/>
        <s v="SAKJ165"/>
        <s v="SAKJ168"/>
        <s v="SAKJ171"/>
        <s v="SAKJ175"/>
        <s v="SAKJ177"/>
        <s v="SAKJ178"/>
        <s v="SAKJ179"/>
        <s v="SAKJ180"/>
        <s v="SAKJ181"/>
        <s v="SAKJ182"/>
        <s v="SAKJ183"/>
        <s v="SAKJ184"/>
        <s v="SAKJ185"/>
        <s v="SAKJ186"/>
        <s v="SAKJ187"/>
        <s v="SAKJ188"/>
        <s v="SAKJ189"/>
        <s v="SAKJ190"/>
        <s v="SAKJ191"/>
        <s v="SAKJ192"/>
        <s v="SAKJ193"/>
        <m/>
        <n v="1" u="1"/>
      </sharedItems>
    </cacheField>
    <cacheField name="員工名稱" numFmtId="0">
      <sharedItems containsBlank="1"/>
    </cacheField>
    <cacheField name="門市代碼" numFmtId="0">
      <sharedItems containsBlank="1"/>
    </cacheField>
    <cacheField name="門市名稱" numFmtId="0">
      <sharedItems containsBlank="1"/>
    </cacheField>
    <cacheField name="總銷售" numFmtId="0">
      <sharedItems containsString="0" containsBlank="1" containsNumber="1" containsInteger="1" minValue="22727" maxValue="83983812"/>
    </cacheField>
    <cacheField name="毛利額" numFmtId="0">
      <sharedItems containsString="0" containsBlank="1" containsNumber="1" containsInteger="1" minValue="-191277" maxValue="13047016"/>
    </cacheField>
    <cacheField name="目標毛利" numFmtId="0">
      <sharedItems containsString="0" containsBlank="1" containsNumber="1" minValue="15348181.430790538" maxValue="87003942.217024654"/>
    </cacheField>
    <cacheField name="毛利達成率" numFmtId="0">
      <sharedItems containsString="0" containsBlank="1" containsNumber="1" minValue="0.44838274315406756" maxValue="0.92399706359661959"/>
    </cacheField>
    <cacheField name="毛利獎金" numFmtId="0">
      <sharedItems containsString="0" containsBlank="1" containsNumber="1" minValue="0" maxValue="325726.77880688675"/>
    </cacheField>
    <cacheField name="3pp銷售額" numFmtId="0">
      <sharedItems containsString="0" containsBlank="1" containsNumber="1" containsInteger="1" minValue="1485332" maxValue="1874931"/>
    </cacheField>
    <cacheField name="3pp目標" numFmtId="176">
      <sharedItems containsString="0" containsBlank="1" containsNumber="1" minValue="0.3" maxValue="0.3"/>
    </cacheField>
    <cacheField name="3pp搭售率" numFmtId="0">
      <sharedItems containsString="0" containsBlank="1" containsNumber="1" minValue="3.0287899257867467E-2" maxValue="3.5833998433421069E-2"/>
    </cacheField>
    <cacheField name="3pp達成率" numFmtId="0">
      <sharedItems containsString="0" containsBlank="1" containsNumber="1" minValue="0.10095966419289155" maxValue="0.1194466614447369"/>
    </cacheField>
    <cacheField name="3pp獎金倍率" numFmtId="176">
      <sharedItems containsString="0" containsBlank="1" containsNumber="1" minValue="0.5" maxValue="0.5"/>
    </cacheField>
    <cacheField name="3pp獎金" numFmtId="0">
      <sharedItems containsString="0" containsBlank="1" containsNumber="1" minValue="72549.049750001577" maxValue="92914.285058859561"/>
    </cacheField>
    <cacheField name="呆滯庫存率" numFmtId="0">
      <sharedItems containsNonDate="0" containsString="0" containsBlank="1"/>
    </cacheField>
    <cacheField name="庫存獎金倍率" numFmtId="0">
      <sharedItems containsNonDate="0" containsString="0" containsBlank="1"/>
    </cacheField>
    <cacheField name="庫存獎金" numFmtId="0">
      <sharedItems containsString="0" containsBlank="1" containsNumber="1" containsInteger="1" minValue="0" maxValue="0"/>
    </cacheField>
    <cacheField name="CPU台數" numFmtId="176">
      <sharedItems containsString="0" containsBlank="1" containsNumber="1" containsInteger="1" minValue="12" maxValue="12"/>
    </cacheField>
    <cacheField name="CPU目標額" numFmtId="0">
      <sharedItems containsNonDate="0" containsString="0" containsBlank="1"/>
    </cacheField>
    <cacheField name="CPU達成率" numFmtId="0">
      <sharedItems containsNonDate="0" containsString="0" containsBlank="1"/>
    </cacheField>
    <cacheField name="CPU獎金率" numFmtId="0">
      <sharedItems containsNonDate="0" containsString="0" containsBlank="1"/>
    </cacheField>
    <cacheField name="CPU獎金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s v="현대백화점 대구점"/>
    <n v="22727"/>
    <n v="5727"/>
    <n v="87003942.217024654"/>
    <n v="0.55759051559973127"/>
    <n v="0"/>
    <m/>
    <m/>
    <m/>
    <m/>
    <m/>
    <m/>
    <m/>
    <m/>
    <m/>
    <m/>
    <m/>
    <m/>
    <m/>
    <m/>
    <m/>
    <m/>
  </r>
  <r>
    <x v="1"/>
    <s v="디큐브거제점"/>
    <n v="29984280"/>
    <n v="4255593"/>
    <n v="15731744.838707976"/>
    <n v="0.56986361601427282"/>
    <n v="0"/>
    <m/>
    <m/>
    <m/>
    <m/>
    <m/>
    <m/>
    <m/>
    <m/>
    <m/>
    <m/>
    <m/>
    <m/>
    <m/>
    <m/>
    <m/>
    <m/>
  </r>
  <r>
    <x v="2"/>
    <s v="현대백화점 디큐브시티점"/>
    <n v="4041818"/>
    <n v="413321"/>
    <n v="35976695.590754993"/>
    <n v="0.67241567361223931"/>
    <n v="0"/>
    <m/>
    <m/>
    <m/>
    <m/>
    <m/>
    <m/>
    <m/>
    <m/>
    <m/>
    <m/>
    <m/>
    <m/>
    <m/>
    <m/>
    <m/>
    <m/>
  </r>
  <r>
    <x v="3"/>
    <s v="현대백화점 목동점"/>
    <n v="1975526"/>
    <n v="409"/>
    <n v="57343282.121061653"/>
    <n v="0.65571220567072519"/>
    <n v="0"/>
    <m/>
    <m/>
    <m/>
    <m/>
    <m/>
    <m/>
    <m/>
    <m/>
    <m/>
    <m/>
    <m/>
    <m/>
    <m/>
    <m/>
    <m/>
    <m/>
  </r>
  <r>
    <x v="4"/>
    <s v="현대백화점 압구정점"/>
    <n v="22727"/>
    <n v="5727"/>
    <n v="24256417.406595208"/>
    <n v="0.82242458420821618"/>
    <n v="141.30076781281363"/>
    <m/>
    <m/>
    <m/>
    <m/>
    <m/>
    <m/>
    <m/>
    <m/>
    <n v="0"/>
    <n v="12"/>
    <m/>
    <m/>
    <m/>
    <n v="0"/>
    <n v="0"/>
    <n v="0"/>
  </r>
  <r>
    <x v="0"/>
    <s v="현대백화점 대구점"/>
    <n v="37054179"/>
    <n v="5046894"/>
    <n v="87003942.217024654"/>
    <n v="0.55759051559973127"/>
    <n v="0"/>
    <m/>
    <m/>
    <m/>
    <m/>
    <m/>
    <m/>
    <m/>
    <m/>
    <m/>
    <m/>
    <m/>
    <m/>
    <m/>
    <m/>
    <m/>
    <m/>
  </r>
  <r>
    <x v="0"/>
    <s v="현대백화점 대구점"/>
    <n v="60347913"/>
    <n v="7479821"/>
    <n v="87003942.217024654"/>
    <n v="0.55759051559973127"/>
    <n v="0"/>
    <m/>
    <m/>
    <m/>
    <m/>
    <m/>
    <m/>
    <m/>
    <m/>
    <m/>
    <m/>
    <m/>
    <m/>
    <m/>
    <m/>
    <m/>
    <m/>
  </r>
  <r>
    <x v="5"/>
    <s v="현대백화점 울산점"/>
    <n v="183236"/>
    <n v="-191277"/>
    <n v="56919365.227615759"/>
    <n v="0.7048488302630449"/>
    <n v="0"/>
    <m/>
    <m/>
    <m/>
    <m/>
    <m/>
    <m/>
    <m/>
    <m/>
    <m/>
    <m/>
    <m/>
    <m/>
    <m/>
    <m/>
    <m/>
    <m/>
  </r>
  <r>
    <x v="0"/>
    <s v="현대백화점 대구점"/>
    <n v="59523086"/>
    <n v="8181550"/>
    <n v="87003942.217024654"/>
    <n v="0.55759051559973127"/>
    <n v="0"/>
    <m/>
    <m/>
    <m/>
    <m/>
    <m/>
    <m/>
    <m/>
    <m/>
    <m/>
    <m/>
    <m/>
    <m/>
    <m/>
    <m/>
    <m/>
    <m/>
  </r>
  <r>
    <x v="5"/>
    <s v="현대백화점 울산점"/>
    <n v="74616808"/>
    <n v="11845385"/>
    <n v="56919365.227615759"/>
    <n v="0.7048488302630449"/>
    <n v="0"/>
    <m/>
    <m/>
    <m/>
    <m/>
    <m/>
    <m/>
    <m/>
    <m/>
    <m/>
    <m/>
    <m/>
    <m/>
    <m/>
    <m/>
    <m/>
    <m/>
  </r>
  <r>
    <x v="0"/>
    <s v="현대백화점 대구점"/>
    <n v="61285791"/>
    <n v="8775852"/>
    <n v="87003942.217024654"/>
    <n v="0.55759051559973127"/>
    <n v="0"/>
    <m/>
    <m/>
    <m/>
    <m/>
    <m/>
    <m/>
    <m/>
    <m/>
    <m/>
    <m/>
    <m/>
    <m/>
    <m/>
    <m/>
    <m/>
    <m/>
  </r>
  <r>
    <x v="5"/>
    <s v="현대백화점 울산점"/>
    <n v="38950230"/>
    <n v="5398592"/>
    <n v="56919365.227615759"/>
    <n v="0.7048488302630449"/>
    <n v="0"/>
    <m/>
    <m/>
    <m/>
    <m/>
    <m/>
    <m/>
    <m/>
    <m/>
    <m/>
    <m/>
    <m/>
    <m/>
    <m/>
    <m/>
    <m/>
    <m/>
  </r>
  <r>
    <x v="6"/>
    <s v="현대백화점 천호점"/>
    <n v="27343732"/>
    <n v="4189054"/>
    <n v="15348181.430790538"/>
    <n v="0.81039379525756317"/>
    <n v="101843.50108796627"/>
    <m/>
    <m/>
    <m/>
    <m/>
    <m/>
    <m/>
    <m/>
    <m/>
    <m/>
    <m/>
    <m/>
    <m/>
    <m/>
    <m/>
    <m/>
    <m/>
  </r>
  <r>
    <x v="1"/>
    <s v="디큐브거제점"/>
    <n v="35583747"/>
    <n v="4709357"/>
    <n v="15731744.838707976"/>
    <n v="0.56986361601427282"/>
    <n v="0"/>
    <m/>
    <m/>
    <m/>
    <m/>
    <m/>
    <m/>
    <m/>
    <m/>
    <m/>
    <m/>
    <m/>
    <m/>
    <m/>
    <m/>
    <m/>
    <m/>
  </r>
  <r>
    <x v="7"/>
    <s v="현대백화점 무역센터점"/>
    <n v="32985453"/>
    <n v="4927767"/>
    <n v="20348925.427602269"/>
    <n v="0.75076259207659435"/>
    <n v="0"/>
    <m/>
    <m/>
    <m/>
    <m/>
    <m/>
    <m/>
    <m/>
    <m/>
    <m/>
    <m/>
    <m/>
    <m/>
    <m/>
    <m/>
    <m/>
    <m/>
  </r>
  <r>
    <x v="8"/>
    <s v="코엑스점"/>
    <n v="16488455"/>
    <n v="2713567"/>
    <n v="76637222.383450851"/>
    <n v="0.44838274315406756"/>
    <n v="0"/>
    <m/>
    <m/>
    <m/>
    <m/>
    <m/>
    <m/>
    <m/>
    <m/>
    <m/>
    <m/>
    <m/>
    <m/>
    <m/>
    <m/>
    <m/>
    <m/>
  </r>
  <r>
    <x v="9"/>
    <s v="현대아울렛 송도점"/>
    <n v="24034540"/>
    <n v="3321685"/>
    <n v="25144241.192302242"/>
    <n v="0.71722709236185023"/>
    <n v="0"/>
    <m/>
    <m/>
    <m/>
    <m/>
    <m/>
    <m/>
    <m/>
    <m/>
    <m/>
    <m/>
    <m/>
    <m/>
    <m/>
    <m/>
    <m/>
    <m/>
  </r>
  <r>
    <x v="5"/>
    <s v="현대백화점 울산점"/>
    <n v="83789439"/>
    <n v="11505690"/>
    <n v="56919365.227615759"/>
    <n v="0.7048488302630449"/>
    <n v="0"/>
    <m/>
    <m/>
    <m/>
    <m/>
    <m/>
    <m/>
    <m/>
    <m/>
    <m/>
    <m/>
    <m/>
    <m/>
    <m/>
    <m/>
    <m/>
    <m/>
  </r>
  <r>
    <x v="6"/>
    <s v="현대백화점 천호점"/>
    <n v="36184849"/>
    <n v="5519621"/>
    <n v="15348181.430790538"/>
    <n v="0.81039379525756317"/>
    <n v="134191.9983172004"/>
    <m/>
    <m/>
    <m/>
    <m/>
    <m/>
    <m/>
    <m/>
    <m/>
    <m/>
    <m/>
    <m/>
    <m/>
    <m/>
    <m/>
    <m/>
    <m/>
  </r>
  <r>
    <x v="10"/>
    <s v="현대백화점 충청점"/>
    <n v="205273"/>
    <n v="55873"/>
    <n v="53596200.139392696"/>
    <n v="0.83218716782158408"/>
    <n v="1394.903808830861"/>
    <m/>
    <m/>
    <m/>
    <m/>
    <m/>
    <m/>
    <m/>
    <m/>
    <m/>
    <m/>
    <m/>
    <m/>
    <m/>
    <m/>
    <m/>
    <m/>
  </r>
  <r>
    <x v="8"/>
    <s v="코엑스점"/>
    <n v="22321015"/>
    <n v="3127959"/>
    <n v="76637222.383450851"/>
    <n v="0.44838274315406756"/>
    <n v="0"/>
    <m/>
    <m/>
    <m/>
    <m/>
    <m/>
    <m/>
    <m/>
    <m/>
    <m/>
    <m/>
    <m/>
    <m/>
    <m/>
    <m/>
    <m/>
    <m/>
  </r>
  <r>
    <x v="5"/>
    <s v="현대백화점 울산점"/>
    <n v="77951905"/>
    <n v="11561157"/>
    <n v="56919365.227615759"/>
    <n v="0.7048488302630449"/>
    <n v="0"/>
    <m/>
    <m/>
    <m/>
    <m/>
    <m/>
    <m/>
    <m/>
    <m/>
    <m/>
    <m/>
    <m/>
    <m/>
    <m/>
    <m/>
    <m/>
    <m/>
  </r>
  <r>
    <x v="0"/>
    <s v="현대백화점 대구점"/>
    <n v="64021834"/>
    <n v="9435287"/>
    <n v="87003942.217024654"/>
    <n v="0.55759051559973127"/>
    <n v="0"/>
    <m/>
    <m/>
    <m/>
    <m/>
    <m/>
    <m/>
    <m/>
    <m/>
    <m/>
    <m/>
    <m/>
    <m/>
    <m/>
    <m/>
    <m/>
    <m/>
  </r>
  <r>
    <x v="4"/>
    <s v="현대백화점 압구정점"/>
    <n v="61903633"/>
    <n v="7531737"/>
    <n v="24256417.406595208"/>
    <n v="0.82242458420821618"/>
    <n v="185828.57011771912"/>
    <n v="1874931"/>
    <n v="0.3"/>
    <n v="3.0287899257867467E-2"/>
    <n v="0.10095966419289155"/>
    <n v="0.5"/>
    <n v="92914.285058859561"/>
    <m/>
    <m/>
    <n v="0"/>
    <n v="12"/>
    <m/>
    <m/>
    <m/>
    <n v="0"/>
    <n v="0"/>
    <n v="0"/>
  </r>
  <r>
    <x v="3"/>
    <s v="현대백화점 목동점"/>
    <n v="53517589"/>
    <n v="8155327"/>
    <n v="57343282.121061653"/>
    <n v="0.65571220567072519"/>
    <n v="0"/>
    <m/>
    <m/>
    <m/>
    <m/>
    <m/>
    <m/>
    <m/>
    <m/>
    <m/>
    <m/>
    <m/>
    <m/>
    <m/>
    <m/>
    <m/>
    <m/>
  </r>
  <r>
    <x v="0"/>
    <s v="현대백화점 대구점"/>
    <n v="64958987"/>
    <n v="9587441"/>
    <n v="87003942.217024654"/>
    <n v="0.55759051559973127"/>
    <n v="0"/>
    <m/>
    <m/>
    <m/>
    <m/>
    <m/>
    <m/>
    <m/>
    <m/>
    <m/>
    <m/>
    <m/>
    <m/>
    <m/>
    <m/>
    <m/>
    <m/>
  </r>
  <r>
    <x v="11"/>
    <s v="현대백화점 신촌점"/>
    <n v="40989995"/>
    <n v="5461790"/>
    <n v="33459787.192873299"/>
    <n v="0.68779244970516995"/>
    <n v="0"/>
    <m/>
    <m/>
    <m/>
    <m/>
    <m/>
    <m/>
    <m/>
    <m/>
    <m/>
    <m/>
    <m/>
    <m/>
    <m/>
    <m/>
    <m/>
    <m/>
  </r>
  <r>
    <x v="2"/>
    <s v="현대백화점 디큐브시티점"/>
    <n v="44392920"/>
    <n v="6858461"/>
    <n v="35976695.590754993"/>
    <n v="0.67241567361223931"/>
    <n v="0"/>
    <m/>
    <m/>
    <m/>
    <m/>
    <m/>
    <m/>
    <m/>
    <m/>
    <m/>
    <m/>
    <m/>
    <m/>
    <m/>
    <m/>
    <m/>
    <m/>
  </r>
  <r>
    <x v="7"/>
    <s v="현대백화점 무역센터점"/>
    <n v="31909542"/>
    <n v="4438196"/>
    <n v="20348925.427602269"/>
    <n v="0.75076259207659435"/>
    <n v="0"/>
    <m/>
    <m/>
    <m/>
    <m/>
    <m/>
    <m/>
    <m/>
    <m/>
    <m/>
    <m/>
    <m/>
    <m/>
    <m/>
    <m/>
    <m/>
    <m/>
  </r>
  <r>
    <x v="10"/>
    <s v="현대백화점 충청점"/>
    <n v="68262174"/>
    <n v="10508960"/>
    <n v="53596200.139392696"/>
    <n v="0.83218716782158408"/>
    <n v="262362.64977450942"/>
    <m/>
    <m/>
    <m/>
    <m/>
    <m/>
    <m/>
    <m/>
    <m/>
    <m/>
    <m/>
    <m/>
    <m/>
    <m/>
    <m/>
    <m/>
    <m/>
  </r>
  <r>
    <x v="12"/>
    <s v="현대백화점 중동점"/>
    <n v="46676544"/>
    <n v="6469745"/>
    <n v="24998051.303422458"/>
    <n v="0.92399706359661959"/>
    <n v="179340.76146656735"/>
    <m/>
    <m/>
    <m/>
    <m/>
    <m/>
    <m/>
    <m/>
    <m/>
    <m/>
    <m/>
    <m/>
    <m/>
    <m/>
    <m/>
    <m/>
    <m/>
  </r>
  <r>
    <x v="3"/>
    <s v="현대백화점 목동점"/>
    <n v="61981685"/>
    <n v="9072966"/>
    <n v="57343282.121061653"/>
    <n v="0.65571220567072519"/>
    <n v="0"/>
    <m/>
    <m/>
    <m/>
    <m/>
    <m/>
    <m/>
    <m/>
    <m/>
    <m/>
    <m/>
    <m/>
    <m/>
    <m/>
    <m/>
    <m/>
    <m/>
  </r>
  <r>
    <x v="12"/>
    <s v="현대백화점 중동점"/>
    <n v="51147466"/>
    <n v="6862989"/>
    <n v="24998051.303422458"/>
    <n v="0.92399706359661959"/>
    <n v="190241.45050487699"/>
    <m/>
    <m/>
    <m/>
    <m/>
    <m/>
    <m/>
    <m/>
    <m/>
    <m/>
    <m/>
    <m/>
    <m/>
    <m/>
    <m/>
    <m/>
    <m/>
  </r>
  <r>
    <x v="11"/>
    <s v="현대백화점 신촌점"/>
    <n v="40672356"/>
    <n v="6215750"/>
    <n v="33459787.192873299"/>
    <n v="0.68779244970516995"/>
    <n v="0"/>
    <m/>
    <m/>
    <m/>
    <m/>
    <m/>
    <m/>
    <m/>
    <m/>
    <m/>
    <m/>
    <m/>
    <m/>
    <m/>
    <m/>
    <m/>
    <m/>
  </r>
  <r>
    <x v="12"/>
    <s v="현대백화점 중동점"/>
    <n v="37185915"/>
    <n v="5271145"/>
    <n v="24998051.303422458"/>
    <n v="0.92399706359661959"/>
    <n v="146115.67505376012"/>
    <m/>
    <m/>
    <m/>
    <m/>
    <m/>
    <m/>
    <m/>
    <m/>
    <m/>
    <m/>
    <m/>
    <m/>
    <m/>
    <m/>
    <m/>
    <m/>
  </r>
  <r>
    <x v="13"/>
    <s v="현대백화점 일산점"/>
    <n v="30242098"/>
    <n v="4661935"/>
    <n v="20236562.96523555"/>
    <n v="0.76772340375633363"/>
    <n v="0"/>
    <m/>
    <m/>
    <m/>
    <m/>
    <m/>
    <m/>
    <m/>
    <m/>
    <m/>
    <m/>
    <m/>
    <m/>
    <m/>
    <m/>
    <m/>
    <m/>
  </r>
  <r>
    <x v="10"/>
    <s v="현대백화점 충청점"/>
    <n v="83983812"/>
    <n v="13047016"/>
    <n v="53596200.139392696"/>
    <n v="0.83218716782158408"/>
    <n v="325726.77880688675"/>
    <m/>
    <m/>
    <m/>
    <m/>
    <m/>
    <m/>
    <m/>
    <m/>
    <m/>
    <m/>
    <m/>
    <m/>
    <m/>
    <m/>
    <m/>
    <m/>
  </r>
  <r>
    <x v="13"/>
    <s v="현대백화점 일산점"/>
    <n v="39186666"/>
    <n v="5258050"/>
    <n v="20236562.96523555"/>
    <n v="0.76772340375633363"/>
    <n v="0"/>
    <m/>
    <m/>
    <m/>
    <m/>
    <m/>
    <m/>
    <m/>
    <m/>
    <m/>
    <m/>
    <m/>
    <m/>
    <m/>
    <m/>
    <m/>
    <m/>
  </r>
  <r>
    <x v="11"/>
    <s v="현대백화점 신촌점"/>
    <n v="36360821"/>
    <n v="5532471"/>
    <n v="33459787.192873299"/>
    <n v="0.68779244970516995"/>
    <n v="0"/>
    <m/>
    <m/>
    <m/>
    <m/>
    <m/>
    <m/>
    <m/>
    <m/>
    <m/>
    <m/>
    <m/>
    <m/>
    <m/>
    <m/>
    <m/>
    <m/>
  </r>
  <r>
    <x v="9"/>
    <s v="현대아울렛 송도점"/>
    <n v="27570612"/>
    <n v="4334663"/>
    <n v="25144241.192302242"/>
    <n v="0.71722709236185023"/>
    <n v="0"/>
    <m/>
    <m/>
    <m/>
    <m/>
    <m/>
    <m/>
    <m/>
    <m/>
    <m/>
    <m/>
    <m/>
    <m/>
    <m/>
    <m/>
    <m/>
    <m/>
  </r>
  <r>
    <x v="8"/>
    <s v="코엑스점"/>
    <n v="59983445"/>
    <n v="8285426"/>
    <n v="76637222.383450851"/>
    <n v="0.44838274315406756"/>
    <n v="0"/>
    <m/>
    <m/>
    <m/>
    <m/>
    <m/>
    <m/>
    <m/>
    <m/>
    <m/>
    <m/>
    <m/>
    <m/>
    <m/>
    <m/>
    <m/>
    <m/>
  </r>
  <r>
    <x v="12"/>
    <s v="현대백화점 중동점"/>
    <n v="32303383"/>
    <n v="4494247"/>
    <n v="24998051.303422458"/>
    <n v="0.92399706359661959"/>
    <n v="124580.1309323375"/>
    <m/>
    <m/>
    <m/>
    <m/>
    <m/>
    <m/>
    <m/>
    <m/>
    <m/>
    <m/>
    <m/>
    <m/>
    <m/>
    <m/>
    <m/>
    <m/>
  </r>
  <r>
    <x v="11"/>
    <s v="현대백화점 신촌점"/>
    <n v="39611337"/>
    <n v="5803377"/>
    <n v="33459787.192873299"/>
    <n v="0.68779244970516995"/>
    <n v="0"/>
    <m/>
    <m/>
    <m/>
    <m/>
    <m/>
    <m/>
    <m/>
    <m/>
    <m/>
    <m/>
    <m/>
    <m/>
    <m/>
    <m/>
    <m/>
    <m/>
  </r>
  <r>
    <x v="10"/>
    <s v="현대백화점 충청점"/>
    <n v="81375223"/>
    <n v="11625061"/>
    <n v="53596200.139392696"/>
    <n v="0.83218716782158408"/>
    <n v="290226.79768029455"/>
    <m/>
    <m/>
    <m/>
    <m/>
    <m/>
    <m/>
    <m/>
    <m/>
    <m/>
    <m/>
    <m/>
    <m/>
    <m/>
    <m/>
    <m/>
    <m/>
  </r>
  <r>
    <x v="3"/>
    <s v="현대백화점 목동점"/>
    <n v="76096730"/>
    <n v="10829139"/>
    <n v="57343282.121061653"/>
    <n v="0.65571220567072519"/>
    <n v="0"/>
    <m/>
    <m/>
    <m/>
    <m/>
    <m/>
    <m/>
    <m/>
    <m/>
    <m/>
    <m/>
    <m/>
    <m/>
    <m/>
    <m/>
    <m/>
    <m/>
  </r>
  <r>
    <x v="2"/>
    <s v="현대백화점 디큐브시티점"/>
    <n v="41251262"/>
    <n v="6220720"/>
    <n v="35976695.590754993"/>
    <n v="0.67241567361223931"/>
    <n v="0"/>
    <m/>
    <m/>
    <m/>
    <m/>
    <m/>
    <m/>
    <m/>
    <m/>
    <m/>
    <m/>
    <m/>
    <m/>
    <m/>
    <m/>
    <m/>
    <m/>
  </r>
  <r>
    <x v="2"/>
    <s v="현대백화점 디큐브시티점"/>
    <n v="46968973"/>
    <n v="6764619"/>
    <n v="35976695.590754993"/>
    <n v="0.67241567361223931"/>
    <n v="0"/>
    <m/>
    <m/>
    <m/>
    <m/>
    <m/>
    <m/>
    <m/>
    <m/>
    <m/>
    <m/>
    <m/>
    <m/>
    <m/>
    <m/>
    <m/>
    <m/>
  </r>
  <r>
    <x v="3"/>
    <s v="현대백화점 목동점"/>
    <n v="64249045"/>
    <n v="9542849"/>
    <n v="57343282.121061653"/>
    <n v="0.65571220567072519"/>
    <n v="0"/>
    <m/>
    <m/>
    <m/>
    <m/>
    <m/>
    <m/>
    <m/>
    <m/>
    <m/>
    <m/>
    <m/>
    <m/>
    <m/>
    <m/>
    <m/>
    <m/>
  </r>
  <r>
    <x v="13"/>
    <s v="현대백화점 일산점"/>
    <n v="37147742"/>
    <n v="5616099"/>
    <n v="20236562.96523555"/>
    <n v="0.76772340375633363"/>
    <n v="0"/>
    <m/>
    <m/>
    <m/>
    <m/>
    <m/>
    <m/>
    <m/>
    <m/>
    <m/>
    <m/>
    <m/>
    <m/>
    <m/>
    <m/>
    <m/>
    <m/>
  </r>
  <r>
    <x v="9"/>
    <s v="현대아울렛 송도점"/>
    <n v="35038698"/>
    <n v="6082669"/>
    <n v="25144241.192302242"/>
    <n v="0.71722709236185023"/>
    <n v="0"/>
    <m/>
    <m/>
    <m/>
    <m/>
    <m/>
    <m/>
    <m/>
    <m/>
    <m/>
    <m/>
    <m/>
    <m/>
    <m/>
    <m/>
    <m/>
    <m/>
  </r>
  <r>
    <x v="7"/>
    <s v="현대백화점 무역센터점"/>
    <n v="36617362"/>
    <n v="5911249"/>
    <n v="20348925.427602269"/>
    <n v="0.75076259207659435"/>
    <n v="0"/>
    <m/>
    <m/>
    <m/>
    <m/>
    <m/>
    <m/>
    <m/>
    <m/>
    <m/>
    <m/>
    <m/>
    <m/>
    <m/>
    <m/>
    <m/>
    <m/>
  </r>
  <r>
    <x v="8"/>
    <s v="코엑스점"/>
    <n v="37023968"/>
    <n v="6522904"/>
    <n v="76637222.383450851"/>
    <n v="0.44838274315406756"/>
    <n v="0"/>
    <m/>
    <m/>
    <m/>
    <m/>
    <m/>
    <m/>
    <m/>
    <m/>
    <m/>
    <m/>
    <m/>
    <m/>
    <m/>
    <m/>
    <m/>
    <m/>
  </r>
  <r>
    <x v="8"/>
    <s v="코엑스점"/>
    <n v="50755229"/>
    <n v="7230497"/>
    <n v="76637222.383450851"/>
    <n v="0.44838274315406756"/>
    <n v="0"/>
    <m/>
    <m/>
    <m/>
    <m/>
    <m/>
    <m/>
    <m/>
    <m/>
    <m/>
    <m/>
    <m/>
    <m/>
    <m/>
    <m/>
    <m/>
    <m/>
  </r>
  <r>
    <x v="8"/>
    <s v="코엑스점"/>
    <n v="39684316"/>
    <n v="6482455"/>
    <n v="76637222.383450851"/>
    <n v="0.44838274315406756"/>
    <n v="0"/>
    <m/>
    <m/>
    <m/>
    <m/>
    <m/>
    <m/>
    <m/>
    <m/>
    <m/>
    <m/>
    <m/>
    <m/>
    <m/>
    <m/>
    <m/>
    <m/>
  </r>
  <r>
    <x v="4"/>
    <s v="현대백화점 압구정점"/>
    <n v="43153906"/>
    <n v="5880908"/>
    <n v="24256417.406595208"/>
    <n v="0.82242458420821618"/>
    <n v="145098.09950000315"/>
    <n v="1546377"/>
    <n v="0.3"/>
    <n v="3.5833998433421069E-2"/>
    <n v="0.1194466614447369"/>
    <n v="0.5"/>
    <n v="72549.049750001577"/>
    <m/>
    <m/>
    <n v="0"/>
    <n v="12"/>
    <m/>
    <m/>
    <m/>
    <n v="0"/>
    <n v="0"/>
    <n v="0"/>
  </r>
  <r>
    <x v="4"/>
    <s v="현대백화점 압구정점"/>
    <n v="45262743"/>
    <n v="6530701"/>
    <n v="24256417.406595208"/>
    <n v="0.82242458420821618"/>
    <n v="161130.27163539545"/>
    <n v="1485332"/>
    <n v="0.3"/>
    <n v="3.2815775217158186E-2"/>
    <n v="0.10938591739052729"/>
    <n v="0.5"/>
    <n v="80565.135817697723"/>
    <m/>
    <m/>
    <n v="0"/>
    <n v="12"/>
    <m/>
    <m/>
    <m/>
    <n v="0"/>
    <n v="0"/>
    <n v="0"/>
  </r>
  <r>
    <x v="9"/>
    <s v="현대아울렛 송도점"/>
    <n v="29393454"/>
    <n v="4295114"/>
    <n v="25144241.192302242"/>
    <n v="0.71722709236185023"/>
    <n v="0"/>
    <m/>
    <m/>
    <m/>
    <m/>
    <m/>
    <m/>
    <m/>
    <m/>
    <m/>
    <m/>
    <m/>
    <m/>
    <m/>
    <m/>
    <m/>
    <m/>
  </r>
  <r>
    <x v="10"/>
    <s v="현대백화점 충청점"/>
    <n v="54905552"/>
    <n v="9365160"/>
    <n v="53596200.139392696"/>
    <n v="0.83218716782158408"/>
    <n v="233806.97929787959"/>
    <m/>
    <m/>
    <m/>
    <m/>
    <m/>
    <m/>
    <m/>
    <m/>
    <m/>
    <m/>
    <m/>
    <m/>
    <m/>
    <m/>
    <m/>
    <m/>
  </r>
  <r>
    <x v="2"/>
    <s v="현대백화점 디큐브시티점"/>
    <n v="22966179"/>
    <n v="3934174"/>
    <n v="35976695.590754993"/>
    <n v="0.67241567361223931"/>
    <n v="0"/>
    <m/>
    <m/>
    <m/>
    <m/>
    <m/>
    <m/>
    <m/>
    <m/>
    <m/>
    <m/>
    <m/>
    <m/>
    <m/>
    <m/>
    <m/>
    <m/>
  </r>
  <r>
    <x v="6"/>
    <s v="현대백화점 천호점"/>
    <n v="15536017"/>
    <n v="2729396"/>
    <n v="15348181.430790538"/>
    <n v="0.81039379525756317"/>
    <n v="66356.567496024349"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s v="김태경"/>
    <s v="K505"/>
    <s v="현대백화점 대구점"/>
    <n v="22727"/>
    <n v="5727"/>
    <n v="87003942.217024654"/>
    <n v="0.55759051559973127"/>
    <n v="0"/>
    <m/>
    <m/>
    <m/>
    <m/>
    <m/>
    <m/>
    <m/>
    <m/>
    <m/>
    <m/>
    <m/>
    <m/>
    <m/>
    <m/>
  </r>
  <r>
    <x v="1"/>
    <s v="안준이"/>
    <s v="K504"/>
    <s v="디큐브거제점"/>
    <n v="29984280"/>
    <n v="4255593"/>
    <n v="15731744.838707976"/>
    <n v="0.56986361601427282"/>
    <n v="0"/>
    <m/>
    <m/>
    <m/>
    <m/>
    <m/>
    <m/>
    <m/>
    <m/>
    <m/>
    <m/>
    <m/>
    <m/>
    <m/>
    <m/>
  </r>
  <r>
    <x v="2"/>
    <s v="송원경"/>
    <s v="K016"/>
    <s v="현대백화점 디큐브시티점"/>
    <n v="4041818"/>
    <n v="413321"/>
    <n v="35976695.590754993"/>
    <n v="0.67241567361223931"/>
    <n v="0"/>
    <m/>
    <m/>
    <m/>
    <m/>
    <m/>
    <m/>
    <m/>
    <m/>
    <m/>
    <m/>
    <m/>
    <m/>
    <m/>
    <m/>
  </r>
  <r>
    <x v="3"/>
    <s v="박민규"/>
    <s v="K205"/>
    <s v="현대백화점 목동점"/>
    <n v="1975526"/>
    <n v="409"/>
    <n v="57343282.121061653"/>
    <n v="0.65571220567072519"/>
    <n v="0"/>
    <m/>
    <m/>
    <m/>
    <m/>
    <m/>
    <m/>
    <m/>
    <m/>
    <m/>
    <m/>
    <m/>
    <m/>
    <m/>
    <m/>
  </r>
  <r>
    <x v="4"/>
    <s v="박원"/>
    <s v="K208"/>
    <s v="현대백화점 압구정점"/>
    <n v="22727"/>
    <n v="5727"/>
    <n v="24256417.406595208"/>
    <n v="0.82242458420821618"/>
    <n v="141.30076781281363"/>
    <m/>
    <m/>
    <m/>
    <m/>
    <m/>
    <m/>
    <m/>
    <m/>
    <n v="0"/>
    <n v="12"/>
    <m/>
    <m/>
    <m/>
    <n v="0"/>
  </r>
  <r>
    <x v="5"/>
    <s v="류진희"/>
    <s v="K505"/>
    <s v="현대백화점 대구점"/>
    <n v="37054179"/>
    <n v="5046894"/>
    <n v="87003942.217024654"/>
    <n v="0.55759051559973127"/>
    <n v="0"/>
    <m/>
    <m/>
    <m/>
    <m/>
    <m/>
    <m/>
    <m/>
    <m/>
    <m/>
    <m/>
    <m/>
    <m/>
    <m/>
    <m/>
  </r>
  <r>
    <x v="6"/>
    <s v="이지원"/>
    <s v="K505"/>
    <s v="현대백화점 대구점"/>
    <n v="60347913"/>
    <n v="7479821"/>
    <n v="87003942.217024654"/>
    <n v="0.55759051559973127"/>
    <n v="0"/>
    <m/>
    <m/>
    <m/>
    <m/>
    <m/>
    <m/>
    <m/>
    <m/>
    <m/>
    <m/>
    <m/>
    <m/>
    <m/>
    <m/>
  </r>
  <r>
    <x v="7"/>
    <s v="박현준"/>
    <s v="K207"/>
    <s v="현대백화점 울산점"/>
    <n v="183236"/>
    <n v="-191277"/>
    <n v="56919365.227615759"/>
    <n v="0.7048488302630449"/>
    <n v="0"/>
    <m/>
    <m/>
    <m/>
    <m/>
    <m/>
    <m/>
    <m/>
    <m/>
    <m/>
    <m/>
    <m/>
    <m/>
    <m/>
    <m/>
  </r>
  <r>
    <x v="8"/>
    <s v="서솔"/>
    <s v="K505"/>
    <s v="현대백화점 대구점"/>
    <n v="59523086"/>
    <n v="8181550"/>
    <n v="87003942.217024654"/>
    <n v="0.55759051559973127"/>
    <n v="0"/>
    <m/>
    <m/>
    <m/>
    <m/>
    <m/>
    <m/>
    <m/>
    <m/>
    <m/>
    <m/>
    <m/>
    <m/>
    <m/>
    <m/>
  </r>
  <r>
    <x v="9"/>
    <s v="이아름"/>
    <s v="K207"/>
    <s v="현대백화점 울산점"/>
    <n v="74616808"/>
    <n v="11845385"/>
    <n v="56919365.227615759"/>
    <n v="0.7048488302630449"/>
    <n v="0"/>
    <m/>
    <m/>
    <m/>
    <m/>
    <m/>
    <m/>
    <m/>
    <m/>
    <m/>
    <m/>
    <m/>
    <m/>
    <m/>
    <m/>
  </r>
  <r>
    <x v="10"/>
    <s v="백은정"/>
    <s v="K505"/>
    <s v="현대백화점 대구점"/>
    <n v="61285791"/>
    <n v="8775852"/>
    <n v="87003942.217024654"/>
    <n v="0.55759051559973127"/>
    <n v="0"/>
    <m/>
    <m/>
    <m/>
    <m/>
    <m/>
    <m/>
    <m/>
    <m/>
    <m/>
    <m/>
    <m/>
    <m/>
    <m/>
    <m/>
  </r>
  <r>
    <x v="11"/>
    <s v="손민선"/>
    <s v="K207"/>
    <s v="현대백화점 울산점"/>
    <n v="38950230"/>
    <n v="5398592"/>
    <n v="56919365.227615759"/>
    <n v="0.7048488302630449"/>
    <n v="0"/>
    <m/>
    <m/>
    <m/>
    <m/>
    <m/>
    <m/>
    <m/>
    <m/>
    <m/>
    <m/>
    <m/>
    <m/>
    <m/>
    <m/>
  </r>
  <r>
    <x v="12"/>
    <s v="이혜진"/>
    <s v="K202"/>
    <s v="현대백화점 천호점"/>
    <n v="27343732"/>
    <n v="4189054"/>
    <n v="15348181.430790538"/>
    <n v="0.81039379525756317"/>
    <n v="101843.50108796627"/>
    <m/>
    <m/>
    <m/>
    <m/>
    <m/>
    <m/>
    <m/>
    <m/>
    <m/>
    <m/>
    <m/>
    <m/>
    <m/>
    <m/>
  </r>
  <r>
    <x v="13"/>
    <s v="장은경"/>
    <s v="K504"/>
    <s v="디큐브거제점"/>
    <n v="35583747"/>
    <n v="4709357"/>
    <n v="15731744.838707976"/>
    <n v="0.56986361601427282"/>
    <n v="0"/>
    <m/>
    <m/>
    <m/>
    <m/>
    <m/>
    <m/>
    <m/>
    <m/>
    <m/>
    <m/>
    <m/>
    <m/>
    <m/>
    <m/>
  </r>
  <r>
    <x v="14"/>
    <s v="심윤보"/>
    <s v="K201"/>
    <s v="현대백화점 무역센터점"/>
    <n v="32985453"/>
    <n v="4927767"/>
    <n v="20348925.427602269"/>
    <n v="0.75076259207659435"/>
    <n v="0"/>
    <m/>
    <m/>
    <m/>
    <m/>
    <m/>
    <m/>
    <m/>
    <m/>
    <m/>
    <m/>
    <m/>
    <m/>
    <m/>
    <m/>
  </r>
  <r>
    <x v="15"/>
    <s v="박한희"/>
    <s v="K002"/>
    <s v="코엑스점"/>
    <n v="16488455"/>
    <n v="2713567"/>
    <n v="76637222.383450851"/>
    <n v="0.44838274315406756"/>
    <n v="0"/>
    <m/>
    <m/>
    <m/>
    <m/>
    <m/>
    <m/>
    <m/>
    <m/>
    <m/>
    <m/>
    <m/>
    <m/>
    <m/>
    <m/>
  </r>
  <r>
    <x v="16"/>
    <s v="주한샘"/>
    <s v="K213"/>
    <s v="현대아울렛 송도점"/>
    <n v="24034540"/>
    <n v="3321685"/>
    <n v="25144241.192302242"/>
    <n v="0.71722709236185023"/>
    <n v="0"/>
    <m/>
    <m/>
    <m/>
    <m/>
    <m/>
    <m/>
    <m/>
    <m/>
    <m/>
    <m/>
    <m/>
    <m/>
    <m/>
    <m/>
  </r>
  <r>
    <x v="17"/>
    <s v="김아람"/>
    <s v="K207"/>
    <s v="현대백화점 울산점"/>
    <n v="83789439"/>
    <n v="11505690"/>
    <n v="56919365.227615759"/>
    <n v="0.7048488302630449"/>
    <n v="0"/>
    <m/>
    <m/>
    <m/>
    <m/>
    <m/>
    <m/>
    <m/>
    <m/>
    <m/>
    <m/>
    <m/>
    <m/>
    <m/>
    <m/>
  </r>
  <r>
    <x v="18"/>
    <s v="윤세라"/>
    <s v="K202"/>
    <s v="현대백화점 천호점"/>
    <n v="36184849"/>
    <n v="5519621"/>
    <n v="15348181.430790538"/>
    <n v="0.81039379525756317"/>
    <n v="134191.9983172004"/>
    <m/>
    <m/>
    <m/>
    <m/>
    <m/>
    <m/>
    <m/>
    <m/>
    <m/>
    <m/>
    <m/>
    <m/>
    <m/>
    <m/>
  </r>
  <r>
    <x v="19"/>
    <s v="권혜림"/>
    <s v="K210"/>
    <s v="현대백화점 충청점"/>
    <n v="205273"/>
    <n v="55873"/>
    <n v="53596200.139392696"/>
    <n v="0.83218716782158408"/>
    <n v="1394.903808830861"/>
    <m/>
    <m/>
    <m/>
    <m/>
    <m/>
    <m/>
    <m/>
    <m/>
    <m/>
    <m/>
    <m/>
    <m/>
    <m/>
    <m/>
  </r>
  <r>
    <x v="20"/>
    <s v="남윤아"/>
    <s v="K002"/>
    <s v="코엑스점"/>
    <n v="22321015"/>
    <n v="3127959"/>
    <n v="76637222.383450851"/>
    <n v="0.44838274315406756"/>
    <n v="0"/>
    <m/>
    <m/>
    <m/>
    <m/>
    <m/>
    <m/>
    <m/>
    <m/>
    <m/>
    <m/>
    <m/>
    <m/>
    <m/>
    <m/>
  </r>
  <r>
    <x v="21"/>
    <s v="최은미"/>
    <s v="K207"/>
    <s v="현대백화점 울산점"/>
    <n v="77951905"/>
    <n v="11561157"/>
    <n v="56919365.227615759"/>
    <n v="0.7048488302630449"/>
    <n v="0"/>
    <m/>
    <m/>
    <m/>
    <m/>
    <m/>
    <m/>
    <m/>
    <m/>
    <m/>
    <m/>
    <m/>
    <m/>
    <m/>
    <m/>
  </r>
  <r>
    <x v="22"/>
    <s v="전효석"/>
    <s v="K505"/>
    <s v="현대백화점 대구점"/>
    <n v="64021834"/>
    <n v="9435287"/>
    <n v="87003942.217024654"/>
    <n v="0.55759051559973127"/>
    <n v="0"/>
    <m/>
    <m/>
    <m/>
    <m/>
    <m/>
    <m/>
    <m/>
    <m/>
    <m/>
    <m/>
    <m/>
    <m/>
    <m/>
    <m/>
  </r>
  <r>
    <x v="23"/>
    <s v="오현명"/>
    <s v="K208"/>
    <s v="현대백화점 압구정점"/>
    <n v="61903633"/>
    <n v="7531737"/>
    <n v="24256417.406595208"/>
    <n v="0.82242458420821618"/>
    <n v="185828.57011771912"/>
    <n v="1874931"/>
    <n v="0.3"/>
    <n v="3.0287899257867467E-2"/>
    <n v="0.10095966419289155"/>
    <n v="0.5"/>
    <n v="92914.285058859561"/>
    <m/>
    <m/>
    <n v="0"/>
    <n v="12"/>
    <m/>
    <m/>
    <m/>
    <n v="0"/>
  </r>
  <r>
    <x v="24"/>
    <s v="조성현"/>
    <s v="K205"/>
    <s v="현대백화점 목동점"/>
    <n v="53517589"/>
    <n v="8155327"/>
    <n v="57343282.121061653"/>
    <n v="0.65571220567072519"/>
    <n v="0"/>
    <m/>
    <m/>
    <m/>
    <m/>
    <m/>
    <m/>
    <m/>
    <m/>
    <m/>
    <m/>
    <m/>
    <m/>
    <m/>
    <m/>
  </r>
  <r>
    <x v="25"/>
    <s v="서윤배"/>
    <s v="K505"/>
    <s v="현대백화점 대구점"/>
    <n v="64958987"/>
    <n v="9587441"/>
    <n v="87003942.217024654"/>
    <n v="0.55759051559973127"/>
    <n v="0"/>
    <m/>
    <m/>
    <m/>
    <m/>
    <m/>
    <m/>
    <m/>
    <m/>
    <m/>
    <m/>
    <m/>
    <m/>
    <m/>
    <m/>
  </r>
  <r>
    <x v="26"/>
    <s v="진현성"/>
    <s v="K203"/>
    <s v="현대백화점 신촌점"/>
    <n v="40989995"/>
    <n v="5461790"/>
    <n v="33459787.192873299"/>
    <n v="0.68779244970516995"/>
    <n v="0"/>
    <m/>
    <m/>
    <m/>
    <m/>
    <m/>
    <m/>
    <m/>
    <m/>
    <m/>
    <m/>
    <m/>
    <m/>
    <m/>
    <m/>
  </r>
  <r>
    <x v="27"/>
    <s v="김지수"/>
    <s v="K016"/>
    <s v="현대백화점 디큐브시티점"/>
    <n v="44392920"/>
    <n v="6858461"/>
    <n v="35976695.590754993"/>
    <n v="0.67241567361223931"/>
    <n v="0"/>
    <m/>
    <m/>
    <m/>
    <m/>
    <m/>
    <m/>
    <m/>
    <m/>
    <m/>
    <m/>
    <m/>
    <m/>
    <m/>
    <m/>
  </r>
  <r>
    <x v="28"/>
    <s v="유형원"/>
    <s v="K201"/>
    <s v="현대백화점 무역센터점"/>
    <n v="31909542"/>
    <n v="4438196"/>
    <n v="20348925.427602269"/>
    <n v="0.75076259207659435"/>
    <n v="0"/>
    <m/>
    <m/>
    <m/>
    <m/>
    <m/>
    <m/>
    <m/>
    <m/>
    <m/>
    <m/>
    <m/>
    <m/>
    <m/>
    <m/>
  </r>
  <r>
    <x v="29"/>
    <s v="엄태은"/>
    <s v="K210"/>
    <s v="현대백화점 충청점"/>
    <n v="68262174"/>
    <n v="10508960"/>
    <n v="53596200.139392696"/>
    <n v="0.83218716782158408"/>
    <n v="262362.64977450942"/>
    <m/>
    <m/>
    <m/>
    <m/>
    <m/>
    <m/>
    <m/>
    <m/>
    <m/>
    <m/>
    <m/>
    <m/>
    <m/>
    <m/>
  </r>
  <r>
    <x v="30"/>
    <s v="김은지"/>
    <s v="K206"/>
    <s v="현대백화점 중동점"/>
    <n v="46676544"/>
    <n v="6469745"/>
    <n v="24998051.303422458"/>
    <n v="0.92399706359661959"/>
    <n v="179340.76146656735"/>
    <m/>
    <m/>
    <m/>
    <m/>
    <m/>
    <m/>
    <m/>
    <m/>
    <m/>
    <m/>
    <m/>
    <m/>
    <m/>
    <m/>
  </r>
  <r>
    <x v="31"/>
    <s v="장영래"/>
    <s v="K205"/>
    <s v="현대백화점 목동점"/>
    <n v="61981685"/>
    <n v="9072966"/>
    <n v="57343282.121061653"/>
    <n v="0.65571220567072519"/>
    <n v="0"/>
    <m/>
    <m/>
    <m/>
    <m/>
    <m/>
    <m/>
    <m/>
    <m/>
    <m/>
    <m/>
    <m/>
    <m/>
    <m/>
    <m/>
  </r>
  <r>
    <x v="32"/>
    <s v="윤지영"/>
    <s v="K206"/>
    <s v="현대백화점 중동점"/>
    <n v="51147466"/>
    <n v="6862989"/>
    <n v="24998051.303422458"/>
    <n v="0.92399706359661959"/>
    <n v="190241.45050487699"/>
    <m/>
    <m/>
    <m/>
    <m/>
    <m/>
    <m/>
    <m/>
    <m/>
    <m/>
    <m/>
    <m/>
    <m/>
    <m/>
    <m/>
  </r>
  <r>
    <x v="33"/>
    <s v="김영은"/>
    <s v="K203"/>
    <s v="현대백화점 신촌점"/>
    <n v="40672356"/>
    <n v="6215750"/>
    <n v="33459787.192873299"/>
    <n v="0.68779244970516995"/>
    <n v="0"/>
    <m/>
    <m/>
    <m/>
    <m/>
    <m/>
    <m/>
    <m/>
    <m/>
    <m/>
    <m/>
    <m/>
    <m/>
    <m/>
    <m/>
  </r>
  <r>
    <x v="34"/>
    <s v="정찬미"/>
    <s v="K206"/>
    <s v="현대백화점 중동점"/>
    <n v="37185915"/>
    <n v="5271145"/>
    <n v="24998051.303422458"/>
    <n v="0.92399706359661959"/>
    <n v="146115.67505376012"/>
    <m/>
    <m/>
    <m/>
    <m/>
    <m/>
    <m/>
    <m/>
    <m/>
    <m/>
    <m/>
    <m/>
    <m/>
    <m/>
    <m/>
  </r>
  <r>
    <x v="35"/>
    <s v="이소현"/>
    <s v="K212"/>
    <s v="현대백화점 일산점"/>
    <n v="30242098"/>
    <n v="4661935"/>
    <n v="20236562.96523555"/>
    <n v="0.76772340375633363"/>
    <n v="0"/>
    <m/>
    <m/>
    <m/>
    <m/>
    <m/>
    <m/>
    <m/>
    <m/>
    <m/>
    <m/>
    <m/>
    <m/>
    <m/>
    <m/>
  </r>
  <r>
    <x v="36"/>
    <s v="이유라"/>
    <s v="K210"/>
    <s v="현대백화점 충청점"/>
    <n v="83983812"/>
    <n v="13047016"/>
    <n v="53596200.139392696"/>
    <n v="0.83218716782158408"/>
    <n v="325726.77880688675"/>
    <m/>
    <m/>
    <m/>
    <m/>
    <m/>
    <m/>
    <m/>
    <m/>
    <m/>
    <m/>
    <m/>
    <m/>
    <m/>
    <m/>
  </r>
  <r>
    <x v="37"/>
    <s v="진세빈"/>
    <s v="K212"/>
    <s v="현대백화점 일산점"/>
    <n v="39186666"/>
    <n v="5258050"/>
    <n v="20236562.96523555"/>
    <n v="0.76772340375633363"/>
    <n v="0"/>
    <m/>
    <m/>
    <m/>
    <m/>
    <m/>
    <m/>
    <m/>
    <m/>
    <m/>
    <m/>
    <m/>
    <m/>
    <m/>
    <m/>
  </r>
  <r>
    <x v="38"/>
    <s v="김도연"/>
    <s v="K203"/>
    <s v="현대백화점 신촌점"/>
    <n v="36360821"/>
    <n v="5532471"/>
    <n v="33459787.192873299"/>
    <n v="0.68779244970516995"/>
    <n v="0"/>
    <m/>
    <m/>
    <m/>
    <m/>
    <m/>
    <m/>
    <m/>
    <m/>
    <m/>
    <m/>
    <m/>
    <m/>
    <m/>
    <m/>
  </r>
  <r>
    <x v="39"/>
    <s v="최동식"/>
    <s v="K213"/>
    <s v="현대아울렛 송도점"/>
    <n v="27570612"/>
    <n v="4334663"/>
    <n v="25144241.192302242"/>
    <n v="0.71722709236185023"/>
    <n v="0"/>
    <m/>
    <m/>
    <m/>
    <m/>
    <m/>
    <m/>
    <m/>
    <m/>
    <m/>
    <m/>
    <m/>
    <m/>
    <m/>
    <m/>
  </r>
  <r>
    <x v="40"/>
    <s v="김진홍"/>
    <s v="K002"/>
    <s v="코엑스점"/>
    <n v="59983445"/>
    <n v="8285426"/>
    <n v="76637222.383450851"/>
    <n v="0.44838274315406756"/>
    <n v="0"/>
    <m/>
    <m/>
    <m/>
    <m/>
    <m/>
    <m/>
    <m/>
    <m/>
    <m/>
    <m/>
    <m/>
    <m/>
    <m/>
    <m/>
  </r>
  <r>
    <x v="41"/>
    <s v="한우상"/>
    <s v="K206"/>
    <s v="현대백화점 중동점"/>
    <n v="32303383"/>
    <n v="4494247"/>
    <n v="24998051.303422458"/>
    <n v="0.92399706359661959"/>
    <n v="124580.1309323375"/>
    <m/>
    <m/>
    <m/>
    <m/>
    <m/>
    <m/>
    <m/>
    <m/>
    <m/>
    <m/>
    <m/>
    <m/>
    <m/>
    <m/>
  </r>
  <r>
    <x v="42"/>
    <s v="박필서"/>
    <s v="K203"/>
    <s v="현대백화점 신촌점"/>
    <n v="39611337"/>
    <n v="5803377"/>
    <n v="33459787.192873299"/>
    <n v="0.68779244970516995"/>
    <n v="0"/>
    <m/>
    <m/>
    <m/>
    <m/>
    <m/>
    <m/>
    <m/>
    <m/>
    <m/>
    <m/>
    <m/>
    <m/>
    <m/>
    <m/>
  </r>
  <r>
    <x v="43"/>
    <s v="강영훈"/>
    <s v="K210"/>
    <s v="현대백화점 충청점"/>
    <n v="81375223"/>
    <n v="11625061"/>
    <n v="53596200.139392696"/>
    <n v="0.83218716782158408"/>
    <n v="290226.79768029455"/>
    <m/>
    <m/>
    <m/>
    <m/>
    <m/>
    <m/>
    <m/>
    <m/>
    <m/>
    <m/>
    <m/>
    <m/>
    <m/>
    <m/>
  </r>
  <r>
    <x v="44"/>
    <s v="김유미"/>
    <s v="K205"/>
    <s v="현대백화점 목동점"/>
    <n v="76096730"/>
    <n v="10829139"/>
    <n v="57343282.121061653"/>
    <n v="0.65571220567072519"/>
    <n v="0"/>
    <m/>
    <m/>
    <m/>
    <m/>
    <m/>
    <m/>
    <m/>
    <m/>
    <m/>
    <m/>
    <m/>
    <m/>
    <m/>
    <m/>
  </r>
  <r>
    <x v="45"/>
    <s v="차민기"/>
    <s v="K016"/>
    <s v="현대백화점 디큐브시티점"/>
    <n v="41251262"/>
    <n v="6220720"/>
    <n v="35976695.590754993"/>
    <n v="0.67241567361223931"/>
    <n v="0"/>
    <m/>
    <m/>
    <m/>
    <m/>
    <m/>
    <m/>
    <m/>
    <m/>
    <m/>
    <m/>
    <m/>
    <m/>
    <m/>
    <m/>
  </r>
  <r>
    <x v="46"/>
    <s v="엄민우"/>
    <s v="K016"/>
    <s v="현대백화점 디큐브시티점"/>
    <n v="46968973"/>
    <n v="6764619"/>
    <n v="35976695.590754993"/>
    <n v="0.67241567361223931"/>
    <n v="0"/>
    <m/>
    <m/>
    <m/>
    <m/>
    <m/>
    <m/>
    <m/>
    <m/>
    <m/>
    <m/>
    <m/>
    <m/>
    <m/>
    <m/>
  </r>
  <r>
    <x v="47"/>
    <s v="최영록"/>
    <s v="K205"/>
    <s v="현대백화점 목동점"/>
    <n v="64249045"/>
    <n v="9542849"/>
    <n v="57343282.121061653"/>
    <n v="0.65571220567072519"/>
    <n v="0"/>
    <m/>
    <m/>
    <m/>
    <m/>
    <m/>
    <m/>
    <m/>
    <m/>
    <m/>
    <m/>
    <m/>
    <m/>
    <m/>
    <m/>
  </r>
  <r>
    <x v="48"/>
    <s v="김석주"/>
    <s v="K212"/>
    <s v="현대백화점 일산점"/>
    <n v="37147742"/>
    <n v="5616099"/>
    <n v="20236562.96523555"/>
    <n v="0.76772340375633363"/>
    <n v="0"/>
    <m/>
    <m/>
    <m/>
    <m/>
    <m/>
    <m/>
    <m/>
    <m/>
    <m/>
    <m/>
    <m/>
    <m/>
    <m/>
    <m/>
  </r>
  <r>
    <x v="49"/>
    <s v="이반희"/>
    <s v="K213"/>
    <s v="현대아울렛 송도점"/>
    <n v="35038698"/>
    <n v="6082669"/>
    <n v="25144241.192302242"/>
    <n v="0.71722709236185023"/>
    <n v="0"/>
    <m/>
    <m/>
    <m/>
    <m/>
    <m/>
    <m/>
    <m/>
    <m/>
    <m/>
    <m/>
    <m/>
    <m/>
    <m/>
    <m/>
  </r>
  <r>
    <x v="50"/>
    <s v="조영재"/>
    <s v="K201"/>
    <s v="현대백화점 무역센터점"/>
    <n v="36617362"/>
    <n v="5911249"/>
    <n v="20348925.427602269"/>
    <n v="0.75076259207659435"/>
    <n v="0"/>
    <m/>
    <m/>
    <m/>
    <m/>
    <m/>
    <m/>
    <m/>
    <m/>
    <m/>
    <m/>
    <m/>
    <m/>
    <m/>
    <m/>
  </r>
  <r>
    <x v="51"/>
    <s v="안종석"/>
    <s v="K002"/>
    <s v="코엑스점"/>
    <n v="37023968"/>
    <n v="6522904"/>
    <n v="76637222.383450851"/>
    <n v="0.44838274315406756"/>
    <n v="0"/>
    <m/>
    <m/>
    <m/>
    <m/>
    <m/>
    <m/>
    <m/>
    <m/>
    <m/>
    <m/>
    <m/>
    <m/>
    <m/>
    <m/>
  </r>
  <r>
    <x v="52"/>
    <s v="박진혁"/>
    <s v="K002"/>
    <s v="코엑스점"/>
    <n v="50755229"/>
    <n v="7230497"/>
    <n v="76637222.383450851"/>
    <n v="0.44838274315406756"/>
    <n v="0"/>
    <m/>
    <m/>
    <m/>
    <m/>
    <m/>
    <m/>
    <m/>
    <m/>
    <m/>
    <m/>
    <m/>
    <m/>
    <m/>
    <m/>
  </r>
  <r>
    <x v="53"/>
    <s v="모가윤"/>
    <s v="K002"/>
    <s v="코엑스점"/>
    <n v="39684316"/>
    <n v="6482455"/>
    <n v="76637222.383450851"/>
    <n v="0.44838274315406756"/>
    <n v="0"/>
    <m/>
    <m/>
    <m/>
    <m/>
    <m/>
    <m/>
    <m/>
    <m/>
    <m/>
    <m/>
    <m/>
    <m/>
    <m/>
    <m/>
  </r>
  <r>
    <x v="54"/>
    <s v="박찬욱"/>
    <s v="K208"/>
    <s v="현대백화점 압구정점"/>
    <n v="43153906"/>
    <n v="5880908"/>
    <n v="24256417.406595208"/>
    <n v="0.82242458420821618"/>
    <n v="145098.09950000315"/>
    <n v="1546377"/>
    <n v="0.3"/>
    <n v="3.5833998433421069E-2"/>
    <n v="0.1194466614447369"/>
    <n v="0.5"/>
    <n v="72549.049750001577"/>
    <m/>
    <m/>
    <n v="0"/>
    <n v="12"/>
    <m/>
    <m/>
    <m/>
    <n v="0"/>
  </r>
  <r>
    <x v="55"/>
    <s v="이정윤"/>
    <s v="K208"/>
    <s v="현대백화점 압구정점"/>
    <n v="45262743"/>
    <n v="6530701"/>
    <n v="24256417.406595208"/>
    <n v="0.82242458420821618"/>
    <n v="161130.27163539545"/>
    <n v="1485332"/>
    <n v="0.3"/>
    <n v="3.2815775217158186E-2"/>
    <n v="0.10938591739052729"/>
    <n v="0.5"/>
    <n v="80565.135817697723"/>
    <m/>
    <m/>
    <n v="0"/>
    <n v="12"/>
    <m/>
    <m/>
    <m/>
    <n v="0"/>
  </r>
  <r>
    <x v="56"/>
    <s v="이준호"/>
    <s v="K213"/>
    <s v="현대아울렛 송도점"/>
    <n v="29393454"/>
    <n v="4295114"/>
    <n v="25144241.192302242"/>
    <n v="0.71722709236185023"/>
    <n v="0"/>
    <m/>
    <m/>
    <m/>
    <m/>
    <m/>
    <m/>
    <m/>
    <m/>
    <m/>
    <m/>
    <m/>
    <m/>
    <m/>
    <m/>
  </r>
  <r>
    <x v="57"/>
    <s v="이시원"/>
    <s v="K210"/>
    <s v="현대백화점 충청점"/>
    <n v="54905552"/>
    <n v="9365160"/>
    <n v="53596200.139392696"/>
    <n v="0.83218716782158408"/>
    <n v="233806.97929787959"/>
    <m/>
    <m/>
    <m/>
    <m/>
    <m/>
    <m/>
    <m/>
    <m/>
    <m/>
    <m/>
    <m/>
    <m/>
    <m/>
    <m/>
  </r>
  <r>
    <x v="58"/>
    <s v="이동은"/>
    <s v="K016"/>
    <s v="현대백화점 디큐브시티점"/>
    <n v="22966179"/>
    <n v="3934174"/>
    <n v="35976695.590754993"/>
    <n v="0.67241567361223931"/>
    <n v="0"/>
    <m/>
    <m/>
    <m/>
    <m/>
    <m/>
    <m/>
    <m/>
    <m/>
    <m/>
    <m/>
    <m/>
    <m/>
    <m/>
    <m/>
  </r>
  <r>
    <x v="59"/>
    <s v="김선구"/>
    <s v="K202"/>
    <s v="현대백화점 천호점"/>
    <n v="15536017"/>
    <n v="2729396"/>
    <n v="15348181.430790538"/>
    <n v="0.81039379525756317"/>
    <n v="66356.567496024349"/>
    <m/>
    <m/>
    <m/>
    <m/>
    <m/>
    <m/>
    <m/>
    <m/>
    <m/>
    <m/>
    <m/>
    <m/>
    <m/>
    <m/>
  </r>
  <r>
    <x v="60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DFAE5-3C0F-2041-A810-CC088D0D49B9}" name="樞紐分析表2" cacheId="9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A65" firstHeaderRow="1" firstDataRow="1" firstDataCol="1"/>
  <pivotFields count="23">
    <pivotField axis="axisRow" showAll="0">
      <items count="63">
        <item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4AEF82-C4FE-C44B-BD74-B78D525503BA}" name="樞紐分析表3" cacheId="9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E3:E19" firstHeaderRow="1" firstDataRow="1" firstDataCol="1"/>
  <pivotFields count="23">
    <pivotField axis="axisRow" showAll="0">
      <items count="18">
        <item x="2"/>
        <item x="7"/>
        <item x="6"/>
        <item x="3"/>
        <item x="5"/>
        <item x="1"/>
        <item x="0"/>
        <item m="1" x="15"/>
        <item x="14"/>
        <item x="4"/>
        <item x="8"/>
        <item x="9"/>
        <item x="10"/>
        <item x="11"/>
        <item x="12"/>
        <item x="13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74DAB-7991-AF4E-8818-ADF88F749129}">
  <sheetPr codeName="工作表1"/>
  <dimension ref="A2:T70"/>
  <sheetViews>
    <sheetView tabSelected="1" zoomScale="90" zoomScaleNormal="90" workbookViewId="0">
      <selection activeCell="L27" sqref="L27"/>
    </sheetView>
  </sheetViews>
  <sheetFormatPr baseColWidth="10" defaultRowHeight="15"/>
  <cols>
    <col min="7" max="7" width="16" style="13" customWidth="1"/>
    <col min="8" max="8" width="13.1640625" bestFit="1" customWidth="1"/>
    <col min="10" max="10" width="18.6640625" bestFit="1" customWidth="1"/>
  </cols>
  <sheetData>
    <row r="2" spans="1:20">
      <c r="K2" t="s">
        <v>202</v>
      </c>
    </row>
    <row r="3" spans="1:20">
      <c r="K3" t="s">
        <v>210</v>
      </c>
    </row>
    <row r="4" spans="1:20">
      <c r="K4" t="s">
        <v>204</v>
      </c>
    </row>
    <row r="5" spans="1:20">
      <c r="K5" t="s">
        <v>200</v>
      </c>
    </row>
    <row r="6" spans="1:20">
      <c r="K6" t="s">
        <v>205</v>
      </c>
    </row>
    <row r="7" spans="1:20">
      <c r="K7" t="s">
        <v>198</v>
      </c>
    </row>
    <row r="10" spans="1:20">
      <c r="A10" s="8" t="s">
        <v>56</v>
      </c>
      <c r="B10" s="8" t="s">
        <v>57</v>
      </c>
      <c r="C10" s="1" t="s">
        <v>3</v>
      </c>
      <c r="D10" s="1" t="s">
        <v>4</v>
      </c>
      <c r="E10" s="1" t="s">
        <v>212</v>
      </c>
      <c r="F10" s="1" t="s">
        <v>0</v>
      </c>
      <c r="G10" s="1" t="s">
        <v>1</v>
      </c>
      <c r="H10" s="14" t="s">
        <v>2</v>
      </c>
      <c r="I10" s="1" t="s">
        <v>14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>
      <c r="A11" s="5" t="s">
        <v>71</v>
      </c>
      <c r="B11" s="5" t="s">
        <v>72</v>
      </c>
      <c r="C11" s="5" t="s">
        <v>50</v>
      </c>
      <c r="D11" s="5" t="s">
        <v>51</v>
      </c>
      <c r="E11" s="6">
        <v>22727</v>
      </c>
      <c r="F11" s="6">
        <v>5727</v>
      </c>
      <c r="G11" s="13">
        <v>87003942.217024654</v>
      </c>
      <c r="H11">
        <v>0.55759051559973127</v>
      </c>
      <c r="I11">
        <v>0</v>
      </c>
    </row>
    <row r="12" spans="1:20">
      <c r="A12" s="5" t="s">
        <v>73</v>
      </c>
      <c r="B12" s="5" t="s">
        <v>74</v>
      </c>
      <c r="C12" s="5" t="s">
        <v>48</v>
      </c>
      <c r="D12" s="5" t="s">
        <v>49</v>
      </c>
      <c r="E12" s="6">
        <v>29984280</v>
      </c>
      <c r="F12" s="6">
        <v>4255593</v>
      </c>
      <c r="G12" s="13">
        <v>15731744.838707976</v>
      </c>
      <c r="H12">
        <v>0.56986361601427282</v>
      </c>
      <c r="I12">
        <v>0</v>
      </c>
    </row>
    <row r="13" spans="1:20">
      <c r="A13" s="5" t="s">
        <v>75</v>
      </c>
      <c r="B13" s="5" t="s">
        <v>76</v>
      </c>
      <c r="C13" s="5" t="s">
        <v>26</v>
      </c>
      <c r="D13" s="5" t="s">
        <v>27</v>
      </c>
      <c r="E13" s="6">
        <v>4041818</v>
      </c>
      <c r="F13" s="6">
        <v>413321</v>
      </c>
      <c r="G13" s="13">
        <v>35976695.590754993</v>
      </c>
      <c r="H13">
        <v>0.67241567361223931</v>
      </c>
      <c r="I13">
        <v>0</v>
      </c>
    </row>
    <row r="14" spans="1:20">
      <c r="A14" s="5" t="s">
        <v>77</v>
      </c>
      <c r="B14" s="5" t="s">
        <v>78</v>
      </c>
      <c r="C14" s="5" t="s">
        <v>34</v>
      </c>
      <c r="D14" s="5" t="s">
        <v>35</v>
      </c>
      <c r="E14" s="6">
        <v>1975526</v>
      </c>
      <c r="F14" s="6">
        <v>409</v>
      </c>
      <c r="G14" s="13">
        <v>57343282.121061653</v>
      </c>
      <c r="H14">
        <v>0.65571220567072519</v>
      </c>
      <c r="I14">
        <v>0</v>
      </c>
    </row>
    <row r="15" spans="1:20">
      <c r="A15" s="5" t="s">
        <v>228</v>
      </c>
      <c r="B15" s="5" t="s">
        <v>229</v>
      </c>
      <c r="C15" s="5" t="s">
        <v>40</v>
      </c>
      <c r="D15" s="5" t="s">
        <v>41</v>
      </c>
      <c r="E15" s="6">
        <v>22727</v>
      </c>
      <c r="F15" s="6">
        <v>5727</v>
      </c>
      <c r="G15" s="13">
        <v>24256417.406595208</v>
      </c>
      <c r="H15">
        <v>0.82242458420821618</v>
      </c>
      <c r="I15">
        <v>141.30076781281363</v>
      </c>
    </row>
    <row r="16" spans="1:20">
      <c r="A16" s="5" t="s">
        <v>79</v>
      </c>
      <c r="B16" s="5" t="s">
        <v>80</v>
      </c>
      <c r="C16" s="5" t="s">
        <v>50</v>
      </c>
      <c r="D16" s="5" t="s">
        <v>51</v>
      </c>
      <c r="E16" s="6">
        <v>37054179</v>
      </c>
      <c r="F16" s="6">
        <v>5046894</v>
      </c>
      <c r="G16" s="13">
        <v>87003942.217024654</v>
      </c>
      <c r="H16">
        <v>0.55759051559973127</v>
      </c>
      <c r="I16">
        <v>0</v>
      </c>
    </row>
    <row r="17" spans="1:9">
      <c r="A17" s="5" t="s">
        <v>81</v>
      </c>
      <c r="B17" s="5" t="s">
        <v>82</v>
      </c>
      <c r="C17" s="5" t="s">
        <v>50</v>
      </c>
      <c r="D17" s="5" t="s">
        <v>51</v>
      </c>
      <c r="E17" s="6">
        <v>60347913</v>
      </c>
      <c r="F17" s="6">
        <v>7479821</v>
      </c>
      <c r="G17" s="13">
        <v>87003942.217024654</v>
      </c>
      <c r="H17">
        <v>0.55759051559973127</v>
      </c>
      <c r="I17">
        <v>0</v>
      </c>
    </row>
    <row r="18" spans="1:9">
      <c r="A18" s="5" t="s">
        <v>85</v>
      </c>
      <c r="B18" s="5" t="s">
        <v>86</v>
      </c>
      <c r="C18" s="5" t="s">
        <v>38</v>
      </c>
      <c r="D18" s="5" t="s">
        <v>39</v>
      </c>
      <c r="E18" s="6">
        <v>183236</v>
      </c>
      <c r="F18" s="6">
        <v>-191277</v>
      </c>
      <c r="G18" s="13">
        <v>56919365.227615759</v>
      </c>
      <c r="H18">
        <v>0.7048488302630449</v>
      </c>
      <c r="I18">
        <v>0</v>
      </c>
    </row>
    <row r="19" spans="1:9">
      <c r="A19" s="5" t="s">
        <v>87</v>
      </c>
      <c r="B19" s="5" t="s">
        <v>88</v>
      </c>
      <c r="C19" s="5" t="s">
        <v>50</v>
      </c>
      <c r="D19" s="5" t="s">
        <v>51</v>
      </c>
      <c r="E19" s="6">
        <v>59523086</v>
      </c>
      <c r="F19" s="6">
        <v>8181550</v>
      </c>
      <c r="G19" s="13">
        <v>87003942.217024654</v>
      </c>
      <c r="H19">
        <v>0.55759051559973127</v>
      </c>
      <c r="I19">
        <v>0</v>
      </c>
    </row>
    <row r="20" spans="1:9">
      <c r="A20" s="5" t="s">
        <v>89</v>
      </c>
      <c r="B20" s="5" t="s">
        <v>90</v>
      </c>
      <c r="C20" s="5" t="s">
        <v>38</v>
      </c>
      <c r="D20" s="5" t="s">
        <v>39</v>
      </c>
      <c r="E20" s="6">
        <v>74616808</v>
      </c>
      <c r="F20" s="6">
        <v>11845385</v>
      </c>
      <c r="G20" s="13">
        <v>56919365.227615759</v>
      </c>
      <c r="H20">
        <v>0.7048488302630449</v>
      </c>
      <c r="I20">
        <v>0</v>
      </c>
    </row>
    <row r="21" spans="1:9">
      <c r="A21" s="5" t="s">
        <v>91</v>
      </c>
      <c r="B21" s="5" t="s">
        <v>92</v>
      </c>
      <c r="C21" s="5" t="s">
        <v>50</v>
      </c>
      <c r="D21" s="5" t="s">
        <v>51</v>
      </c>
      <c r="E21" s="6">
        <v>61285791</v>
      </c>
      <c r="F21" s="6">
        <v>8775852</v>
      </c>
      <c r="G21" s="13">
        <v>87003942.217024654</v>
      </c>
      <c r="H21">
        <v>0.55759051559973127</v>
      </c>
      <c r="I21">
        <v>0</v>
      </c>
    </row>
    <row r="22" spans="1:9">
      <c r="A22" s="5" t="s">
        <v>93</v>
      </c>
      <c r="B22" s="5" t="s">
        <v>94</v>
      </c>
      <c r="C22" s="5" t="s">
        <v>38</v>
      </c>
      <c r="D22" s="5" t="s">
        <v>39</v>
      </c>
      <c r="E22" s="6">
        <v>38950230</v>
      </c>
      <c r="F22" s="6">
        <v>5398592</v>
      </c>
      <c r="G22" s="13">
        <v>56919365.227615759</v>
      </c>
      <c r="H22">
        <v>0.7048488302630449</v>
      </c>
      <c r="I22">
        <v>0</v>
      </c>
    </row>
    <row r="23" spans="1:9">
      <c r="A23" s="5" t="s">
        <v>95</v>
      </c>
      <c r="B23" s="5" t="s">
        <v>96</v>
      </c>
      <c r="C23" s="5" t="s">
        <v>30</v>
      </c>
      <c r="D23" s="5" t="s">
        <v>31</v>
      </c>
      <c r="E23" s="6">
        <v>27343732</v>
      </c>
      <c r="F23" s="6">
        <v>4189054</v>
      </c>
      <c r="G23" s="13">
        <v>15348181.430790538</v>
      </c>
      <c r="H23">
        <v>0.81039379525756317</v>
      </c>
      <c r="I23">
        <v>101843.50108796627</v>
      </c>
    </row>
    <row r="24" spans="1:9">
      <c r="A24" s="5" t="s">
        <v>97</v>
      </c>
      <c r="B24" s="5" t="s">
        <v>98</v>
      </c>
      <c r="C24" s="5" t="s">
        <v>48</v>
      </c>
      <c r="D24" s="5" t="s">
        <v>49</v>
      </c>
      <c r="E24" s="6">
        <v>35583747</v>
      </c>
      <c r="F24" s="6">
        <v>4709357</v>
      </c>
      <c r="G24" s="13">
        <v>15731744.838707976</v>
      </c>
      <c r="H24">
        <v>0.56986361601427282</v>
      </c>
      <c r="I24">
        <v>0</v>
      </c>
    </row>
    <row r="25" spans="1:9">
      <c r="A25" s="5" t="s">
        <v>99</v>
      </c>
      <c r="B25" s="5" t="s">
        <v>100</v>
      </c>
      <c r="C25" s="5" t="s">
        <v>28</v>
      </c>
      <c r="D25" s="5" t="s">
        <v>29</v>
      </c>
      <c r="E25" s="6">
        <v>32985453</v>
      </c>
      <c r="F25" s="6">
        <v>4927767</v>
      </c>
      <c r="G25" s="13">
        <v>20348925.427602269</v>
      </c>
      <c r="H25">
        <v>0.75076259207659435</v>
      </c>
      <c r="I25">
        <v>0</v>
      </c>
    </row>
    <row r="26" spans="1:9">
      <c r="A26" s="5" t="s">
        <v>101</v>
      </c>
      <c r="B26" s="5" t="s">
        <v>102</v>
      </c>
      <c r="C26" s="5" t="s">
        <v>24</v>
      </c>
      <c r="D26" s="5" t="s">
        <v>25</v>
      </c>
      <c r="E26" s="6">
        <v>16488455</v>
      </c>
      <c r="F26" s="6">
        <v>2713567</v>
      </c>
      <c r="G26" s="13">
        <v>76637222.383450851</v>
      </c>
      <c r="H26">
        <v>0.44838274315406756</v>
      </c>
      <c r="I26">
        <v>0</v>
      </c>
    </row>
    <row r="27" spans="1:9">
      <c r="A27" s="5" t="s">
        <v>103</v>
      </c>
      <c r="B27" s="5" t="s">
        <v>104</v>
      </c>
      <c r="C27" s="5" t="s">
        <v>46</v>
      </c>
      <c r="D27" s="5" t="s">
        <v>47</v>
      </c>
      <c r="E27" s="6">
        <v>24034540</v>
      </c>
      <c r="F27" s="6">
        <v>3321685</v>
      </c>
      <c r="G27" s="13">
        <v>25144241.192302242</v>
      </c>
      <c r="H27">
        <v>0.71722709236185023</v>
      </c>
      <c r="I27">
        <v>0</v>
      </c>
    </row>
    <row r="28" spans="1:9">
      <c r="A28" s="5" t="s">
        <v>105</v>
      </c>
      <c r="B28" s="5" t="s">
        <v>106</v>
      </c>
      <c r="C28" s="5" t="s">
        <v>38</v>
      </c>
      <c r="D28" s="5" t="s">
        <v>39</v>
      </c>
      <c r="E28" s="6">
        <v>83789439</v>
      </c>
      <c r="F28" s="6">
        <v>11505690</v>
      </c>
      <c r="G28" s="13">
        <v>56919365.227615759</v>
      </c>
      <c r="H28">
        <v>0.7048488302630449</v>
      </c>
      <c r="I28">
        <v>0</v>
      </c>
    </row>
    <row r="29" spans="1:9">
      <c r="A29" s="5" t="s">
        <v>107</v>
      </c>
      <c r="B29" s="5" t="s">
        <v>108</v>
      </c>
      <c r="C29" s="5" t="s">
        <v>30</v>
      </c>
      <c r="D29" s="5" t="s">
        <v>31</v>
      </c>
      <c r="E29" s="6">
        <v>36184849</v>
      </c>
      <c r="F29" s="6">
        <v>5519621</v>
      </c>
      <c r="G29" s="13">
        <v>15348181.430790538</v>
      </c>
      <c r="H29">
        <v>0.81039379525756317</v>
      </c>
      <c r="I29">
        <v>134191.9983172004</v>
      </c>
    </row>
    <row r="30" spans="1:9">
      <c r="A30" s="5" t="s">
        <v>230</v>
      </c>
      <c r="B30" s="5" t="s">
        <v>231</v>
      </c>
      <c r="C30" s="5" t="s">
        <v>42</v>
      </c>
      <c r="D30" s="5" t="s">
        <v>43</v>
      </c>
      <c r="E30" s="6">
        <v>205273</v>
      </c>
      <c r="F30" s="6">
        <v>55873</v>
      </c>
      <c r="G30" s="13">
        <v>53596200.139392696</v>
      </c>
      <c r="H30">
        <v>0.83218716782158408</v>
      </c>
      <c r="I30">
        <v>1394.903808830861</v>
      </c>
    </row>
    <row r="31" spans="1:9">
      <c r="A31" s="5" t="s">
        <v>109</v>
      </c>
      <c r="B31" s="5" t="s">
        <v>110</v>
      </c>
      <c r="C31" s="5" t="s">
        <v>24</v>
      </c>
      <c r="D31" s="5" t="s">
        <v>25</v>
      </c>
      <c r="E31" s="6">
        <v>22321015</v>
      </c>
      <c r="F31" s="6">
        <v>3127959</v>
      </c>
      <c r="G31" s="13">
        <v>76637222.383450851</v>
      </c>
      <c r="H31">
        <v>0.44838274315406756</v>
      </c>
      <c r="I31">
        <v>0</v>
      </c>
    </row>
    <row r="32" spans="1:9">
      <c r="A32" s="5" t="s">
        <v>111</v>
      </c>
      <c r="B32" s="5" t="s">
        <v>112</v>
      </c>
      <c r="C32" s="5" t="s">
        <v>38</v>
      </c>
      <c r="D32" s="5" t="s">
        <v>39</v>
      </c>
      <c r="E32" s="6">
        <v>77951905</v>
      </c>
      <c r="F32" s="6">
        <v>11561157</v>
      </c>
      <c r="G32" s="13">
        <v>56919365.227615759</v>
      </c>
      <c r="H32">
        <v>0.7048488302630449</v>
      </c>
      <c r="I32">
        <v>0</v>
      </c>
    </row>
    <row r="33" spans="1:9">
      <c r="A33" s="5" t="s">
        <v>115</v>
      </c>
      <c r="B33" s="5" t="s">
        <v>116</v>
      </c>
      <c r="C33" s="5" t="s">
        <v>50</v>
      </c>
      <c r="D33" s="5" t="s">
        <v>51</v>
      </c>
      <c r="E33" s="6">
        <v>64021834</v>
      </c>
      <c r="F33" s="6">
        <v>9435287</v>
      </c>
      <c r="G33" s="13">
        <v>87003942.217024654</v>
      </c>
      <c r="H33">
        <v>0.55759051559973127</v>
      </c>
      <c r="I33">
        <v>0</v>
      </c>
    </row>
    <row r="34" spans="1:9">
      <c r="A34" s="5" t="s">
        <v>117</v>
      </c>
      <c r="B34" s="5" t="s">
        <v>118</v>
      </c>
      <c r="C34" s="5" t="s">
        <v>40</v>
      </c>
      <c r="D34" s="5" t="s">
        <v>41</v>
      </c>
      <c r="E34" s="6">
        <v>61903633</v>
      </c>
      <c r="F34" s="6">
        <v>7531737</v>
      </c>
      <c r="G34" s="13">
        <v>24256417.406595208</v>
      </c>
      <c r="H34">
        <v>0.82242458420821618</v>
      </c>
      <c r="I34">
        <v>185828.57011771912</v>
      </c>
    </row>
    <row r="35" spans="1:9">
      <c r="A35" s="5" t="s">
        <v>119</v>
      </c>
      <c r="B35" s="5" t="s">
        <v>120</v>
      </c>
      <c r="C35" s="5" t="s">
        <v>34</v>
      </c>
      <c r="D35" s="5" t="s">
        <v>35</v>
      </c>
      <c r="E35" s="6">
        <v>53517589</v>
      </c>
      <c r="F35" s="6">
        <v>8155327</v>
      </c>
      <c r="G35" s="13">
        <v>57343282.121061653</v>
      </c>
      <c r="H35">
        <v>0.65571220567072519</v>
      </c>
      <c r="I35">
        <v>0</v>
      </c>
    </row>
    <row r="36" spans="1:9">
      <c r="A36" s="5" t="s">
        <v>121</v>
      </c>
      <c r="B36" s="5" t="s">
        <v>122</v>
      </c>
      <c r="C36" s="5" t="s">
        <v>50</v>
      </c>
      <c r="D36" s="5" t="s">
        <v>51</v>
      </c>
      <c r="E36" s="6">
        <v>64958987</v>
      </c>
      <c r="F36" s="6">
        <v>9587441</v>
      </c>
      <c r="G36" s="13">
        <v>87003942.217024654</v>
      </c>
      <c r="H36">
        <v>0.55759051559973127</v>
      </c>
      <c r="I36">
        <v>0</v>
      </c>
    </row>
    <row r="37" spans="1:9">
      <c r="A37" s="5" t="s">
        <v>123</v>
      </c>
      <c r="B37" s="5" t="s">
        <v>124</v>
      </c>
      <c r="C37" s="5" t="s">
        <v>32</v>
      </c>
      <c r="D37" s="5" t="s">
        <v>33</v>
      </c>
      <c r="E37" s="6">
        <v>40989995</v>
      </c>
      <c r="F37" s="6">
        <v>5461790</v>
      </c>
      <c r="G37" s="13">
        <v>33459787.192873299</v>
      </c>
      <c r="H37">
        <v>0.68779244970516995</v>
      </c>
      <c r="I37">
        <v>0</v>
      </c>
    </row>
    <row r="38" spans="1:9">
      <c r="A38" s="5" t="s">
        <v>127</v>
      </c>
      <c r="B38" s="5" t="s">
        <v>128</v>
      </c>
      <c r="C38" s="5" t="s">
        <v>26</v>
      </c>
      <c r="D38" s="5" t="s">
        <v>27</v>
      </c>
      <c r="E38" s="6">
        <v>44392920</v>
      </c>
      <c r="F38" s="6">
        <v>6858461</v>
      </c>
      <c r="G38" s="13">
        <v>35976695.590754993</v>
      </c>
      <c r="H38">
        <v>0.67241567361223931</v>
      </c>
      <c r="I38">
        <v>0</v>
      </c>
    </row>
    <row r="39" spans="1:9">
      <c r="A39" s="5" t="s">
        <v>129</v>
      </c>
      <c r="B39" s="5" t="s">
        <v>130</v>
      </c>
      <c r="C39" s="5" t="s">
        <v>28</v>
      </c>
      <c r="D39" s="5" t="s">
        <v>29</v>
      </c>
      <c r="E39" s="6">
        <v>31909542</v>
      </c>
      <c r="F39" s="6">
        <v>4438196</v>
      </c>
      <c r="G39" s="13">
        <v>20348925.427602269</v>
      </c>
      <c r="H39">
        <v>0.75076259207659435</v>
      </c>
      <c r="I39">
        <v>0</v>
      </c>
    </row>
    <row r="40" spans="1:9">
      <c r="A40" s="5" t="s">
        <v>131</v>
      </c>
      <c r="B40" s="5" t="s">
        <v>132</v>
      </c>
      <c r="C40" s="5" t="s">
        <v>42</v>
      </c>
      <c r="D40" s="5" t="s">
        <v>43</v>
      </c>
      <c r="E40" s="6">
        <v>68262174</v>
      </c>
      <c r="F40" s="6">
        <v>10508960</v>
      </c>
      <c r="G40" s="13">
        <v>53596200.139392696</v>
      </c>
      <c r="H40">
        <v>0.83218716782158408</v>
      </c>
      <c r="I40">
        <v>262362.64977450942</v>
      </c>
    </row>
    <row r="41" spans="1:9">
      <c r="A41" s="5" t="s">
        <v>133</v>
      </c>
      <c r="B41" s="5" t="s">
        <v>134</v>
      </c>
      <c r="C41" s="5" t="s">
        <v>36</v>
      </c>
      <c r="D41" s="5" t="s">
        <v>37</v>
      </c>
      <c r="E41" s="6">
        <v>46676544</v>
      </c>
      <c r="F41" s="6">
        <v>6469745</v>
      </c>
      <c r="G41" s="13">
        <v>24998051.303422458</v>
      </c>
      <c r="H41">
        <v>0.92399706359661959</v>
      </c>
      <c r="I41">
        <v>179340.76146656735</v>
      </c>
    </row>
    <row r="42" spans="1:9">
      <c r="A42" s="5" t="s">
        <v>135</v>
      </c>
      <c r="B42" s="5" t="s">
        <v>136</v>
      </c>
      <c r="C42" s="5" t="s">
        <v>34</v>
      </c>
      <c r="D42" s="5" t="s">
        <v>35</v>
      </c>
      <c r="E42" s="6">
        <v>61981685</v>
      </c>
      <c r="F42" s="6">
        <v>9072966</v>
      </c>
      <c r="G42" s="13">
        <v>57343282.121061653</v>
      </c>
      <c r="H42">
        <v>0.65571220567072519</v>
      </c>
      <c r="I42">
        <v>0</v>
      </c>
    </row>
    <row r="43" spans="1:9">
      <c r="A43" s="5" t="s">
        <v>137</v>
      </c>
      <c r="B43" s="5" t="s">
        <v>138</v>
      </c>
      <c r="C43" s="5" t="s">
        <v>36</v>
      </c>
      <c r="D43" s="5" t="s">
        <v>37</v>
      </c>
      <c r="E43" s="6">
        <v>51147466</v>
      </c>
      <c r="F43" s="6">
        <v>6862989</v>
      </c>
      <c r="G43" s="13">
        <v>24998051.303422458</v>
      </c>
      <c r="H43">
        <v>0.92399706359661959</v>
      </c>
      <c r="I43">
        <v>190241.45050487699</v>
      </c>
    </row>
    <row r="44" spans="1:9">
      <c r="A44" s="5" t="s">
        <v>139</v>
      </c>
      <c r="B44" s="5" t="s">
        <v>140</v>
      </c>
      <c r="C44" s="5" t="s">
        <v>32</v>
      </c>
      <c r="D44" s="5" t="s">
        <v>33</v>
      </c>
      <c r="E44" s="6">
        <v>40672356</v>
      </c>
      <c r="F44" s="6">
        <v>6215750</v>
      </c>
      <c r="G44" s="13">
        <v>33459787.192873299</v>
      </c>
      <c r="H44">
        <v>0.68779244970516995</v>
      </c>
      <c r="I44">
        <v>0</v>
      </c>
    </row>
    <row r="45" spans="1:9">
      <c r="A45" s="5" t="s">
        <v>141</v>
      </c>
      <c r="B45" s="5" t="s">
        <v>142</v>
      </c>
      <c r="C45" s="5" t="s">
        <v>36</v>
      </c>
      <c r="D45" s="5" t="s">
        <v>37</v>
      </c>
      <c r="E45" s="6">
        <v>37185915</v>
      </c>
      <c r="F45" s="6">
        <v>5271145</v>
      </c>
      <c r="G45" s="13">
        <v>24998051.303422458</v>
      </c>
      <c r="H45">
        <v>0.92399706359661959</v>
      </c>
      <c r="I45">
        <v>146115.67505376012</v>
      </c>
    </row>
    <row r="46" spans="1:9">
      <c r="A46" s="5" t="s">
        <v>147</v>
      </c>
      <c r="B46" s="5" t="s">
        <v>148</v>
      </c>
      <c r="C46" s="5" t="s">
        <v>44</v>
      </c>
      <c r="D46" s="5" t="s">
        <v>45</v>
      </c>
      <c r="E46" s="6">
        <v>30242098</v>
      </c>
      <c r="F46" s="6">
        <v>4661935</v>
      </c>
      <c r="G46" s="13">
        <v>20236562.96523555</v>
      </c>
      <c r="H46">
        <v>0.76772340375633363</v>
      </c>
      <c r="I46">
        <v>0</v>
      </c>
    </row>
    <row r="47" spans="1:9">
      <c r="A47" s="5" t="s">
        <v>149</v>
      </c>
      <c r="B47" s="5" t="s">
        <v>150</v>
      </c>
      <c r="C47" s="5" t="s">
        <v>42</v>
      </c>
      <c r="D47" s="5" t="s">
        <v>43</v>
      </c>
      <c r="E47" s="6">
        <v>83983812</v>
      </c>
      <c r="F47" s="6">
        <v>13047016</v>
      </c>
      <c r="G47" s="13">
        <v>53596200.139392696</v>
      </c>
      <c r="H47">
        <v>0.83218716782158408</v>
      </c>
      <c r="I47">
        <v>325726.77880688675</v>
      </c>
    </row>
    <row r="48" spans="1:9">
      <c r="A48" s="5" t="s">
        <v>151</v>
      </c>
      <c r="B48" s="5" t="s">
        <v>152</v>
      </c>
      <c r="C48" s="5" t="s">
        <v>44</v>
      </c>
      <c r="D48" s="5" t="s">
        <v>45</v>
      </c>
      <c r="E48" s="6">
        <v>39186666</v>
      </c>
      <c r="F48" s="6">
        <v>5258050</v>
      </c>
      <c r="G48" s="13">
        <v>20236562.96523555</v>
      </c>
      <c r="H48">
        <v>0.76772340375633363</v>
      </c>
      <c r="I48">
        <v>0</v>
      </c>
    </row>
    <row r="49" spans="1:9">
      <c r="A49" s="5" t="s">
        <v>153</v>
      </c>
      <c r="B49" s="5" t="s">
        <v>154</v>
      </c>
      <c r="C49" s="5" t="s">
        <v>32</v>
      </c>
      <c r="D49" s="5" t="s">
        <v>33</v>
      </c>
      <c r="E49" s="6">
        <v>36360821</v>
      </c>
      <c r="F49" s="6">
        <v>5532471</v>
      </c>
      <c r="G49" s="13">
        <v>33459787.192873299</v>
      </c>
      <c r="H49">
        <v>0.68779244970516995</v>
      </c>
      <c r="I49">
        <v>0</v>
      </c>
    </row>
    <row r="50" spans="1:9">
      <c r="A50" s="5" t="s">
        <v>155</v>
      </c>
      <c r="B50" s="5" t="s">
        <v>156</v>
      </c>
      <c r="C50" s="5" t="s">
        <v>46</v>
      </c>
      <c r="D50" s="5" t="s">
        <v>47</v>
      </c>
      <c r="E50" s="6">
        <v>27570612</v>
      </c>
      <c r="F50" s="6">
        <v>4334663</v>
      </c>
      <c r="G50" s="13">
        <v>25144241.192302242</v>
      </c>
      <c r="H50">
        <v>0.71722709236185023</v>
      </c>
      <c r="I50">
        <v>0</v>
      </c>
    </row>
    <row r="51" spans="1:9">
      <c r="A51" s="5" t="s">
        <v>157</v>
      </c>
      <c r="B51" s="5" t="s">
        <v>158</v>
      </c>
      <c r="C51" s="5" t="s">
        <v>24</v>
      </c>
      <c r="D51" s="5" t="s">
        <v>25</v>
      </c>
      <c r="E51" s="6">
        <v>59983445</v>
      </c>
      <c r="F51" s="6">
        <v>8285426</v>
      </c>
      <c r="G51" s="13">
        <v>76637222.383450851</v>
      </c>
      <c r="H51">
        <v>0.44838274315406756</v>
      </c>
      <c r="I51">
        <v>0</v>
      </c>
    </row>
    <row r="52" spans="1:9">
      <c r="A52" s="5" t="s">
        <v>159</v>
      </c>
      <c r="B52" s="5" t="s">
        <v>160</v>
      </c>
      <c r="C52" s="5" t="s">
        <v>36</v>
      </c>
      <c r="D52" s="5" t="s">
        <v>37</v>
      </c>
      <c r="E52" s="6">
        <v>32303383</v>
      </c>
      <c r="F52" s="6">
        <v>4494247</v>
      </c>
      <c r="G52" s="13">
        <v>24998051.303422458</v>
      </c>
      <c r="H52">
        <v>0.92399706359661959</v>
      </c>
      <c r="I52">
        <v>124580.1309323375</v>
      </c>
    </row>
    <row r="53" spans="1:9">
      <c r="A53" s="5" t="s">
        <v>161</v>
      </c>
      <c r="B53" s="5" t="s">
        <v>162</v>
      </c>
      <c r="C53" s="5" t="s">
        <v>32</v>
      </c>
      <c r="D53" s="5" t="s">
        <v>33</v>
      </c>
      <c r="E53" s="6">
        <v>39611337</v>
      </c>
      <c r="F53" s="6">
        <v>5803377</v>
      </c>
      <c r="G53" s="13">
        <v>33459787.192873299</v>
      </c>
      <c r="H53">
        <v>0.68779244970516995</v>
      </c>
      <c r="I53">
        <v>0</v>
      </c>
    </row>
    <row r="54" spans="1:9">
      <c r="A54" s="5" t="s">
        <v>165</v>
      </c>
      <c r="B54" s="5" t="s">
        <v>166</v>
      </c>
      <c r="C54" s="5" t="s">
        <v>42</v>
      </c>
      <c r="D54" s="5" t="s">
        <v>43</v>
      </c>
      <c r="E54" s="6">
        <v>81375223</v>
      </c>
      <c r="F54" s="6">
        <v>11625061</v>
      </c>
      <c r="G54" s="13">
        <v>53596200.139392696</v>
      </c>
      <c r="H54">
        <v>0.83218716782158408</v>
      </c>
      <c r="I54">
        <v>290226.79768029455</v>
      </c>
    </row>
    <row r="55" spans="1:9">
      <c r="A55" s="5" t="s">
        <v>167</v>
      </c>
      <c r="B55" s="5" t="s">
        <v>168</v>
      </c>
      <c r="C55" s="5" t="s">
        <v>34</v>
      </c>
      <c r="D55" s="5" t="s">
        <v>35</v>
      </c>
      <c r="E55" s="6">
        <v>76096730</v>
      </c>
      <c r="F55" s="6">
        <v>10829139</v>
      </c>
      <c r="G55" s="13">
        <v>57343282.121061653</v>
      </c>
      <c r="H55">
        <v>0.65571220567072519</v>
      </c>
      <c r="I55">
        <v>0</v>
      </c>
    </row>
    <row r="56" spans="1:9">
      <c r="A56" s="5" t="s">
        <v>169</v>
      </c>
      <c r="B56" s="5" t="s">
        <v>170</v>
      </c>
      <c r="C56" s="5" t="s">
        <v>26</v>
      </c>
      <c r="D56" s="5" t="s">
        <v>27</v>
      </c>
      <c r="E56" s="6">
        <v>41251262</v>
      </c>
      <c r="F56" s="6">
        <v>6220720</v>
      </c>
      <c r="G56" s="13">
        <v>35976695.590754993</v>
      </c>
      <c r="H56">
        <v>0.67241567361223931</v>
      </c>
      <c r="I56">
        <v>0</v>
      </c>
    </row>
    <row r="57" spans="1:9">
      <c r="A57" s="5" t="s">
        <v>171</v>
      </c>
      <c r="B57" s="5" t="s">
        <v>172</v>
      </c>
      <c r="C57" s="5" t="s">
        <v>26</v>
      </c>
      <c r="D57" s="5" t="s">
        <v>27</v>
      </c>
      <c r="E57" s="6">
        <v>46968973</v>
      </c>
      <c r="F57" s="6">
        <v>6764619</v>
      </c>
      <c r="G57" s="13">
        <v>35976695.590754993</v>
      </c>
      <c r="H57">
        <v>0.67241567361223931</v>
      </c>
      <c r="I57">
        <v>0</v>
      </c>
    </row>
    <row r="58" spans="1:9">
      <c r="A58" s="5" t="s">
        <v>173</v>
      </c>
      <c r="B58" s="5" t="s">
        <v>174</v>
      </c>
      <c r="C58" s="5" t="s">
        <v>34</v>
      </c>
      <c r="D58" s="5" t="s">
        <v>35</v>
      </c>
      <c r="E58" s="6">
        <v>64249045</v>
      </c>
      <c r="F58" s="6">
        <v>9542849</v>
      </c>
      <c r="G58" s="13">
        <v>57343282.121061653</v>
      </c>
      <c r="H58">
        <v>0.65571220567072519</v>
      </c>
      <c r="I58">
        <v>0</v>
      </c>
    </row>
    <row r="59" spans="1:9">
      <c r="A59" s="5" t="s">
        <v>175</v>
      </c>
      <c r="B59" s="5" t="s">
        <v>176</v>
      </c>
      <c r="C59" s="5" t="s">
        <v>44</v>
      </c>
      <c r="D59" s="5" t="s">
        <v>45</v>
      </c>
      <c r="E59" s="6">
        <v>37147742</v>
      </c>
      <c r="F59" s="6">
        <v>5616099</v>
      </c>
      <c r="G59" s="13">
        <v>20236562.96523555</v>
      </c>
      <c r="H59">
        <v>0.76772340375633363</v>
      </c>
      <c r="I59">
        <v>0</v>
      </c>
    </row>
    <row r="60" spans="1:9">
      <c r="A60" s="5" t="s">
        <v>177</v>
      </c>
      <c r="B60" s="5" t="s">
        <v>178</v>
      </c>
      <c r="C60" s="5" t="s">
        <v>46</v>
      </c>
      <c r="D60" s="5" t="s">
        <v>47</v>
      </c>
      <c r="E60" s="6">
        <v>35038698</v>
      </c>
      <c r="F60" s="6">
        <v>6082669</v>
      </c>
      <c r="G60" s="13">
        <v>25144241.192302242</v>
      </c>
      <c r="H60">
        <v>0.71722709236185023</v>
      </c>
      <c r="I60">
        <v>0</v>
      </c>
    </row>
    <row r="61" spans="1:9">
      <c r="A61" s="5" t="s">
        <v>179</v>
      </c>
      <c r="B61" s="5" t="s">
        <v>180</v>
      </c>
      <c r="C61" s="5" t="s">
        <v>28</v>
      </c>
      <c r="D61" s="5" t="s">
        <v>29</v>
      </c>
      <c r="E61" s="6">
        <v>36617362</v>
      </c>
      <c r="F61" s="6">
        <v>5911249</v>
      </c>
      <c r="G61" s="13">
        <v>20348925.427602269</v>
      </c>
      <c r="H61">
        <v>0.75076259207659435</v>
      </c>
      <c r="I61">
        <v>0</v>
      </c>
    </row>
    <row r="62" spans="1:9">
      <c r="A62" s="5" t="s">
        <v>181</v>
      </c>
      <c r="B62" s="5" t="s">
        <v>182</v>
      </c>
      <c r="C62" s="5" t="s">
        <v>24</v>
      </c>
      <c r="D62" s="5" t="s">
        <v>25</v>
      </c>
      <c r="E62" s="6">
        <v>37023968</v>
      </c>
      <c r="F62" s="6">
        <v>6522904</v>
      </c>
      <c r="G62" s="13">
        <v>76637222.383450851</v>
      </c>
      <c r="H62">
        <v>0.44838274315406756</v>
      </c>
      <c r="I62">
        <v>0</v>
      </c>
    </row>
    <row r="63" spans="1:9">
      <c r="A63" s="5" t="s">
        <v>183</v>
      </c>
      <c r="B63" s="5" t="s">
        <v>184</v>
      </c>
      <c r="C63" s="5" t="s">
        <v>24</v>
      </c>
      <c r="D63" s="5" t="s">
        <v>25</v>
      </c>
      <c r="E63" s="6">
        <v>50755229</v>
      </c>
      <c r="F63" s="6">
        <v>7230497</v>
      </c>
      <c r="G63" s="13">
        <v>76637222.383450851</v>
      </c>
      <c r="H63">
        <v>0.44838274315406756</v>
      </c>
      <c r="I63">
        <v>0</v>
      </c>
    </row>
    <row r="64" spans="1:9">
      <c r="A64" s="5" t="s">
        <v>185</v>
      </c>
      <c r="B64" s="5" t="s">
        <v>186</v>
      </c>
      <c r="C64" s="5" t="s">
        <v>24</v>
      </c>
      <c r="D64" s="5" t="s">
        <v>25</v>
      </c>
      <c r="E64" s="6">
        <v>39684316</v>
      </c>
      <c r="F64" s="6">
        <v>6482455</v>
      </c>
      <c r="G64" s="13">
        <v>76637222.383450851</v>
      </c>
      <c r="H64">
        <v>0.44838274315406756</v>
      </c>
      <c r="I64">
        <v>0</v>
      </c>
    </row>
    <row r="65" spans="1:9">
      <c r="A65" s="5" t="s">
        <v>187</v>
      </c>
      <c r="B65" s="5" t="s">
        <v>188</v>
      </c>
      <c r="C65" s="5" t="s">
        <v>40</v>
      </c>
      <c r="D65" s="5" t="s">
        <v>41</v>
      </c>
      <c r="E65" s="6">
        <v>43153906</v>
      </c>
      <c r="F65" s="6">
        <v>5880908</v>
      </c>
      <c r="G65" s="13">
        <v>24256417.406595208</v>
      </c>
      <c r="H65">
        <v>0.82242458420821618</v>
      </c>
      <c r="I65">
        <v>145098.09950000315</v>
      </c>
    </row>
    <row r="66" spans="1:9">
      <c r="A66" s="5" t="s">
        <v>189</v>
      </c>
      <c r="B66" s="5" t="s">
        <v>190</v>
      </c>
      <c r="C66" s="5" t="s">
        <v>40</v>
      </c>
      <c r="D66" s="5" t="s">
        <v>41</v>
      </c>
      <c r="E66" s="6">
        <v>45262743</v>
      </c>
      <c r="F66" s="6">
        <v>6530701</v>
      </c>
      <c r="G66" s="13">
        <v>24256417.406595208</v>
      </c>
      <c r="H66">
        <v>0.82242458420821618</v>
      </c>
      <c r="I66">
        <v>161130.27163539545</v>
      </c>
    </row>
    <row r="67" spans="1:9">
      <c r="A67" s="5" t="s">
        <v>191</v>
      </c>
      <c r="B67" s="5" t="s">
        <v>192</v>
      </c>
      <c r="C67" s="5" t="s">
        <v>46</v>
      </c>
      <c r="D67" s="5" t="s">
        <v>47</v>
      </c>
      <c r="E67" s="6">
        <v>29393454</v>
      </c>
      <c r="F67" s="6">
        <v>4295114</v>
      </c>
      <c r="G67" s="13">
        <v>25144241.192302242</v>
      </c>
      <c r="H67">
        <v>0.71722709236185023</v>
      </c>
      <c r="I67">
        <v>0</v>
      </c>
    </row>
    <row r="68" spans="1:9">
      <c r="A68" s="5" t="s">
        <v>193</v>
      </c>
      <c r="B68" s="5" t="s">
        <v>194</v>
      </c>
      <c r="C68" s="5" t="s">
        <v>42</v>
      </c>
      <c r="D68" s="5" t="s">
        <v>43</v>
      </c>
      <c r="E68" s="6">
        <v>54905552</v>
      </c>
      <c r="F68" s="6">
        <v>9365160</v>
      </c>
      <c r="G68" s="13">
        <v>53596200.139392696</v>
      </c>
      <c r="H68">
        <v>0.83218716782158408</v>
      </c>
      <c r="I68">
        <v>233806.97929787959</v>
      </c>
    </row>
    <row r="69" spans="1:9">
      <c r="A69" s="5" t="s">
        <v>195</v>
      </c>
      <c r="B69" s="5" t="s">
        <v>196</v>
      </c>
      <c r="C69" s="5" t="s">
        <v>26</v>
      </c>
      <c r="D69" s="5" t="s">
        <v>27</v>
      </c>
      <c r="E69" s="6">
        <v>22966179</v>
      </c>
      <c r="F69" s="6">
        <v>3934174</v>
      </c>
      <c r="G69" s="13">
        <v>35976695.590754993</v>
      </c>
      <c r="H69">
        <v>0.67241567361223931</v>
      </c>
      <c r="I69">
        <v>0</v>
      </c>
    </row>
    <row r="70" spans="1:9">
      <c r="A70" s="5" t="s">
        <v>232</v>
      </c>
      <c r="B70" s="5" t="s">
        <v>233</v>
      </c>
      <c r="C70" s="5" t="s">
        <v>30</v>
      </c>
      <c r="D70" s="5" t="s">
        <v>31</v>
      </c>
      <c r="E70" s="6">
        <v>15536017</v>
      </c>
      <c r="F70" s="6">
        <v>2729396</v>
      </c>
      <c r="G70" s="13">
        <v>15348181.430790538</v>
      </c>
      <c r="H70">
        <v>0.81039379525756317</v>
      </c>
      <c r="I70">
        <v>66356.567496024349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HECK_TYPE">
                <anchor moveWithCells="1" sizeWithCells="1">
                  <from>
                    <xdr:col>3</xdr:col>
                    <xdr:colOff>647700</xdr:colOff>
                    <xdr:row>2</xdr:row>
                    <xdr:rowOff>152400</xdr:rowOff>
                  </from>
                  <to>
                    <xdr:col>5</xdr:col>
                    <xdr:colOff>520700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StoreTempForA_GP" altText="Clear">
                <anchor moveWithCells="1" sizeWithCells="1">
                  <from>
                    <xdr:col>6</xdr:col>
                    <xdr:colOff>114300</xdr:colOff>
                    <xdr:row>2</xdr:row>
                    <xdr:rowOff>152400</xdr:rowOff>
                  </from>
                  <to>
                    <xdr:col>7</xdr:col>
                    <xdr:colOff>812800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6B52-D59F-9648-925E-A867803C207F}">
  <sheetPr codeName="工作表2"/>
  <dimension ref="A2:P13"/>
  <sheetViews>
    <sheetView workbookViewId="0">
      <selection activeCell="G3" sqref="G3"/>
    </sheetView>
  </sheetViews>
  <sheetFormatPr baseColWidth="10" defaultRowHeight="15"/>
  <cols>
    <col min="7" max="7" width="10.83203125" style="13"/>
  </cols>
  <sheetData>
    <row r="2" spans="1:16">
      <c r="H2" t="s">
        <v>202</v>
      </c>
    </row>
    <row r="3" spans="1:16">
      <c r="H3" t="s">
        <v>206</v>
      </c>
    </row>
    <row r="4" spans="1:16">
      <c r="E4" s="13"/>
      <c r="G4"/>
      <c r="H4" t="s">
        <v>200</v>
      </c>
    </row>
    <row r="5" spans="1:16">
      <c r="E5" s="13"/>
      <c r="G5"/>
      <c r="H5" t="s">
        <v>207</v>
      </c>
    </row>
    <row r="6" spans="1:16">
      <c r="H6" t="s">
        <v>198</v>
      </c>
      <c r="I6" s="3"/>
      <c r="K6" s="3"/>
      <c r="L6" s="3"/>
      <c r="M6" s="3"/>
      <c r="N6" s="3"/>
      <c r="O6" s="3"/>
      <c r="P6" s="3"/>
    </row>
    <row r="10" spans="1:16">
      <c r="A10" s="8" t="s">
        <v>56</v>
      </c>
      <c r="B10" s="8" t="s">
        <v>57</v>
      </c>
      <c r="C10" s="1" t="s">
        <v>3</v>
      </c>
      <c r="D10" s="1" t="s">
        <v>4</v>
      </c>
      <c r="E10" s="1" t="s">
        <v>15</v>
      </c>
      <c r="F10" s="1" t="s">
        <v>16</v>
      </c>
      <c r="G10" s="14"/>
      <c r="H10" s="1"/>
    </row>
    <row r="11" spans="1:16">
      <c r="A11" s="5" t="s">
        <v>117</v>
      </c>
      <c r="B11" s="5" t="s">
        <v>118</v>
      </c>
      <c r="C11" s="5" t="s">
        <v>40</v>
      </c>
      <c r="D11" s="5" t="s">
        <v>41</v>
      </c>
      <c r="E11" s="6">
        <v>1874931</v>
      </c>
    </row>
    <row r="12" spans="1:16">
      <c r="A12" s="5" t="s">
        <v>187</v>
      </c>
      <c r="B12" s="5" t="s">
        <v>188</v>
      </c>
      <c r="C12" s="5" t="s">
        <v>40</v>
      </c>
      <c r="D12" s="5" t="s">
        <v>41</v>
      </c>
      <c r="E12" s="6">
        <v>1546377</v>
      </c>
    </row>
    <row r="13" spans="1:16">
      <c r="A13" s="5" t="s">
        <v>189</v>
      </c>
      <c r="B13" s="5" t="s">
        <v>190</v>
      </c>
      <c r="C13" s="5" t="s">
        <v>40</v>
      </c>
      <c r="D13" s="5" t="s">
        <v>41</v>
      </c>
      <c r="E13" s="6">
        <v>1485332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_TYPE_3pp">
                <anchor moveWithCells="1" sizeWithCells="1">
                  <from>
                    <xdr:col>3</xdr:col>
                    <xdr:colOff>279400</xdr:colOff>
                    <xdr:row>3</xdr:row>
                    <xdr:rowOff>25400</xdr:rowOff>
                  </from>
                  <to>
                    <xdr:col>5</xdr:col>
                    <xdr:colOff>152400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B">
                <anchor moveWithCells="1" sizeWithCells="1">
                  <from>
                    <xdr:col>5</xdr:col>
                    <xdr:colOff>774700</xdr:colOff>
                    <xdr:row>3</xdr:row>
                    <xdr:rowOff>25400</xdr:rowOff>
                  </from>
                  <to>
                    <xdr:col>7</xdr:col>
                    <xdr:colOff>647700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A97E-F585-684D-8A9B-325E679BDFBB}">
  <sheetPr codeName="工作表4"/>
  <dimension ref="A1:Q13"/>
  <sheetViews>
    <sheetView workbookViewId="0">
      <selection activeCell="G16" sqref="G16"/>
    </sheetView>
  </sheetViews>
  <sheetFormatPr baseColWidth="10" defaultRowHeight="15"/>
  <cols>
    <col min="7" max="7" width="12.1640625" customWidth="1"/>
    <col min="8" max="8" width="10.83203125" style="13"/>
    <col min="12" max="12" width="10.83203125" style="15"/>
  </cols>
  <sheetData>
    <row r="1" spans="1:17">
      <c r="C1" s="2"/>
      <c r="D1" s="2"/>
      <c r="E1" s="2"/>
      <c r="F1" s="2"/>
      <c r="G1" s="2"/>
      <c r="H1" s="12"/>
      <c r="I1" s="2"/>
    </row>
    <row r="3" spans="1:17">
      <c r="H3" s="4" t="s">
        <v>201</v>
      </c>
    </row>
    <row r="4" spans="1:17">
      <c r="F4" s="13"/>
      <c r="H4" s="4" t="s">
        <v>209</v>
      </c>
      <c r="J4" s="15"/>
      <c r="L4"/>
    </row>
    <row r="5" spans="1:17">
      <c r="F5" s="13"/>
      <c r="H5" s="4" t="s">
        <v>199</v>
      </c>
      <c r="J5" s="15"/>
      <c r="L5"/>
    </row>
    <row r="6" spans="1:17">
      <c r="H6" s="4" t="s">
        <v>208</v>
      </c>
      <c r="K6" s="3"/>
      <c r="M6" s="3"/>
      <c r="N6" s="3"/>
      <c r="O6" s="3"/>
      <c r="P6" s="3"/>
      <c r="Q6" s="3"/>
    </row>
    <row r="7" spans="1:17">
      <c r="H7" s="4" t="s">
        <v>197</v>
      </c>
    </row>
    <row r="10" spans="1:17">
      <c r="A10" s="8" t="s">
        <v>56</v>
      </c>
      <c r="B10" s="8" t="s">
        <v>57</v>
      </c>
      <c r="C10" s="1" t="s">
        <v>3</v>
      </c>
      <c r="D10" s="1" t="s">
        <v>4</v>
      </c>
      <c r="E10" s="1" t="s">
        <v>21</v>
      </c>
      <c r="F10" s="1" t="s">
        <v>22</v>
      </c>
      <c r="G10" s="1" t="s">
        <v>23</v>
      </c>
      <c r="H10" s="14" t="s">
        <v>2</v>
      </c>
      <c r="I10" s="1" t="s">
        <v>58</v>
      </c>
      <c r="J10" s="1" t="s">
        <v>53</v>
      </c>
      <c r="K10" s="1" t="s">
        <v>7</v>
      </c>
      <c r="L10" s="16" t="s">
        <v>54</v>
      </c>
      <c r="M10" s="1" t="s">
        <v>59</v>
      </c>
      <c r="N10" s="1"/>
    </row>
    <row r="11" spans="1:17">
      <c r="A11" s="5" t="s">
        <v>117</v>
      </c>
      <c r="B11" s="5" t="s">
        <v>118</v>
      </c>
      <c r="C11" s="5" t="s">
        <v>40</v>
      </c>
      <c r="D11" s="5" t="s">
        <v>41</v>
      </c>
      <c r="E11" s="6">
        <v>2427636</v>
      </c>
      <c r="F11" s="6">
        <v>12</v>
      </c>
    </row>
    <row r="12" spans="1:17">
      <c r="A12" s="5" t="s">
        <v>187</v>
      </c>
      <c r="B12" s="5" t="s">
        <v>188</v>
      </c>
      <c r="C12" s="5" t="s">
        <v>40</v>
      </c>
      <c r="D12" s="5" t="s">
        <v>41</v>
      </c>
      <c r="E12" s="6">
        <v>2087727</v>
      </c>
      <c r="F12" s="6">
        <v>7</v>
      </c>
    </row>
    <row r="13" spans="1:17">
      <c r="A13" s="5" t="s">
        <v>189</v>
      </c>
      <c r="B13" s="5" t="s">
        <v>190</v>
      </c>
      <c r="C13" s="5" t="s">
        <v>40</v>
      </c>
      <c r="D13" s="5" t="s">
        <v>41</v>
      </c>
      <c r="E13" s="6">
        <v>1530545</v>
      </c>
      <c r="F13" s="6">
        <v>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ECK_TYPE_CPUStock">
                <anchor moveWithCells="1" sizeWithCells="1">
                  <from>
                    <xdr:col>3</xdr:col>
                    <xdr:colOff>368300</xdr:colOff>
                    <xdr:row>3</xdr:row>
                    <xdr:rowOff>25400</xdr:rowOff>
                  </from>
                  <to>
                    <xdr:col>5</xdr:col>
                    <xdr:colOff>241300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">
                <anchor moveWithCells="1" sizeWithCells="1">
                  <from>
                    <xdr:col>6</xdr:col>
                    <xdr:colOff>12700</xdr:colOff>
                    <xdr:row>3</xdr:row>
                    <xdr:rowOff>12700</xdr:rowOff>
                  </from>
                  <to>
                    <xdr:col>7</xdr:col>
                    <xdr:colOff>609600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80575-C24D-1242-B095-73EA34DFC763}">
  <sheetPr codeName="工作表5"/>
  <dimension ref="A1:Y64"/>
  <sheetViews>
    <sheetView workbookViewId="0">
      <selection activeCell="M14" sqref="M14"/>
    </sheetView>
  </sheetViews>
  <sheetFormatPr baseColWidth="10" defaultRowHeight="15"/>
  <cols>
    <col min="3" max="3" width="13.6640625" bestFit="1" customWidth="1"/>
    <col min="4" max="4" width="14.1640625" bestFit="1" customWidth="1"/>
    <col min="5" max="5" width="13" customWidth="1"/>
  </cols>
  <sheetData>
    <row r="1" spans="1:25">
      <c r="A1" t="s">
        <v>3</v>
      </c>
      <c r="B1" t="s">
        <v>4</v>
      </c>
      <c r="C1" t="s">
        <v>1</v>
      </c>
      <c r="D1" t="s">
        <v>5</v>
      </c>
      <c r="E1" t="s">
        <v>6</v>
      </c>
      <c r="F1" t="s">
        <v>7</v>
      </c>
      <c r="G1" t="s">
        <v>8</v>
      </c>
      <c r="H1" s="17" t="s">
        <v>213</v>
      </c>
      <c r="J1" t="s">
        <v>9</v>
      </c>
      <c r="K1" t="s">
        <v>10</v>
      </c>
      <c r="L1" t="s">
        <v>1</v>
      </c>
      <c r="M1" t="s">
        <v>5</v>
      </c>
      <c r="N1" t="s">
        <v>6</v>
      </c>
      <c r="O1" t="s">
        <v>7</v>
      </c>
      <c r="P1" t="s">
        <v>8</v>
      </c>
    </row>
    <row r="2" spans="1:25" ht="16">
      <c r="A2" s="18" t="s">
        <v>24</v>
      </c>
      <c r="B2" s="19" t="s">
        <v>214</v>
      </c>
      <c r="C2" s="20">
        <v>76637222.383450851</v>
      </c>
      <c r="D2" s="21">
        <v>6.6402154040075101E-2</v>
      </c>
      <c r="E2" s="22">
        <v>10</v>
      </c>
      <c r="F2" s="22">
        <v>10</v>
      </c>
      <c r="G2" s="21">
        <v>52.521484681256943</v>
      </c>
      <c r="H2">
        <v>0.44838274315406756</v>
      </c>
      <c r="S2" s="7" t="s">
        <v>71</v>
      </c>
      <c r="T2" s="7" t="s">
        <v>72</v>
      </c>
      <c r="U2" s="7">
        <v>9811241</v>
      </c>
      <c r="V2">
        <v>0.3</v>
      </c>
      <c r="W2" s="6">
        <f>Y2*80%</f>
        <v>56</v>
      </c>
      <c r="X2">
        <v>100</v>
      </c>
      <c r="Y2">
        <v>70</v>
      </c>
    </row>
    <row r="3" spans="1:25" ht="16">
      <c r="A3" s="18" t="s">
        <v>26</v>
      </c>
      <c r="B3" s="19" t="s">
        <v>215</v>
      </c>
      <c r="C3" s="20">
        <v>35976695.590754993</v>
      </c>
      <c r="D3" s="21">
        <v>6.6504280130910379E-2</v>
      </c>
      <c r="E3" s="22">
        <v>9</v>
      </c>
      <c r="F3" s="22">
        <v>3</v>
      </c>
      <c r="G3" s="21">
        <v>26.970690029907683</v>
      </c>
      <c r="H3">
        <v>0.67241567361223931</v>
      </c>
      <c r="S3" s="7" t="s">
        <v>73</v>
      </c>
      <c r="T3" s="7" t="s">
        <v>74</v>
      </c>
      <c r="U3" s="7">
        <v>12016258</v>
      </c>
      <c r="V3">
        <v>0.3</v>
      </c>
      <c r="W3" s="6">
        <f t="shared" ref="W3:W64" si="0">Y3*80%</f>
        <v>74.400000000000006</v>
      </c>
      <c r="X3">
        <v>120</v>
      </c>
      <c r="Y3">
        <v>93</v>
      </c>
    </row>
    <row r="4" spans="1:25" ht="16">
      <c r="A4" s="18" t="s">
        <v>28</v>
      </c>
      <c r="B4" s="19" t="s">
        <v>216</v>
      </c>
      <c r="C4" s="20">
        <v>20348925.427602269</v>
      </c>
      <c r="D4" s="21">
        <v>6.6324479754861665E-2</v>
      </c>
      <c r="E4" s="22">
        <v>7</v>
      </c>
      <c r="F4" s="22">
        <v>3</v>
      </c>
      <c r="G4" s="21">
        <v>9.461687357231698</v>
      </c>
      <c r="H4">
        <v>0.75076259207659435</v>
      </c>
      <c r="S4" s="7" t="s">
        <v>75</v>
      </c>
      <c r="T4" s="7" t="s">
        <v>76</v>
      </c>
      <c r="U4" s="7">
        <v>6754693</v>
      </c>
      <c r="V4">
        <v>0.3</v>
      </c>
      <c r="W4" s="6">
        <f t="shared" si="0"/>
        <v>64.8</v>
      </c>
      <c r="X4">
        <v>140</v>
      </c>
      <c r="Y4">
        <v>81</v>
      </c>
    </row>
    <row r="5" spans="1:25" ht="16">
      <c r="A5" s="18" t="s">
        <v>30</v>
      </c>
      <c r="B5" s="19" t="s">
        <v>217</v>
      </c>
      <c r="C5" s="20">
        <v>15348181.430790538</v>
      </c>
      <c r="D5" s="21">
        <v>6.6364594549174108E-2</v>
      </c>
      <c r="E5" s="22">
        <v>7</v>
      </c>
      <c r="F5" s="22">
        <v>3</v>
      </c>
      <c r="G5" s="21">
        <v>10.485402071948506</v>
      </c>
      <c r="H5">
        <v>0.81039379525756317</v>
      </c>
      <c r="S5" s="7" t="s">
        <v>77</v>
      </c>
      <c r="T5" s="7" t="s">
        <v>78</v>
      </c>
      <c r="U5" s="7">
        <v>9331268</v>
      </c>
      <c r="V5">
        <v>0.3</v>
      </c>
      <c r="W5" s="6">
        <f t="shared" si="0"/>
        <v>38.400000000000006</v>
      </c>
      <c r="X5">
        <v>80</v>
      </c>
      <c r="Y5">
        <v>48</v>
      </c>
    </row>
    <row r="6" spans="1:25" ht="16">
      <c r="A6" s="18" t="s">
        <v>32</v>
      </c>
      <c r="B6" s="19" t="s">
        <v>218</v>
      </c>
      <c r="C6" s="20">
        <v>33459787.192873299</v>
      </c>
      <c r="D6" s="21">
        <v>6.7096647405470541E-2</v>
      </c>
      <c r="E6" s="22">
        <v>7</v>
      </c>
      <c r="F6" s="22">
        <v>1</v>
      </c>
      <c r="G6" s="21">
        <v>25.995060699093813</v>
      </c>
      <c r="H6">
        <v>0.68779244970516995</v>
      </c>
      <c r="S6" s="7" t="s">
        <v>79</v>
      </c>
      <c r="T6" s="7" t="s">
        <v>80</v>
      </c>
      <c r="U6" s="7">
        <v>5006653</v>
      </c>
      <c r="V6">
        <v>0.3</v>
      </c>
      <c r="W6" s="6">
        <f t="shared" si="0"/>
        <v>31.200000000000003</v>
      </c>
      <c r="X6">
        <v>79</v>
      </c>
      <c r="Y6">
        <v>39</v>
      </c>
    </row>
    <row r="7" spans="1:25" ht="16">
      <c r="A7" s="18" t="s">
        <v>34</v>
      </c>
      <c r="B7" s="19" t="s">
        <v>219</v>
      </c>
      <c r="C7" s="20">
        <v>57343282.121061653</v>
      </c>
      <c r="D7" s="21">
        <v>6.7658207617867658E-2</v>
      </c>
      <c r="E7" s="22">
        <v>14</v>
      </c>
      <c r="F7" s="22">
        <v>10</v>
      </c>
      <c r="G7" s="21">
        <v>35</v>
      </c>
      <c r="H7">
        <v>0.65571220567072519</v>
      </c>
      <c r="S7" s="7" t="s">
        <v>81</v>
      </c>
      <c r="T7" s="7" t="s">
        <v>82</v>
      </c>
      <c r="U7" s="7">
        <v>4692868</v>
      </c>
      <c r="V7">
        <v>0.3</v>
      </c>
      <c r="W7" s="6">
        <f t="shared" si="0"/>
        <v>41.6</v>
      </c>
      <c r="X7">
        <v>37</v>
      </c>
      <c r="Y7">
        <v>52</v>
      </c>
    </row>
    <row r="8" spans="1:25" ht="16">
      <c r="A8" s="18" t="s">
        <v>36</v>
      </c>
      <c r="B8" s="19" t="s">
        <v>220</v>
      </c>
      <c r="C8" s="20">
        <v>24998051.303422458</v>
      </c>
      <c r="D8" s="21">
        <v>6.7013188651282238E-2</v>
      </c>
      <c r="E8" s="22">
        <v>9</v>
      </c>
      <c r="F8" s="22">
        <v>7</v>
      </c>
      <c r="G8" s="21">
        <v>16.67076303933823</v>
      </c>
      <c r="H8">
        <v>0.92399706359661959</v>
      </c>
      <c r="S8" s="7" t="s">
        <v>83</v>
      </c>
      <c r="T8" s="7" t="s">
        <v>84</v>
      </c>
      <c r="U8" s="7">
        <v>4096120</v>
      </c>
      <c r="V8">
        <v>0.3</v>
      </c>
      <c r="W8" s="6">
        <f t="shared" si="0"/>
        <v>67.2</v>
      </c>
      <c r="X8">
        <v>49</v>
      </c>
      <c r="Y8">
        <v>84</v>
      </c>
    </row>
    <row r="9" spans="1:25" ht="16">
      <c r="A9" s="18" t="s">
        <v>38</v>
      </c>
      <c r="B9" s="19" t="s">
        <v>221</v>
      </c>
      <c r="C9" s="20">
        <v>56919365.227615759</v>
      </c>
      <c r="D9" s="21">
        <v>6.7000479066997853E-2</v>
      </c>
      <c r="E9" s="22">
        <v>11</v>
      </c>
      <c r="F9" s="22">
        <v>11</v>
      </c>
      <c r="G9" s="21">
        <v>32.845631722418872</v>
      </c>
      <c r="H9">
        <v>0.7048488302630449</v>
      </c>
      <c r="S9" s="7" t="s">
        <v>85</v>
      </c>
      <c r="T9" s="7" t="s">
        <v>86</v>
      </c>
      <c r="U9" s="7">
        <v>1743983</v>
      </c>
      <c r="V9">
        <v>0.3</v>
      </c>
      <c r="W9" s="6">
        <f t="shared" si="0"/>
        <v>1.6</v>
      </c>
      <c r="X9">
        <v>18</v>
      </c>
      <c r="Y9">
        <v>2</v>
      </c>
    </row>
    <row r="10" spans="1:25" ht="16">
      <c r="A10" s="18" t="s">
        <v>40</v>
      </c>
      <c r="B10" s="19" t="s">
        <v>222</v>
      </c>
      <c r="C10" s="20">
        <v>24256417.406595208</v>
      </c>
      <c r="D10" s="21">
        <v>6.7784015215822946E-2</v>
      </c>
      <c r="E10" s="22">
        <v>10</v>
      </c>
      <c r="F10" s="22">
        <v>7</v>
      </c>
      <c r="G10" s="21">
        <v>11.255826943868168</v>
      </c>
      <c r="H10">
        <v>0.82242458420821618</v>
      </c>
      <c r="S10" s="7" t="s">
        <v>87</v>
      </c>
      <c r="T10" s="7" t="s">
        <v>88</v>
      </c>
      <c r="U10" s="7">
        <v>4468995</v>
      </c>
      <c r="V10">
        <v>0.3</v>
      </c>
      <c r="W10" s="6">
        <f t="shared" si="0"/>
        <v>30.400000000000002</v>
      </c>
      <c r="X10">
        <v>49</v>
      </c>
      <c r="Y10">
        <v>38</v>
      </c>
    </row>
    <row r="11" spans="1:25" ht="16">
      <c r="A11" s="18" t="s">
        <v>42</v>
      </c>
      <c r="B11" s="19" t="s">
        <v>223</v>
      </c>
      <c r="C11" s="20">
        <v>53596200.139392696</v>
      </c>
      <c r="D11" s="21">
        <v>6.7559121668533076E-2</v>
      </c>
      <c r="E11" s="22">
        <v>14</v>
      </c>
      <c r="F11" s="22">
        <v>12</v>
      </c>
      <c r="G11" s="21">
        <v>32.959064189128767</v>
      </c>
      <c r="H11">
        <v>0.83218716782158408</v>
      </c>
      <c r="S11" s="7" t="s">
        <v>89</v>
      </c>
      <c r="T11" s="7" t="s">
        <v>90</v>
      </c>
      <c r="U11" s="7">
        <v>12068129</v>
      </c>
      <c r="V11">
        <v>0.3</v>
      </c>
      <c r="W11" s="6">
        <f t="shared" si="0"/>
        <v>43.2</v>
      </c>
      <c r="X11">
        <v>83</v>
      </c>
      <c r="Y11">
        <v>54</v>
      </c>
    </row>
    <row r="12" spans="1:25" ht="16">
      <c r="A12" s="18" t="s">
        <v>44</v>
      </c>
      <c r="B12" s="19" t="s">
        <v>224</v>
      </c>
      <c r="C12" s="20">
        <v>20236562.96523555</v>
      </c>
      <c r="D12" s="21">
        <v>6.6980023597538532E-2</v>
      </c>
      <c r="E12" s="22">
        <v>8</v>
      </c>
      <c r="F12" s="22">
        <v>2</v>
      </c>
      <c r="G12" s="21">
        <v>12.640527167298558</v>
      </c>
      <c r="H12">
        <v>0.76772340375633363</v>
      </c>
      <c r="S12" s="7" t="s">
        <v>91</v>
      </c>
      <c r="T12" s="7" t="s">
        <v>92</v>
      </c>
      <c r="U12" s="7">
        <v>5651613</v>
      </c>
      <c r="V12">
        <v>0.3</v>
      </c>
      <c r="W12" s="6">
        <f t="shared" si="0"/>
        <v>14.4</v>
      </c>
      <c r="X12">
        <v>81</v>
      </c>
      <c r="Y12">
        <v>18</v>
      </c>
    </row>
    <row r="13" spans="1:25" ht="16">
      <c r="A13" s="18" t="s">
        <v>46</v>
      </c>
      <c r="B13" s="19" t="s">
        <v>225</v>
      </c>
      <c r="C13" s="20">
        <v>25144241.192302242</v>
      </c>
      <c r="D13" s="21">
        <v>6.7110182420592399E-2</v>
      </c>
      <c r="E13" s="22">
        <v>7</v>
      </c>
      <c r="F13" s="22">
        <v>5</v>
      </c>
      <c r="G13" s="21">
        <v>15.971067276592461</v>
      </c>
      <c r="H13">
        <v>0.71722709236185023</v>
      </c>
      <c r="S13" s="7" t="s">
        <v>93</v>
      </c>
      <c r="T13" s="7" t="s">
        <v>94</v>
      </c>
      <c r="U13" s="7">
        <v>6535212</v>
      </c>
      <c r="V13">
        <v>0.3</v>
      </c>
      <c r="W13" s="6">
        <f t="shared" si="0"/>
        <v>75.2</v>
      </c>
      <c r="X13">
        <v>95</v>
      </c>
      <c r="Y13">
        <v>94</v>
      </c>
    </row>
    <row r="14" spans="1:25" ht="16">
      <c r="A14" s="18" t="s">
        <v>48</v>
      </c>
      <c r="B14" s="19" t="s">
        <v>226</v>
      </c>
      <c r="C14" s="20">
        <v>15731744.838707976</v>
      </c>
      <c r="D14" s="21">
        <v>6.697990846149085E-2</v>
      </c>
      <c r="E14" s="22">
        <v>7</v>
      </c>
      <c r="F14" s="22">
        <v>2</v>
      </c>
      <c r="G14" s="21">
        <v>12.17738434954231</v>
      </c>
      <c r="H14">
        <v>0.56986361601427282</v>
      </c>
      <c r="S14" s="7" t="s">
        <v>95</v>
      </c>
      <c r="T14" s="7" t="s">
        <v>96</v>
      </c>
      <c r="U14" s="7">
        <v>14154027</v>
      </c>
      <c r="V14">
        <v>0.3</v>
      </c>
      <c r="W14" s="6">
        <f t="shared" si="0"/>
        <v>6.4</v>
      </c>
      <c r="X14">
        <v>9</v>
      </c>
      <c r="Y14">
        <v>8</v>
      </c>
    </row>
    <row r="15" spans="1:25" ht="16">
      <c r="A15" s="18" t="s">
        <v>50</v>
      </c>
      <c r="B15" s="19" t="s">
        <v>227</v>
      </c>
      <c r="C15" s="20">
        <v>87003942.217024654</v>
      </c>
      <c r="D15" s="21">
        <v>6.6291733176926854E-2</v>
      </c>
      <c r="E15" s="22">
        <v>11</v>
      </c>
      <c r="F15" s="22">
        <v>11</v>
      </c>
      <c r="G15" s="21">
        <v>54.834776783864982</v>
      </c>
      <c r="H15">
        <v>0.55759051559973127</v>
      </c>
      <c r="S15" s="7" t="s">
        <v>97</v>
      </c>
      <c r="T15" s="7" t="s">
        <v>98</v>
      </c>
      <c r="U15" s="7">
        <v>2358895</v>
      </c>
      <c r="V15">
        <v>0.3</v>
      </c>
      <c r="W15" s="6">
        <f t="shared" si="0"/>
        <v>37.6</v>
      </c>
      <c r="X15">
        <v>80</v>
      </c>
      <c r="Y15">
        <v>47</v>
      </c>
    </row>
    <row r="16" spans="1:25">
      <c r="A16" s="5"/>
      <c r="B16" s="5"/>
      <c r="C16" s="6"/>
      <c r="E16" s="11"/>
      <c r="F16" s="6"/>
      <c r="S16" s="7" t="s">
        <v>99</v>
      </c>
      <c r="T16" s="7" t="s">
        <v>100</v>
      </c>
      <c r="U16" s="7">
        <v>11017343</v>
      </c>
      <c r="V16">
        <v>0.3</v>
      </c>
      <c r="W16" s="6">
        <f t="shared" si="0"/>
        <v>59.2</v>
      </c>
      <c r="X16">
        <v>82</v>
      </c>
      <c r="Y16">
        <v>74</v>
      </c>
    </row>
    <row r="17" spans="19:25">
      <c r="S17" s="7" t="s">
        <v>101</v>
      </c>
      <c r="T17" s="7" t="s">
        <v>102</v>
      </c>
      <c r="U17" s="7">
        <v>6668707</v>
      </c>
      <c r="V17">
        <v>0.3</v>
      </c>
      <c r="W17" s="6">
        <f t="shared" si="0"/>
        <v>56</v>
      </c>
      <c r="X17">
        <v>100</v>
      </c>
      <c r="Y17">
        <v>70</v>
      </c>
    </row>
    <row r="18" spans="19:25">
      <c r="S18" s="7" t="s">
        <v>103</v>
      </c>
      <c r="T18" s="7" t="s">
        <v>104</v>
      </c>
      <c r="U18" s="7">
        <v>11526320</v>
      </c>
      <c r="V18">
        <v>0.3</v>
      </c>
      <c r="W18" s="6">
        <f t="shared" si="0"/>
        <v>74.400000000000006</v>
      </c>
      <c r="X18">
        <v>120</v>
      </c>
      <c r="Y18">
        <v>93</v>
      </c>
    </row>
    <row r="19" spans="19:25">
      <c r="S19" s="7" t="s">
        <v>105</v>
      </c>
      <c r="T19" s="7" t="s">
        <v>106</v>
      </c>
      <c r="U19" s="7">
        <v>12115011</v>
      </c>
      <c r="V19">
        <v>0.3</v>
      </c>
      <c r="W19" s="6">
        <f t="shared" si="0"/>
        <v>64.8</v>
      </c>
      <c r="X19">
        <v>140</v>
      </c>
      <c r="Y19">
        <v>81</v>
      </c>
    </row>
    <row r="20" spans="19:25">
      <c r="S20" s="7" t="s">
        <v>107</v>
      </c>
      <c r="T20" s="7" t="s">
        <v>108</v>
      </c>
      <c r="U20" s="7">
        <v>5488760</v>
      </c>
      <c r="V20">
        <v>0.3</v>
      </c>
      <c r="W20" s="6">
        <f t="shared" si="0"/>
        <v>38.400000000000006</v>
      </c>
      <c r="X20">
        <v>80</v>
      </c>
      <c r="Y20">
        <v>48</v>
      </c>
    </row>
    <row r="21" spans="19:25">
      <c r="S21" s="7" t="s">
        <v>109</v>
      </c>
      <c r="T21" s="7" t="s">
        <v>110</v>
      </c>
      <c r="U21" s="7">
        <v>2248300</v>
      </c>
      <c r="V21">
        <v>0.3</v>
      </c>
      <c r="W21" s="6">
        <f t="shared" si="0"/>
        <v>31.200000000000003</v>
      </c>
      <c r="X21">
        <v>79</v>
      </c>
      <c r="Y21">
        <v>39</v>
      </c>
    </row>
    <row r="22" spans="19:25">
      <c r="S22" s="7" t="s">
        <v>111</v>
      </c>
      <c r="T22" s="7" t="s">
        <v>112</v>
      </c>
      <c r="U22" s="7">
        <v>6827571</v>
      </c>
      <c r="V22">
        <v>0.3</v>
      </c>
      <c r="W22" s="6">
        <f t="shared" si="0"/>
        <v>41.6</v>
      </c>
      <c r="X22">
        <v>37</v>
      </c>
      <c r="Y22">
        <v>52</v>
      </c>
    </row>
    <row r="23" spans="19:25">
      <c r="S23" s="7" t="s">
        <v>113</v>
      </c>
      <c r="T23" s="7" t="s">
        <v>114</v>
      </c>
      <c r="U23" s="7">
        <v>5688981</v>
      </c>
      <c r="V23">
        <v>0.3</v>
      </c>
      <c r="W23" s="6">
        <f t="shared" si="0"/>
        <v>67.2</v>
      </c>
      <c r="X23">
        <v>49</v>
      </c>
      <c r="Y23">
        <v>84</v>
      </c>
    </row>
    <row r="24" spans="19:25">
      <c r="S24" s="7" t="s">
        <v>115</v>
      </c>
      <c r="T24" s="7" t="s">
        <v>116</v>
      </c>
      <c r="U24" s="7">
        <v>11655246</v>
      </c>
      <c r="V24">
        <v>0.3</v>
      </c>
      <c r="W24" s="6">
        <f t="shared" si="0"/>
        <v>1.6</v>
      </c>
      <c r="X24">
        <v>18</v>
      </c>
      <c r="Y24">
        <v>2</v>
      </c>
    </row>
    <row r="25" spans="19:25">
      <c r="S25" s="7" t="s">
        <v>117</v>
      </c>
      <c r="T25" s="7" t="s">
        <v>118</v>
      </c>
      <c r="U25" s="7">
        <v>9811241</v>
      </c>
      <c r="V25">
        <v>0.3</v>
      </c>
      <c r="W25" s="6">
        <f t="shared" si="0"/>
        <v>30.400000000000002</v>
      </c>
      <c r="X25">
        <v>49</v>
      </c>
      <c r="Y25">
        <v>38</v>
      </c>
    </row>
    <row r="26" spans="19:25">
      <c r="S26" s="7" t="s">
        <v>119</v>
      </c>
      <c r="T26" s="7" t="s">
        <v>120</v>
      </c>
      <c r="U26" s="7">
        <v>12016258</v>
      </c>
      <c r="V26">
        <v>0.3</v>
      </c>
      <c r="W26" s="6">
        <f t="shared" si="0"/>
        <v>43.2</v>
      </c>
      <c r="X26">
        <v>83</v>
      </c>
      <c r="Y26">
        <v>54</v>
      </c>
    </row>
    <row r="27" spans="19:25">
      <c r="S27" s="7" t="s">
        <v>121</v>
      </c>
      <c r="T27" s="7" t="s">
        <v>122</v>
      </c>
      <c r="U27" s="7">
        <v>6754693</v>
      </c>
      <c r="V27">
        <v>0.3</v>
      </c>
      <c r="W27" s="6">
        <f t="shared" si="0"/>
        <v>14.4</v>
      </c>
      <c r="X27">
        <v>81</v>
      </c>
      <c r="Y27">
        <v>18</v>
      </c>
    </row>
    <row r="28" spans="19:25">
      <c r="S28" s="7" t="s">
        <v>123</v>
      </c>
      <c r="T28" s="7" t="s">
        <v>124</v>
      </c>
      <c r="U28" s="7">
        <v>9331268</v>
      </c>
      <c r="V28">
        <v>0.3</v>
      </c>
      <c r="W28" s="6">
        <f t="shared" si="0"/>
        <v>75.2</v>
      </c>
      <c r="X28">
        <v>95</v>
      </c>
      <c r="Y28">
        <v>94</v>
      </c>
    </row>
    <row r="29" spans="19:25">
      <c r="S29" s="7" t="s">
        <v>125</v>
      </c>
      <c r="T29" s="7" t="s">
        <v>126</v>
      </c>
      <c r="U29" s="7">
        <v>5006653</v>
      </c>
      <c r="V29">
        <v>0.3</v>
      </c>
      <c r="W29" s="6">
        <f t="shared" si="0"/>
        <v>6.4</v>
      </c>
      <c r="X29">
        <v>9</v>
      </c>
      <c r="Y29">
        <v>8</v>
      </c>
    </row>
    <row r="30" spans="19:25">
      <c r="S30" s="7" t="s">
        <v>127</v>
      </c>
      <c r="T30" s="7" t="s">
        <v>128</v>
      </c>
      <c r="U30" s="7">
        <v>4692868</v>
      </c>
      <c r="V30">
        <v>0.3</v>
      </c>
      <c r="W30" s="6">
        <f t="shared" si="0"/>
        <v>37.6</v>
      </c>
      <c r="X30">
        <v>80</v>
      </c>
      <c r="Y30">
        <v>47</v>
      </c>
    </row>
    <row r="31" spans="19:25">
      <c r="S31" s="7" t="s">
        <v>129</v>
      </c>
      <c r="T31" s="7" t="s">
        <v>130</v>
      </c>
      <c r="U31" s="7">
        <v>4096120</v>
      </c>
      <c r="V31">
        <v>0.3</v>
      </c>
      <c r="W31" s="6">
        <f t="shared" si="0"/>
        <v>59.2</v>
      </c>
      <c r="X31">
        <v>82</v>
      </c>
      <c r="Y31">
        <v>74</v>
      </c>
    </row>
    <row r="32" spans="19:25">
      <c r="S32" s="7" t="s">
        <v>131</v>
      </c>
      <c r="T32" s="7" t="s">
        <v>132</v>
      </c>
      <c r="U32" s="7">
        <v>1743983</v>
      </c>
      <c r="V32">
        <v>0.3</v>
      </c>
      <c r="W32" s="6">
        <f t="shared" si="0"/>
        <v>56</v>
      </c>
      <c r="X32">
        <v>100</v>
      </c>
      <c r="Y32">
        <v>70</v>
      </c>
    </row>
    <row r="33" spans="19:25">
      <c r="S33" s="7" t="s">
        <v>133</v>
      </c>
      <c r="T33" s="7" t="s">
        <v>134</v>
      </c>
      <c r="U33" s="7">
        <v>4468995</v>
      </c>
      <c r="V33">
        <v>0.3</v>
      </c>
      <c r="W33" s="6">
        <f t="shared" si="0"/>
        <v>74.400000000000006</v>
      </c>
      <c r="X33">
        <v>120</v>
      </c>
      <c r="Y33">
        <v>93</v>
      </c>
    </row>
    <row r="34" spans="19:25">
      <c r="S34" s="7" t="s">
        <v>135</v>
      </c>
      <c r="T34" s="7" t="s">
        <v>136</v>
      </c>
      <c r="U34" s="7">
        <v>12068129</v>
      </c>
      <c r="V34">
        <v>0.3</v>
      </c>
      <c r="W34" s="6">
        <f t="shared" si="0"/>
        <v>64.8</v>
      </c>
      <c r="X34">
        <v>140</v>
      </c>
      <c r="Y34">
        <v>81</v>
      </c>
    </row>
    <row r="35" spans="19:25">
      <c r="S35" s="7" t="s">
        <v>137</v>
      </c>
      <c r="T35" s="7" t="s">
        <v>138</v>
      </c>
      <c r="U35" s="7">
        <v>5651613</v>
      </c>
      <c r="V35">
        <v>0.3</v>
      </c>
      <c r="W35" s="6">
        <f t="shared" si="0"/>
        <v>38.400000000000006</v>
      </c>
      <c r="X35">
        <v>80</v>
      </c>
      <c r="Y35">
        <v>48</v>
      </c>
    </row>
    <row r="36" spans="19:25">
      <c r="S36" s="7" t="s">
        <v>139</v>
      </c>
      <c r="T36" s="7" t="s">
        <v>140</v>
      </c>
      <c r="U36" s="7">
        <v>6535212</v>
      </c>
      <c r="V36">
        <v>0.3</v>
      </c>
      <c r="W36" s="6">
        <f t="shared" si="0"/>
        <v>31.200000000000003</v>
      </c>
      <c r="X36">
        <v>79</v>
      </c>
      <c r="Y36">
        <v>39</v>
      </c>
    </row>
    <row r="37" spans="19:25">
      <c r="S37" s="7" t="s">
        <v>141</v>
      </c>
      <c r="T37" s="7" t="s">
        <v>142</v>
      </c>
      <c r="U37" s="7">
        <v>14154027</v>
      </c>
      <c r="V37">
        <v>0.3</v>
      </c>
      <c r="W37" s="6">
        <f t="shared" si="0"/>
        <v>41.6</v>
      </c>
      <c r="X37">
        <v>37</v>
      </c>
      <c r="Y37">
        <v>52</v>
      </c>
    </row>
    <row r="38" spans="19:25">
      <c r="S38" s="7" t="s">
        <v>143</v>
      </c>
      <c r="T38" s="7" t="s">
        <v>144</v>
      </c>
      <c r="U38" s="7">
        <v>2358895</v>
      </c>
      <c r="V38">
        <v>0.3</v>
      </c>
      <c r="W38" s="6">
        <f t="shared" si="0"/>
        <v>67.2</v>
      </c>
      <c r="X38">
        <v>49</v>
      </c>
      <c r="Y38">
        <v>84</v>
      </c>
    </row>
    <row r="39" spans="19:25">
      <c r="S39" s="7" t="s">
        <v>145</v>
      </c>
      <c r="T39" s="7" t="s">
        <v>146</v>
      </c>
      <c r="U39" s="7">
        <v>11017343</v>
      </c>
      <c r="V39">
        <v>0.3</v>
      </c>
      <c r="W39" s="6">
        <f t="shared" si="0"/>
        <v>1.6</v>
      </c>
      <c r="X39">
        <v>18</v>
      </c>
      <c r="Y39">
        <v>2</v>
      </c>
    </row>
    <row r="40" spans="19:25">
      <c r="S40" s="7" t="s">
        <v>147</v>
      </c>
      <c r="T40" s="7" t="s">
        <v>148</v>
      </c>
      <c r="U40" s="7">
        <v>6668707</v>
      </c>
      <c r="V40">
        <v>0.3</v>
      </c>
      <c r="W40" s="6">
        <f t="shared" si="0"/>
        <v>30.400000000000002</v>
      </c>
      <c r="X40">
        <v>49</v>
      </c>
      <c r="Y40">
        <v>38</v>
      </c>
    </row>
    <row r="41" spans="19:25">
      <c r="S41" s="7" t="s">
        <v>149</v>
      </c>
      <c r="T41" s="7" t="s">
        <v>150</v>
      </c>
      <c r="U41" s="7">
        <v>11526320</v>
      </c>
      <c r="V41">
        <v>0.3</v>
      </c>
      <c r="W41" s="6">
        <f t="shared" si="0"/>
        <v>43.2</v>
      </c>
      <c r="X41">
        <v>83</v>
      </c>
      <c r="Y41">
        <v>54</v>
      </c>
    </row>
    <row r="42" spans="19:25">
      <c r="S42" s="7" t="s">
        <v>151</v>
      </c>
      <c r="T42" s="7" t="s">
        <v>152</v>
      </c>
      <c r="U42" s="7">
        <v>12115011</v>
      </c>
      <c r="V42">
        <v>0.3</v>
      </c>
      <c r="W42" s="6">
        <f t="shared" si="0"/>
        <v>14.4</v>
      </c>
      <c r="X42">
        <v>81</v>
      </c>
      <c r="Y42">
        <v>18</v>
      </c>
    </row>
    <row r="43" spans="19:25">
      <c r="S43" s="7" t="s">
        <v>153</v>
      </c>
      <c r="T43" s="7" t="s">
        <v>154</v>
      </c>
      <c r="U43" s="7">
        <v>5488760</v>
      </c>
      <c r="V43">
        <v>0.3</v>
      </c>
      <c r="W43" s="6">
        <f t="shared" si="0"/>
        <v>75.2</v>
      </c>
      <c r="X43">
        <v>95</v>
      </c>
      <c r="Y43">
        <v>94</v>
      </c>
    </row>
    <row r="44" spans="19:25">
      <c r="S44" s="7" t="s">
        <v>155</v>
      </c>
      <c r="T44" s="7" t="s">
        <v>156</v>
      </c>
      <c r="U44" s="7">
        <v>2248300</v>
      </c>
      <c r="V44">
        <v>0.3</v>
      </c>
      <c r="W44" s="6">
        <f t="shared" si="0"/>
        <v>6.4</v>
      </c>
      <c r="X44">
        <v>9</v>
      </c>
      <c r="Y44">
        <v>8</v>
      </c>
    </row>
    <row r="45" spans="19:25">
      <c r="S45" s="7" t="s">
        <v>157</v>
      </c>
      <c r="T45" s="7" t="s">
        <v>158</v>
      </c>
      <c r="U45" s="7">
        <v>6827571</v>
      </c>
      <c r="V45">
        <v>0.3</v>
      </c>
      <c r="W45" s="6">
        <f t="shared" si="0"/>
        <v>37.6</v>
      </c>
      <c r="X45">
        <v>80</v>
      </c>
      <c r="Y45">
        <v>47</v>
      </c>
    </row>
    <row r="46" spans="19:25">
      <c r="S46" s="7" t="s">
        <v>159</v>
      </c>
      <c r="T46" s="7" t="s">
        <v>160</v>
      </c>
      <c r="U46" s="7">
        <v>5688981</v>
      </c>
      <c r="V46">
        <v>0.3</v>
      </c>
      <c r="W46" s="6">
        <f t="shared" si="0"/>
        <v>59.2</v>
      </c>
      <c r="X46">
        <v>82</v>
      </c>
      <c r="Y46">
        <v>74</v>
      </c>
    </row>
    <row r="47" spans="19:25">
      <c r="S47" s="7" t="s">
        <v>161</v>
      </c>
      <c r="T47" s="7" t="s">
        <v>162</v>
      </c>
      <c r="U47" s="7">
        <v>11655246</v>
      </c>
      <c r="V47">
        <v>0.3</v>
      </c>
      <c r="W47" s="6">
        <f t="shared" si="0"/>
        <v>56</v>
      </c>
      <c r="X47">
        <v>100</v>
      </c>
      <c r="Y47">
        <v>70</v>
      </c>
    </row>
    <row r="48" spans="19:25">
      <c r="S48" s="7" t="s">
        <v>163</v>
      </c>
      <c r="T48" s="7" t="s">
        <v>164</v>
      </c>
      <c r="U48" s="7">
        <v>9811241</v>
      </c>
      <c r="V48">
        <v>0.3</v>
      </c>
      <c r="W48" s="6">
        <f t="shared" si="0"/>
        <v>74.400000000000006</v>
      </c>
      <c r="X48">
        <v>120</v>
      </c>
      <c r="Y48">
        <v>93</v>
      </c>
    </row>
    <row r="49" spans="19:25">
      <c r="S49" s="7" t="s">
        <v>165</v>
      </c>
      <c r="T49" s="7" t="s">
        <v>166</v>
      </c>
      <c r="U49" s="7">
        <v>12016258</v>
      </c>
      <c r="V49">
        <v>0.3</v>
      </c>
      <c r="W49" s="6">
        <f t="shared" si="0"/>
        <v>64.8</v>
      </c>
      <c r="X49">
        <v>140</v>
      </c>
      <c r="Y49">
        <v>81</v>
      </c>
    </row>
    <row r="50" spans="19:25">
      <c r="S50" s="7" t="s">
        <v>167</v>
      </c>
      <c r="T50" s="7" t="s">
        <v>168</v>
      </c>
      <c r="U50" s="7">
        <v>6754693</v>
      </c>
      <c r="V50">
        <v>0.3</v>
      </c>
      <c r="W50" s="6">
        <f t="shared" si="0"/>
        <v>38.400000000000006</v>
      </c>
      <c r="X50">
        <v>80</v>
      </c>
      <c r="Y50">
        <v>48</v>
      </c>
    </row>
    <row r="51" spans="19:25">
      <c r="S51" s="7" t="s">
        <v>169</v>
      </c>
      <c r="T51" s="7" t="s">
        <v>170</v>
      </c>
      <c r="U51" s="7">
        <v>9331268</v>
      </c>
      <c r="V51">
        <v>0.3</v>
      </c>
      <c r="W51" s="6">
        <f t="shared" si="0"/>
        <v>31.200000000000003</v>
      </c>
      <c r="X51">
        <v>79</v>
      </c>
      <c r="Y51">
        <v>39</v>
      </c>
    </row>
    <row r="52" spans="19:25">
      <c r="S52" s="7" t="s">
        <v>171</v>
      </c>
      <c r="T52" s="7" t="s">
        <v>172</v>
      </c>
      <c r="U52" s="7">
        <v>5006653</v>
      </c>
      <c r="V52">
        <v>0.3</v>
      </c>
      <c r="W52" s="6">
        <f t="shared" si="0"/>
        <v>41.6</v>
      </c>
      <c r="X52">
        <v>37</v>
      </c>
      <c r="Y52">
        <v>52</v>
      </c>
    </row>
    <row r="53" spans="19:25">
      <c r="S53" s="7" t="s">
        <v>173</v>
      </c>
      <c r="T53" s="7" t="s">
        <v>174</v>
      </c>
      <c r="U53" s="7">
        <v>4692868</v>
      </c>
      <c r="V53">
        <v>0.3</v>
      </c>
      <c r="W53" s="6">
        <f t="shared" si="0"/>
        <v>67.2</v>
      </c>
      <c r="X53">
        <v>49</v>
      </c>
      <c r="Y53">
        <v>84</v>
      </c>
    </row>
    <row r="54" spans="19:25">
      <c r="S54" s="7" t="s">
        <v>175</v>
      </c>
      <c r="T54" s="7" t="s">
        <v>176</v>
      </c>
      <c r="U54" s="7">
        <v>4096120</v>
      </c>
      <c r="V54">
        <v>0.3</v>
      </c>
      <c r="W54" s="6">
        <f t="shared" si="0"/>
        <v>1.6</v>
      </c>
      <c r="X54">
        <v>18</v>
      </c>
      <c r="Y54">
        <v>2</v>
      </c>
    </row>
    <row r="55" spans="19:25">
      <c r="S55" s="7" t="s">
        <v>177</v>
      </c>
      <c r="T55" s="7" t="s">
        <v>178</v>
      </c>
      <c r="U55" s="7">
        <v>1743983</v>
      </c>
      <c r="V55">
        <v>0.3</v>
      </c>
      <c r="W55" s="6">
        <f t="shared" si="0"/>
        <v>30.400000000000002</v>
      </c>
      <c r="X55">
        <v>49</v>
      </c>
      <c r="Y55">
        <v>38</v>
      </c>
    </row>
    <row r="56" spans="19:25">
      <c r="S56" s="7" t="s">
        <v>179</v>
      </c>
      <c r="T56" s="7" t="s">
        <v>180</v>
      </c>
      <c r="U56" s="7">
        <v>4468995</v>
      </c>
      <c r="V56">
        <v>0.3</v>
      </c>
      <c r="W56" s="6">
        <f t="shared" si="0"/>
        <v>43.2</v>
      </c>
      <c r="X56">
        <v>83</v>
      </c>
      <c r="Y56">
        <v>54</v>
      </c>
    </row>
    <row r="57" spans="19:25">
      <c r="S57" s="7" t="s">
        <v>181</v>
      </c>
      <c r="T57" s="7" t="s">
        <v>182</v>
      </c>
      <c r="U57" s="7">
        <v>12068129</v>
      </c>
      <c r="V57">
        <v>0.3</v>
      </c>
      <c r="W57" s="6">
        <f t="shared" si="0"/>
        <v>14.4</v>
      </c>
      <c r="X57">
        <v>81</v>
      </c>
      <c r="Y57">
        <v>18</v>
      </c>
    </row>
    <row r="58" spans="19:25">
      <c r="S58" s="7" t="s">
        <v>183</v>
      </c>
      <c r="T58" s="7" t="s">
        <v>184</v>
      </c>
      <c r="U58" s="7">
        <v>5651613</v>
      </c>
      <c r="V58">
        <v>0.3</v>
      </c>
      <c r="W58" s="6">
        <f t="shared" si="0"/>
        <v>75.2</v>
      </c>
      <c r="X58">
        <v>95</v>
      </c>
      <c r="Y58">
        <v>94</v>
      </c>
    </row>
    <row r="59" spans="19:25">
      <c r="S59" s="7" t="s">
        <v>185</v>
      </c>
      <c r="T59" s="7" t="s">
        <v>186</v>
      </c>
      <c r="U59" s="7">
        <v>6535212</v>
      </c>
      <c r="V59">
        <v>0.3</v>
      </c>
      <c r="W59" s="6">
        <f t="shared" si="0"/>
        <v>6.4</v>
      </c>
      <c r="X59">
        <v>9</v>
      </c>
      <c r="Y59">
        <v>8</v>
      </c>
    </row>
    <row r="60" spans="19:25">
      <c r="S60" s="7" t="s">
        <v>187</v>
      </c>
      <c r="T60" s="7" t="s">
        <v>188</v>
      </c>
      <c r="U60" s="7">
        <v>14154027</v>
      </c>
      <c r="V60">
        <v>0.3</v>
      </c>
      <c r="W60" s="6">
        <f t="shared" si="0"/>
        <v>37.6</v>
      </c>
      <c r="X60">
        <v>80</v>
      </c>
      <c r="Y60">
        <v>47</v>
      </c>
    </row>
    <row r="61" spans="19:25">
      <c r="S61" s="7" t="s">
        <v>189</v>
      </c>
      <c r="T61" s="7" t="s">
        <v>190</v>
      </c>
      <c r="U61" s="7">
        <v>2358895</v>
      </c>
      <c r="V61">
        <v>0.3</v>
      </c>
      <c r="W61" s="6">
        <f t="shared" si="0"/>
        <v>59.2</v>
      </c>
      <c r="X61">
        <v>82</v>
      </c>
      <c r="Y61">
        <v>74</v>
      </c>
    </row>
    <row r="62" spans="19:25">
      <c r="S62" s="7" t="s">
        <v>191</v>
      </c>
      <c r="T62" s="7" t="s">
        <v>192</v>
      </c>
      <c r="U62" s="7">
        <v>11017343</v>
      </c>
      <c r="V62">
        <v>0.3</v>
      </c>
      <c r="W62" s="6">
        <f t="shared" si="0"/>
        <v>56</v>
      </c>
      <c r="X62">
        <v>100</v>
      </c>
      <c r="Y62">
        <v>70</v>
      </c>
    </row>
    <row r="63" spans="19:25">
      <c r="S63" s="7" t="s">
        <v>193</v>
      </c>
      <c r="T63" s="7" t="s">
        <v>194</v>
      </c>
      <c r="U63" s="7">
        <v>6668707</v>
      </c>
      <c r="V63">
        <v>0.3</v>
      </c>
      <c r="W63" s="6">
        <f t="shared" si="0"/>
        <v>74.400000000000006</v>
      </c>
      <c r="X63">
        <v>120</v>
      </c>
      <c r="Y63">
        <v>93</v>
      </c>
    </row>
    <row r="64" spans="19:25">
      <c r="S64" s="7" t="s">
        <v>195</v>
      </c>
      <c r="T64" s="7" t="s">
        <v>196</v>
      </c>
      <c r="U64" s="7">
        <v>11526320</v>
      </c>
      <c r="V64">
        <v>0.3</v>
      </c>
      <c r="W64" s="6">
        <f t="shared" si="0"/>
        <v>64.8</v>
      </c>
      <c r="X64">
        <v>140</v>
      </c>
      <c r="Y64">
        <v>81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0CAE7-5738-3D41-A871-777346562D8A}">
  <sheetPr codeName="工作表6"/>
  <dimension ref="A1:Y61"/>
  <sheetViews>
    <sheetView workbookViewId="0">
      <selection activeCell="G25" sqref="G25"/>
    </sheetView>
  </sheetViews>
  <sheetFormatPr baseColWidth="10" defaultRowHeight="15"/>
  <cols>
    <col min="11" max="11" width="10.83203125" style="13"/>
    <col min="14" max="14" width="10.83203125" style="13"/>
    <col min="19" max="19" width="10.83203125" style="13"/>
  </cols>
  <sheetData>
    <row r="1" spans="1:25">
      <c r="A1" t="s">
        <v>56</v>
      </c>
      <c r="B1" t="s">
        <v>57</v>
      </c>
      <c r="C1" t="s">
        <v>3</v>
      </c>
      <c r="D1" t="s">
        <v>4</v>
      </c>
      <c r="E1" t="s">
        <v>212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211</v>
      </c>
      <c r="M1" s="13" t="s">
        <v>17</v>
      </c>
      <c r="N1" t="s">
        <v>18</v>
      </c>
      <c r="O1" t="s">
        <v>52</v>
      </c>
      <c r="P1" s="13" t="s">
        <v>19</v>
      </c>
      <c r="Q1" t="s">
        <v>20</v>
      </c>
      <c r="R1" t="s">
        <v>60</v>
      </c>
      <c r="S1" t="s">
        <v>66</v>
      </c>
      <c r="T1" t="s">
        <v>61</v>
      </c>
      <c r="U1" s="13" t="s">
        <v>62</v>
      </c>
      <c r="V1" t="s">
        <v>63</v>
      </c>
      <c r="W1" t="s">
        <v>64</v>
      </c>
      <c r="X1" t="s">
        <v>65</v>
      </c>
      <c r="Y1" t="s">
        <v>67</v>
      </c>
    </row>
    <row r="2" spans="1:25">
      <c r="A2" t="s">
        <v>71</v>
      </c>
      <c r="B2" t="s">
        <v>72</v>
      </c>
      <c r="C2" t="s">
        <v>50</v>
      </c>
      <c r="D2" t="s">
        <v>51</v>
      </c>
      <c r="E2">
        <v>22727</v>
      </c>
      <c r="F2">
        <v>5727</v>
      </c>
      <c r="G2">
        <v>87003942.217024654</v>
      </c>
      <c r="H2">
        <v>0.55759051559973127</v>
      </c>
      <c r="I2">
        <v>0</v>
      </c>
    </row>
    <row r="3" spans="1:25">
      <c r="A3" t="s">
        <v>73</v>
      </c>
      <c r="B3" t="s">
        <v>74</v>
      </c>
      <c r="C3" t="s">
        <v>48</v>
      </c>
      <c r="D3" t="s">
        <v>49</v>
      </c>
      <c r="E3">
        <v>29984280</v>
      </c>
      <c r="F3">
        <v>4255593</v>
      </c>
      <c r="G3">
        <v>15731744.838707976</v>
      </c>
      <c r="H3">
        <v>0.56986361601427282</v>
      </c>
      <c r="I3">
        <v>0</v>
      </c>
    </row>
    <row r="4" spans="1:25">
      <c r="A4" t="s">
        <v>75</v>
      </c>
      <c r="B4" t="s">
        <v>76</v>
      </c>
      <c r="C4" t="s">
        <v>26</v>
      </c>
      <c r="D4" t="s">
        <v>27</v>
      </c>
      <c r="E4">
        <v>4041818</v>
      </c>
      <c r="F4">
        <v>413321</v>
      </c>
      <c r="G4">
        <v>35976695.590754993</v>
      </c>
      <c r="H4">
        <v>0.67241567361223931</v>
      </c>
      <c r="I4">
        <v>0</v>
      </c>
    </row>
    <row r="5" spans="1:25">
      <c r="A5" t="s">
        <v>77</v>
      </c>
      <c r="B5" t="s">
        <v>78</v>
      </c>
      <c r="C5" t="s">
        <v>34</v>
      </c>
      <c r="D5" t="s">
        <v>35</v>
      </c>
      <c r="E5">
        <v>1975526</v>
      </c>
      <c r="F5">
        <v>409</v>
      </c>
      <c r="G5">
        <v>57343282.121061653</v>
      </c>
      <c r="H5">
        <v>0.65571220567072519</v>
      </c>
      <c r="I5">
        <v>0</v>
      </c>
    </row>
    <row r="6" spans="1:25">
      <c r="A6" t="s">
        <v>228</v>
      </c>
      <c r="B6" t="s">
        <v>229</v>
      </c>
      <c r="C6" t="s">
        <v>40</v>
      </c>
      <c r="D6" t="s">
        <v>41</v>
      </c>
      <c r="E6">
        <v>22727</v>
      </c>
      <c r="F6">
        <v>5727</v>
      </c>
      <c r="G6">
        <v>24256417.406595208</v>
      </c>
      <c r="H6">
        <v>0.82242458420821618</v>
      </c>
      <c r="I6">
        <v>141.30076781281363</v>
      </c>
      <c r="R6">
        <v>0</v>
      </c>
      <c r="S6" s="13">
        <v>12</v>
      </c>
      <c r="W6">
        <v>0</v>
      </c>
      <c r="X6">
        <v>0</v>
      </c>
      <c r="Y6">
        <v>0</v>
      </c>
    </row>
    <row r="7" spans="1:25">
      <c r="A7" t="s">
        <v>79</v>
      </c>
      <c r="B7" t="s">
        <v>80</v>
      </c>
      <c r="C7" t="s">
        <v>50</v>
      </c>
      <c r="D7" t="s">
        <v>51</v>
      </c>
      <c r="E7">
        <v>37054179</v>
      </c>
      <c r="F7">
        <v>5046894</v>
      </c>
      <c r="G7">
        <v>87003942.217024654</v>
      </c>
      <c r="H7">
        <v>0.55759051559973127</v>
      </c>
      <c r="I7">
        <v>0</v>
      </c>
    </row>
    <row r="8" spans="1:25">
      <c r="A8" t="s">
        <v>81</v>
      </c>
      <c r="B8" t="s">
        <v>82</v>
      </c>
      <c r="C8" t="s">
        <v>50</v>
      </c>
      <c r="D8" t="s">
        <v>51</v>
      </c>
      <c r="E8">
        <v>60347913</v>
      </c>
      <c r="F8">
        <v>7479821</v>
      </c>
      <c r="G8">
        <v>87003942.217024654</v>
      </c>
      <c r="H8">
        <v>0.55759051559973127</v>
      </c>
      <c r="I8">
        <v>0</v>
      </c>
    </row>
    <row r="9" spans="1:25">
      <c r="A9" t="s">
        <v>85</v>
      </c>
      <c r="B9" t="s">
        <v>86</v>
      </c>
      <c r="C9" t="s">
        <v>38</v>
      </c>
      <c r="D9" t="s">
        <v>39</v>
      </c>
      <c r="E9">
        <v>183236</v>
      </c>
      <c r="F9">
        <v>-191277</v>
      </c>
      <c r="G9">
        <v>56919365.227615759</v>
      </c>
      <c r="H9">
        <v>0.7048488302630449</v>
      </c>
      <c r="I9">
        <v>0</v>
      </c>
    </row>
    <row r="10" spans="1:25">
      <c r="A10" t="s">
        <v>87</v>
      </c>
      <c r="B10" t="s">
        <v>88</v>
      </c>
      <c r="C10" t="s">
        <v>50</v>
      </c>
      <c r="D10" t="s">
        <v>51</v>
      </c>
      <c r="E10">
        <v>59523086</v>
      </c>
      <c r="F10">
        <v>8181550</v>
      </c>
      <c r="G10">
        <v>87003942.217024654</v>
      </c>
      <c r="H10">
        <v>0.55759051559973127</v>
      </c>
      <c r="I10">
        <v>0</v>
      </c>
    </row>
    <row r="11" spans="1:25">
      <c r="A11" t="s">
        <v>89</v>
      </c>
      <c r="B11" t="s">
        <v>90</v>
      </c>
      <c r="C11" t="s">
        <v>38</v>
      </c>
      <c r="D11" t="s">
        <v>39</v>
      </c>
      <c r="E11">
        <v>74616808</v>
      </c>
      <c r="F11">
        <v>11845385</v>
      </c>
      <c r="G11">
        <v>56919365.227615759</v>
      </c>
      <c r="H11">
        <v>0.7048488302630449</v>
      </c>
      <c r="I11">
        <v>0</v>
      </c>
    </row>
    <row r="12" spans="1:25">
      <c r="A12" t="s">
        <v>91</v>
      </c>
      <c r="B12" t="s">
        <v>92</v>
      </c>
      <c r="C12" t="s">
        <v>50</v>
      </c>
      <c r="D12" t="s">
        <v>51</v>
      </c>
      <c r="E12">
        <v>61285791</v>
      </c>
      <c r="F12">
        <v>8775852</v>
      </c>
      <c r="G12">
        <v>87003942.217024654</v>
      </c>
      <c r="H12">
        <v>0.55759051559973127</v>
      </c>
      <c r="I12">
        <v>0</v>
      </c>
    </row>
    <row r="13" spans="1:25">
      <c r="A13" t="s">
        <v>93</v>
      </c>
      <c r="B13" t="s">
        <v>94</v>
      </c>
      <c r="C13" t="s">
        <v>38</v>
      </c>
      <c r="D13" t="s">
        <v>39</v>
      </c>
      <c r="E13">
        <v>38950230</v>
      </c>
      <c r="F13">
        <v>5398592</v>
      </c>
      <c r="G13">
        <v>56919365.227615759</v>
      </c>
      <c r="H13">
        <v>0.7048488302630449</v>
      </c>
      <c r="I13">
        <v>0</v>
      </c>
    </row>
    <row r="14" spans="1:25">
      <c r="A14" t="s">
        <v>95</v>
      </c>
      <c r="B14" t="s">
        <v>96</v>
      </c>
      <c r="C14" t="s">
        <v>30</v>
      </c>
      <c r="D14" t="s">
        <v>31</v>
      </c>
      <c r="E14">
        <v>27343732</v>
      </c>
      <c r="F14">
        <v>4189054</v>
      </c>
      <c r="G14">
        <v>15348181.430790538</v>
      </c>
      <c r="H14">
        <v>0.81039379525756317</v>
      </c>
      <c r="I14">
        <v>101843.50108796627</v>
      </c>
    </row>
    <row r="15" spans="1:25">
      <c r="A15" t="s">
        <v>97</v>
      </c>
      <c r="B15" t="s">
        <v>98</v>
      </c>
      <c r="C15" t="s">
        <v>48</v>
      </c>
      <c r="D15" t="s">
        <v>49</v>
      </c>
      <c r="E15">
        <v>35583747</v>
      </c>
      <c r="F15">
        <v>4709357</v>
      </c>
      <c r="G15">
        <v>15731744.838707976</v>
      </c>
      <c r="H15">
        <v>0.56986361601427282</v>
      </c>
      <c r="I15">
        <v>0</v>
      </c>
    </row>
    <row r="16" spans="1:25">
      <c r="A16" t="s">
        <v>99</v>
      </c>
      <c r="B16" t="s">
        <v>100</v>
      </c>
      <c r="C16" t="s">
        <v>28</v>
      </c>
      <c r="D16" t="s">
        <v>29</v>
      </c>
      <c r="E16">
        <v>32985453</v>
      </c>
      <c r="F16">
        <v>4927767</v>
      </c>
      <c r="G16">
        <v>20348925.427602269</v>
      </c>
      <c r="H16">
        <v>0.75076259207659435</v>
      </c>
      <c r="I16">
        <v>0</v>
      </c>
    </row>
    <row r="17" spans="1:25">
      <c r="A17" t="s">
        <v>101</v>
      </c>
      <c r="B17" t="s">
        <v>102</v>
      </c>
      <c r="C17" t="s">
        <v>24</v>
      </c>
      <c r="D17" t="s">
        <v>25</v>
      </c>
      <c r="E17">
        <v>16488455</v>
      </c>
      <c r="F17">
        <v>2713567</v>
      </c>
      <c r="G17">
        <v>76637222.383450851</v>
      </c>
      <c r="H17">
        <v>0.44838274315406756</v>
      </c>
      <c r="I17">
        <v>0</v>
      </c>
    </row>
    <row r="18" spans="1:25">
      <c r="A18" t="s">
        <v>103</v>
      </c>
      <c r="B18" t="s">
        <v>104</v>
      </c>
      <c r="C18" t="s">
        <v>46</v>
      </c>
      <c r="D18" t="s">
        <v>47</v>
      </c>
      <c r="E18">
        <v>24034540</v>
      </c>
      <c r="F18">
        <v>3321685</v>
      </c>
      <c r="G18">
        <v>25144241.192302242</v>
      </c>
      <c r="H18">
        <v>0.71722709236185023</v>
      </c>
      <c r="I18">
        <v>0</v>
      </c>
    </row>
    <row r="19" spans="1:25">
      <c r="A19" t="s">
        <v>105</v>
      </c>
      <c r="B19" t="s">
        <v>106</v>
      </c>
      <c r="C19" t="s">
        <v>38</v>
      </c>
      <c r="D19" t="s">
        <v>39</v>
      </c>
      <c r="E19">
        <v>83789439</v>
      </c>
      <c r="F19">
        <v>11505690</v>
      </c>
      <c r="G19">
        <v>56919365.227615759</v>
      </c>
      <c r="H19">
        <v>0.7048488302630449</v>
      </c>
      <c r="I19">
        <v>0</v>
      </c>
    </row>
    <row r="20" spans="1:25">
      <c r="A20" t="s">
        <v>107</v>
      </c>
      <c r="B20" t="s">
        <v>108</v>
      </c>
      <c r="C20" t="s">
        <v>30</v>
      </c>
      <c r="D20" t="s">
        <v>31</v>
      </c>
      <c r="E20">
        <v>36184849</v>
      </c>
      <c r="F20">
        <v>5519621</v>
      </c>
      <c r="G20">
        <v>15348181.430790538</v>
      </c>
      <c r="H20">
        <v>0.81039379525756317</v>
      </c>
      <c r="I20">
        <v>134191.9983172004</v>
      </c>
    </row>
    <row r="21" spans="1:25">
      <c r="A21" t="s">
        <v>230</v>
      </c>
      <c r="B21" t="s">
        <v>231</v>
      </c>
      <c r="C21" t="s">
        <v>42</v>
      </c>
      <c r="D21" t="s">
        <v>43</v>
      </c>
      <c r="E21">
        <v>205273</v>
      </c>
      <c r="F21">
        <v>55873</v>
      </c>
      <c r="G21">
        <v>53596200.139392696</v>
      </c>
      <c r="H21">
        <v>0.83218716782158408</v>
      </c>
      <c r="I21">
        <v>1394.903808830861</v>
      </c>
    </row>
    <row r="22" spans="1:25">
      <c r="A22" t="s">
        <v>109</v>
      </c>
      <c r="B22" t="s">
        <v>110</v>
      </c>
      <c r="C22" t="s">
        <v>24</v>
      </c>
      <c r="D22" t="s">
        <v>25</v>
      </c>
      <c r="E22">
        <v>22321015</v>
      </c>
      <c r="F22">
        <v>3127959</v>
      </c>
      <c r="G22">
        <v>76637222.383450851</v>
      </c>
      <c r="H22">
        <v>0.44838274315406756</v>
      </c>
      <c r="I22">
        <v>0</v>
      </c>
    </row>
    <row r="23" spans="1:25">
      <c r="A23" t="s">
        <v>111</v>
      </c>
      <c r="B23" t="s">
        <v>112</v>
      </c>
      <c r="C23" t="s">
        <v>38</v>
      </c>
      <c r="D23" t="s">
        <v>39</v>
      </c>
      <c r="E23">
        <v>77951905</v>
      </c>
      <c r="F23">
        <v>11561157</v>
      </c>
      <c r="G23">
        <v>56919365.227615759</v>
      </c>
      <c r="H23">
        <v>0.7048488302630449</v>
      </c>
      <c r="I23">
        <v>0</v>
      </c>
    </row>
    <row r="24" spans="1:25">
      <c r="A24" t="s">
        <v>115</v>
      </c>
      <c r="B24" t="s">
        <v>116</v>
      </c>
      <c r="C24" t="s">
        <v>50</v>
      </c>
      <c r="D24" t="s">
        <v>51</v>
      </c>
      <c r="E24">
        <v>64021834</v>
      </c>
      <c r="F24">
        <v>9435287</v>
      </c>
      <c r="G24">
        <v>87003942.217024654</v>
      </c>
      <c r="H24">
        <v>0.55759051559973127</v>
      </c>
      <c r="I24">
        <v>0</v>
      </c>
    </row>
    <row r="25" spans="1:25">
      <c r="A25" t="s">
        <v>117</v>
      </c>
      <c r="B25" t="s">
        <v>118</v>
      </c>
      <c r="C25" t="s">
        <v>40</v>
      </c>
      <c r="D25" t="s">
        <v>41</v>
      </c>
      <c r="E25">
        <v>61903633</v>
      </c>
      <c r="F25">
        <v>7531737</v>
      </c>
      <c r="G25">
        <v>24256417.406595208</v>
      </c>
      <c r="H25">
        <v>0.82242458420821618</v>
      </c>
      <c r="I25">
        <v>185828.57011771912</v>
      </c>
      <c r="J25">
        <v>1874931</v>
      </c>
      <c r="L25">
        <v>3.0287899257867467E-2</v>
      </c>
      <c r="M25">
        <v>0.10095966419289155</v>
      </c>
      <c r="N25" s="13">
        <v>0.5</v>
      </c>
      <c r="O25">
        <v>92914.285058859561</v>
      </c>
      <c r="R25">
        <v>0</v>
      </c>
      <c r="S25" s="13">
        <v>12</v>
      </c>
      <c r="W25">
        <v>0</v>
      </c>
      <c r="X25">
        <v>0</v>
      </c>
      <c r="Y25">
        <v>0</v>
      </c>
    </row>
    <row r="26" spans="1:25">
      <c r="A26" t="s">
        <v>119</v>
      </c>
      <c r="B26" t="s">
        <v>120</v>
      </c>
      <c r="C26" t="s">
        <v>34</v>
      </c>
      <c r="D26" t="s">
        <v>35</v>
      </c>
      <c r="E26">
        <v>53517589</v>
      </c>
      <c r="F26">
        <v>8155327</v>
      </c>
      <c r="G26">
        <v>57343282.121061653</v>
      </c>
      <c r="H26">
        <v>0.65571220567072519</v>
      </c>
      <c r="I26">
        <v>0</v>
      </c>
    </row>
    <row r="27" spans="1:25">
      <c r="A27" t="s">
        <v>121</v>
      </c>
      <c r="B27" t="s">
        <v>122</v>
      </c>
      <c r="C27" t="s">
        <v>50</v>
      </c>
      <c r="D27" t="s">
        <v>51</v>
      </c>
      <c r="E27">
        <v>64958987</v>
      </c>
      <c r="F27">
        <v>9587441</v>
      </c>
      <c r="G27">
        <v>87003942.217024654</v>
      </c>
      <c r="H27">
        <v>0.55759051559973127</v>
      </c>
      <c r="I27">
        <v>0</v>
      </c>
    </row>
    <row r="28" spans="1:25">
      <c r="A28" t="s">
        <v>123</v>
      </c>
      <c r="B28" t="s">
        <v>124</v>
      </c>
      <c r="C28" t="s">
        <v>32</v>
      </c>
      <c r="D28" t="s">
        <v>33</v>
      </c>
      <c r="E28">
        <v>40989995</v>
      </c>
      <c r="F28">
        <v>5461790</v>
      </c>
      <c r="G28">
        <v>33459787.192873299</v>
      </c>
      <c r="H28">
        <v>0.68779244970516995</v>
      </c>
      <c r="I28">
        <v>0</v>
      </c>
    </row>
    <row r="29" spans="1:25">
      <c r="A29" t="s">
        <v>127</v>
      </c>
      <c r="B29" t="s">
        <v>128</v>
      </c>
      <c r="C29" t="s">
        <v>26</v>
      </c>
      <c r="D29" t="s">
        <v>27</v>
      </c>
      <c r="E29">
        <v>44392920</v>
      </c>
      <c r="F29">
        <v>6858461</v>
      </c>
      <c r="G29">
        <v>35976695.590754993</v>
      </c>
      <c r="H29">
        <v>0.67241567361223931</v>
      </c>
      <c r="I29">
        <v>0</v>
      </c>
    </row>
    <row r="30" spans="1:25">
      <c r="A30" t="s">
        <v>129</v>
      </c>
      <c r="B30" t="s">
        <v>130</v>
      </c>
      <c r="C30" t="s">
        <v>28</v>
      </c>
      <c r="D30" t="s">
        <v>29</v>
      </c>
      <c r="E30">
        <v>31909542</v>
      </c>
      <c r="F30">
        <v>4438196</v>
      </c>
      <c r="G30">
        <v>20348925.427602269</v>
      </c>
      <c r="H30">
        <v>0.75076259207659435</v>
      </c>
      <c r="I30">
        <v>0</v>
      </c>
    </row>
    <row r="31" spans="1:25">
      <c r="A31" t="s">
        <v>131</v>
      </c>
      <c r="B31" t="s">
        <v>132</v>
      </c>
      <c r="C31" t="s">
        <v>42</v>
      </c>
      <c r="D31" t="s">
        <v>43</v>
      </c>
      <c r="E31">
        <v>68262174</v>
      </c>
      <c r="F31">
        <v>10508960</v>
      </c>
      <c r="G31">
        <v>53596200.139392696</v>
      </c>
      <c r="H31">
        <v>0.83218716782158408</v>
      </c>
      <c r="I31">
        <v>262362.64977450942</v>
      </c>
    </row>
    <row r="32" spans="1:25">
      <c r="A32" t="s">
        <v>133</v>
      </c>
      <c r="B32" t="s">
        <v>134</v>
      </c>
      <c r="C32" t="s">
        <v>36</v>
      </c>
      <c r="D32" t="s">
        <v>37</v>
      </c>
      <c r="E32">
        <v>46676544</v>
      </c>
      <c r="F32">
        <v>6469745</v>
      </c>
      <c r="G32">
        <v>24998051.303422458</v>
      </c>
      <c r="H32">
        <v>0.92399706359661959</v>
      </c>
      <c r="I32">
        <v>179340.76146656735</v>
      </c>
    </row>
    <row r="33" spans="1:9">
      <c r="A33" t="s">
        <v>135</v>
      </c>
      <c r="B33" t="s">
        <v>136</v>
      </c>
      <c r="C33" t="s">
        <v>34</v>
      </c>
      <c r="D33" t="s">
        <v>35</v>
      </c>
      <c r="E33">
        <v>61981685</v>
      </c>
      <c r="F33">
        <v>9072966</v>
      </c>
      <c r="G33">
        <v>57343282.121061653</v>
      </c>
      <c r="H33">
        <v>0.65571220567072519</v>
      </c>
      <c r="I33">
        <v>0</v>
      </c>
    </row>
    <row r="34" spans="1:9">
      <c r="A34" t="s">
        <v>137</v>
      </c>
      <c r="B34" t="s">
        <v>138</v>
      </c>
      <c r="C34" t="s">
        <v>36</v>
      </c>
      <c r="D34" t="s">
        <v>37</v>
      </c>
      <c r="E34">
        <v>51147466</v>
      </c>
      <c r="F34">
        <v>6862989</v>
      </c>
      <c r="G34">
        <v>24998051.303422458</v>
      </c>
      <c r="H34">
        <v>0.92399706359661959</v>
      </c>
      <c r="I34">
        <v>190241.45050487699</v>
      </c>
    </row>
    <row r="35" spans="1:9">
      <c r="A35" t="s">
        <v>139</v>
      </c>
      <c r="B35" t="s">
        <v>140</v>
      </c>
      <c r="C35" t="s">
        <v>32</v>
      </c>
      <c r="D35" t="s">
        <v>33</v>
      </c>
      <c r="E35">
        <v>40672356</v>
      </c>
      <c r="F35">
        <v>6215750</v>
      </c>
      <c r="G35">
        <v>33459787.192873299</v>
      </c>
      <c r="H35">
        <v>0.68779244970516995</v>
      </c>
      <c r="I35">
        <v>0</v>
      </c>
    </row>
    <row r="36" spans="1:9">
      <c r="A36" t="s">
        <v>141</v>
      </c>
      <c r="B36" t="s">
        <v>142</v>
      </c>
      <c r="C36" t="s">
        <v>36</v>
      </c>
      <c r="D36" t="s">
        <v>37</v>
      </c>
      <c r="E36">
        <v>37185915</v>
      </c>
      <c r="F36">
        <v>5271145</v>
      </c>
      <c r="G36">
        <v>24998051.303422458</v>
      </c>
      <c r="H36">
        <v>0.92399706359661959</v>
      </c>
      <c r="I36">
        <v>146115.67505376012</v>
      </c>
    </row>
    <row r="37" spans="1:9">
      <c r="A37" t="s">
        <v>147</v>
      </c>
      <c r="B37" t="s">
        <v>148</v>
      </c>
      <c r="C37" t="s">
        <v>44</v>
      </c>
      <c r="D37" t="s">
        <v>45</v>
      </c>
      <c r="E37">
        <v>30242098</v>
      </c>
      <c r="F37">
        <v>4661935</v>
      </c>
      <c r="G37">
        <v>20236562.96523555</v>
      </c>
      <c r="H37">
        <v>0.76772340375633363</v>
      </c>
      <c r="I37">
        <v>0</v>
      </c>
    </row>
    <row r="38" spans="1:9">
      <c r="A38" t="s">
        <v>149</v>
      </c>
      <c r="B38" t="s">
        <v>150</v>
      </c>
      <c r="C38" t="s">
        <v>42</v>
      </c>
      <c r="D38" t="s">
        <v>43</v>
      </c>
      <c r="E38">
        <v>83983812</v>
      </c>
      <c r="F38">
        <v>13047016</v>
      </c>
      <c r="G38">
        <v>53596200.139392696</v>
      </c>
      <c r="H38">
        <v>0.83218716782158408</v>
      </c>
      <c r="I38">
        <v>325726.77880688675</v>
      </c>
    </row>
    <row r="39" spans="1:9">
      <c r="A39" t="s">
        <v>151</v>
      </c>
      <c r="B39" t="s">
        <v>152</v>
      </c>
      <c r="C39" t="s">
        <v>44</v>
      </c>
      <c r="D39" t="s">
        <v>45</v>
      </c>
      <c r="E39">
        <v>39186666</v>
      </c>
      <c r="F39">
        <v>5258050</v>
      </c>
      <c r="G39">
        <v>20236562.96523555</v>
      </c>
      <c r="H39">
        <v>0.76772340375633363</v>
      </c>
      <c r="I39">
        <v>0</v>
      </c>
    </row>
    <row r="40" spans="1:9">
      <c r="A40" t="s">
        <v>153</v>
      </c>
      <c r="B40" t="s">
        <v>154</v>
      </c>
      <c r="C40" t="s">
        <v>32</v>
      </c>
      <c r="D40" t="s">
        <v>33</v>
      </c>
      <c r="E40">
        <v>36360821</v>
      </c>
      <c r="F40">
        <v>5532471</v>
      </c>
      <c r="G40">
        <v>33459787.192873299</v>
      </c>
      <c r="H40">
        <v>0.68779244970516995</v>
      </c>
      <c r="I40">
        <v>0</v>
      </c>
    </row>
    <row r="41" spans="1:9">
      <c r="A41" t="s">
        <v>155</v>
      </c>
      <c r="B41" t="s">
        <v>156</v>
      </c>
      <c r="C41" t="s">
        <v>46</v>
      </c>
      <c r="D41" t="s">
        <v>47</v>
      </c>
      <c r="E41">
        <v>27570612</v>
      </c>
      <c r="F41">
        <v>4334663</v>
      </c>
      <c r="G41">
        <v>25144241.192302242</v>
      </c>
      <c r="H41">
        <v>0.71722709236185023</v>
      </c>
      <c r="I41">
        <v>0</v>
      </c>
    </row>
    <row r="42" spans="1:9">
      <c r="A42" t="s">
        <v>157</v>
      </c>
      <c r="B42" t="s">
        <v>158</v>
      </c>
      <c r="C42" t="s">
        <v>24</v>
      </c>
      <c r="D42" t="s">
        <v>25</v>
      </c>
      <c r="E42">
        <v>59983445</v>
      </c>
      <c r="F42">
        <v>8285426</v>
      </c>
      <c r="G42">
        <v>76637222.383450851</v>
      </c>
      <c r="H42">
        <v>0.44838274315406756</v>
      </c>
      <c r="I42">
        <v>0</v>
      </c>
    </row>
    <row r="43" spans="1:9">
      <c r="A43" t="s">
        <v>159</v>
      </c>
      <c r="B43" t="s">
        <v>160</v>
      </c>
      <c r="C43" t="s">
        <v>36</v>
      </c>
      <c r="D43" t="s">
        <v>37</v>
      </c>
      <c r="E43">
        <v>32303383</v>
      </c>
      <c r="F43">
        <v>4494247</v>
      </c>
      <c r="G43">
        <v>24998051.303422458</v>
      </c>
      <c r="H43">
        <v>0.92399706359661959</v>
      </c>
      <c r="I43">
        <v>124580.1309323375</v>
      </c>
    </row>
    <row r="44" spans="1:9">
      <c r="A44" t="s">
        <v>161</v>
      </c>
      <c r="B44" t="s">
        <v>162</v>
      </c>
      <c r="C44" t="s">
        <v>32</v>
      </c>
      <c r="D44" t="s">
        <v>33</v>
      </c>
      <c r="E44">
        <v>39611337</v>
      </c>
      <c r="F44">
        <v>5803377</v>
      </c>
      <c r="G44">
        <v>33459787.192873299</v>
      </c>
      <c r="H44">
        <v>0.68779244970516995</v>
      </c>
      <c r="I44">
        <v>0</v>
      </c>
    </row>
    <row r="45" spans="1:9">
      <c r="A45" t="s">
        <v>165</v>
      </c>
      <c r="B45" t="s">
        <v>166</v>
      </c>
      <c r="C45" t="s">
        <v>42</v>
      </c>
      <c r="D45" t="s">
        <v>43</v>
      </c>
      <c r="E45">
        <v>81375223</v>
      </c>
      <c r="F45">
        <v>11625061</v>
      </c>
      <c r="G45">
        <v>53596200.139392696</v>
      </c>
      <c r="H45">
        <v>0.83218716782158408</v>
      </c>
      <c r="I45">
        <v>290226.79768029455</v>
      </c>
    </row>
    <row r="46" spans="1:9">
      <c r="A46" t="s">
        <v>167</v>
      </c>
      <c r="B46" t="s">
        <v>168</v>
      </c>
      <c r="C46" t="s">
        <v>34</v>
      </c>
      <c r="D46" t="s">
        <v>35</v>
      </c>
      <c r="E46">
        <v>76096730</v>
      </c>
      <c r="F46">
        <v>10829139</v>
      </c>
      <c r="G46">
        <v>57343282.121061653</v>
      </c>
      <c r="H46">
        <v>0.65571220567072519</v>
      </c>
      <c r="I46">
        <v>0</v>
      </c>
    </row>
    <row r="47" spans="1:9">
      <c r="A47" t="s">
        <v>169</v>
      </c>
      <c r="B47" t="s">
        <v>170</v>
      </c>
      <c r="C47" t="s">
        <v>26</v>
      </c>
      <c r="D47" t="s">
        <v>27</v>
      </c>
      <c r="E47">
        <v>41251262</v>
      </c>
      <c r="F47">
        <v>6220720</v>
      </c>
      <c r="G47">
        <v>35976695.590754993</v>
      </c>
      <c r="H47">
        <v>0.67241567361223931</v>
      </c>
      <c r="I47">
        <v>0</v>
      </c>
    </row>
    <row r="48" spans="1:9">
      <c r="A48" t="s">
        <v>171</v>
      </c>
      <c r="B48" t="s">
        <v>172</v>
      </c>
      <c r="C48" t="s">
        <v>26</v>
      </c>
      <c r="D48" t="s">
        <v>27</v>
      </c>
      <c r="E48">
        <v>46968973</v>
      </c>
      <c r="F48">
        <v>6764619</v>
      </c>
      <c r="G48">
        <v>35976695.590754993</v>
      </c>
      <c r="H48">
        <v>0.67241567361223931</v>
      </c>
      <c r="I48">
        <v>0</v>
      </c>
    </row>
    <row r="49" spans="1:25">
      <c r="A49" t="s">
        <v>173</v>
      </c>
      <c r="B49" t="s">
        <v>174</v>
      </c>
      <c r="C49" t="s">
        <v>34</v>
      </c>
      <c r="D49" t="s">
        <v>35</v>
      </c>
      <c r="E49">
        <v>64249045</v>
      </c>
      <c r="F49">
        <v>9542849</v>
      </c>
      <c r="G49">
        <v>57343282.121061653</v>
      </c>
      <c r="H49">
        <v>0.65571220567072519</v>
      </c>
      <c r="I49">
        <v>0</v>
      </c>
    </row>
    <row r="50" spans="1:25">
      <c r="A50" t="s">
        <v>175</v>
      </c>
      <c r="B50" t="s">
        <v>176</v>
      </c>
      <c r="C50" t="s">
        <v>44</v>
      </c>
      <c r="D50" t="s">
        <v>45</v>
      </c>
      <c r="E50">
        <v>37147742</v>
      </c>
      <c r="F50">
        <v>5616099</v>
      </c>
      <c r="G50">
        <v>20236562.96523555</v>
      </c>
      <c r="H50">
        <v>0.76772340375633363</v>
      </c>
      <c r="I50">
        <v>0</v>
      </c>
    </row>
    <row r="51" spans="1:25">
      <c r="A51" t="s">
        <v>177</v>
      </c>
      <c r="B51" t="s">
        <v>178</v>
      </c>
      <c r="C51" t="s">
        <v>46</v>
      </c>
      <c r="D51" t="s">
        <v>47</v>
      </c>
      <c r="E51">
        <v>35038698</v>
      </c>
      <c r="F51">
        <v>6082669</v>
      </c>
      <c r="G51">
        <v>25144241.192302242</v>
      </c>
      <c r="H51">
        <v>0.71722709236185023</v>
      </c>
      <c r="I51">
        <v>0</v>
      </c>
    </row>
    <row r="52" spans="1:25">
      <c r="A52" t="s">
        <v>179</v>
      </c>
      <c r="B52" t="s">
        <v>180</v>
      </c>
      <c r="C52" t="s">
        <v>28</v>
      </c>
      <c r="D52" t="s">
        <v>29</v>
      </c>
      <c r="E52">
        <v>36617362</v>
      </c>
      <c r="F52">
        <v>5911249</v>
      </c>
      <c r="G52">
        <v>20348925.427602269</v>
      </c>
      <c r="H52">
        <v>0.75076259207659435</v>
      </c>
      <c r="I52">
        <v>0</v>
      </c>
    </row>
    <row r="53" spans="1:25">
      <c r="A53" t="s">
        <v>181</v>
      </c>
      <c r="B53" t="s">
        <v>182</v>
      </c>
      <c r="C53" t="s">
        <v>24</v>
      </c>
      <c r="D53" t="s">
        <v>25</v>
      </c>
      <c r="E53">
        <v>37023968</v>
      </c>
      <c r="F53">
        <v>6522904</v>
      </c>
      <c r="G53">
        <v>76637222.383450851</v>
      </c>
      <c r="H53">
        <v>0.44838274315406756</v>
      </c>
      <c r="I53">
        <v>0</v>
      </c>
    </row>
    <row r="54" spans="1:25">
      <c r="A54" t="s">
        <v>183</v>
      </c>
      <c r="B54" t="s">
        <v>184</v>
      </c>
      <c r="C54" t="s">
        <v>24</v>
      </c>
      <c r="D54" t="s">
        <v>25</v>
      </c>
      <c r="E54">
        <v>50755229</v>
      </c>
      <c r="F54">
        <v>7230497</v>
      </c>
      <c r="G54">
        <v>76637222.383450851</v>
      </c>
      <c r="H54">
        <v>0.44838274315406756</v>
      </c>
      <c r="I54">
        <v>0</v>
      </c>
    </row>
    <row r="55" spans="1:25">
      <c r="A55" t="s">
        <v>185</v>
      </c>
      <c r="B55" t="s">
        <v>186</v>
      </c>
      <c r="C55" t="s">
        <v>24</v>
      </c>
      <c r="D55" t="s">
        <v>25</v>
      </c>
      <c r="E55">
        <v>39684316</v>
      </c>
      <c r="F55">
        <v>6482455</v>
      </c>
      <c r="G55">
        <v>76637222.383450851</v>
      </c>
      <c r="H55">
        <v>0.44838274315406756</v>
      </c>
      <c r="I55">
        <v>0</v>
      </c>
    </row>
    <row r="56" spans="1:25">
      <c r="A56" t="s">
        <v>187</v>
      </c>
      <c r="B56" t="s">
        <v>188</v>
      </c>
      <c r="C56" t="s">
        <v>40</v>
      </c>
      <c r="D56" t="s">
        <v>41</v>
      </c>
      <c r="E56">
        <v>43153906</v>
      </c>
      <c r="F56">
        <v>5880908</v>
      </c>
      <c r="G56">
        <v>24256417.406595208</v>
      </c>
      <c r="H56">
        <v>0.82242458420821618</v>
      </c>
      <c r="I56">
        <v>145098.09950000315</v>
      </c>
      <c r="J56">
        <v>1546377</v>
      </c>
      <c r="K56" s="13">
        <v>0.3</v>
      </c>
      <c r="L56">
        <v>3.5833998433421069E-2</v>
      </c>
      <c r="M56">
        <v>0.1194466614447369</v>
      </c>
      <c r="N56" s="13">
        <v>0.5</v>
      </c>
      <c r="O56">
        <v>72549.049750001577</v>
      </c>
      <c r="R56">
        <v>0</v>
      </c>
      <c r="S56" s="13">
        <v>12</v>
      </c>
      <c r="W56">
        <v>0</v>
      </c>
      <c r="X56">
        <v>0</v>
      </c>
      <c r="Y56">
        <v>0</v>
      </c>
    </row>
    <row r="57" spans="1:25">
      <c r="A57" t="s">
        <v>189</v>
      </c>
      <c r="B57" t="s">
        <v>190</v>
      </c>
      <c r="C57" t="s">
        <v>40</v>
      </c>
      <c r="D57" t="s">
        <v>41</v>
      </c>
      <c r="E57">
        <v>45262743</v>
      </c>
      <c r="F57">
        <v>6530701</v>
      </c>
      <c r="G57">
        <v>24256417.406595208</v>
      </c>
      <c r="H57">
        <v>0.82242458420821618</v>
      </c>
      <c r="I57">
        <v>161130.27163539545</v>
      </c>
      <c r="J57">
        <v>1485332</v>
      </c>
      <c r="K57" s="13">
        <v>0.3</v>
      </c>
      <c r="L57">
        <v>3.2815775217158186E-2</v>
      </c>
      <c r="M57">
        <v>0.10938591739052729</v>
      </c>
      <c r="N57" s="13">
        <v>0.5</v>
      </c>
      <c r="O57">
        <v>80565.135817697723</v>
      </c>
      <c r="R57">
        <v>0</v>
      </c>
      <c r="S57" s="13">
        <v>12</v>
      </c>
      <c r="W57">
        <v>0</v>
      </c>
      <c r="X57">
        <v>0</v>
      </c>
      <c r="Y57">
        <v>0</v>
      </c>
    </row>
    <row r="58" spans="1:25">
      <c r="A58" t="s">
        <v>191</v>
      </c>
      <c r="B58" t="s">
        <v>192</v>
      </c>
      <c r="C58" t="s">
        <v>46</v>
      </c>
      <c r="D58" t="s">
        <v>47</v>
      </c>
      <c r="E58">
        <v>29393454</v>
      </c>
      <c r="F58">
        <v>4295114</v>
      </c>
      <c r="G58">
        <v>25144241.192302242</v>
      </c>
      <c r="H58">
        <v>0.71722709236185023</v>
      </c>
      <c r="I58">
        <v>0</v>
      </c>
    </row>
    <row r="59" spans="1:25">
      <c r="A59" t="s">
        <v>193</v>
      </c>
      <c r="B59" t="s">
        <v>194</v>
      </c>
      <c r="C59" t="s">
        <v>42</v>
      </c>
      <c r="D59" t="s">
        <v>43</v>
      </c>
      <c r="E59">
        <v>54905552</v>
      </c>
      <c r="F59">
        <v>9365160</v>
      </c>
      <c r="G59">
        <v>53596200.139392696</v>
      </c>
      <c r="H59">
        <v>0.83218716782158408</v>
      </c>
      <c r="I59">
        <v>233806.97929787959</v>
      </c>
    </row>
    <row r="60" spans="1:25">
      <c r="A60" t="s">
        <v>195</v>
      </c>
      <c r="B60" t="s">
        <v>196</v>
      </c>
      <c r="C60" t="s">
        <v>26</v>
      </c>
      <c r="D60" t="s">
        <v>27</v>
      </c>
      <c r="E60">
        <v>22966179</v>
      </c>
      <c r="F60">
        <v>3934174</v>
      </c>
      <c r="G60">
        <v>35976695.590754993</v>
      </c>
      <c r="H60">
        <v>0.67241567361223931</v>
      </c>
      <c r="I60">
        <v>0</v>
      </c>
    </row>
    <row r="61" spans="1:25">
      <c r="A61" t="s">
        <v>232</v>
      </c>
      <c r="B61" t="s">
        <v>233</v>
      </c>
      <c r="C61" t="s">
        <v>30</v>
      </c>
      <c r="D61" t="s">
        <v>31</v>
      </c>
      <c r="E61">
        <v>15536017</v>
      </c>
      <c r="F61">
        <v>2729396</v>
      </c>
      <c r="G61">
        <v>15348181.430790538</v>
      </c>
      <c r="H61">
        <v>0.81039379525756317</v>
      </c>
      <c r="I61">
        <v>66356.567496024349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4FC0-E952-0748-B399-8D1A90ED7A44}">
  <sheetPr codeName="工作表8"/>
  <dimension ref="A2:E65"/>
  <sheetViews>
    <sheetView workbookViewId="0">
      <selection activeCell="E4" sqref="E4"/>
    </sheetView>
  </sheetViews>
  <sheetFormatPr baseColWidth="10" defaultRowHeight="15"/>
  <cols>
    <col min="1" max="1" width="10.33203125" bestFit="1" customWidth="1"/>
    <col min="2" max="2" width="13.83203125" bestFit="1" customWidth="1"/>
    <col min="5" max="5" width="10.33203125" bestFit="1" customWidth="1"/>
    <col min="6" max="6" width="13.83203125" bestFit="1" customWidth="1"/>
  </cols>
  <sheetData>
    <row r="2" spans="1:5">
      <c r="A2" t="s">
        <v>55</v>
      </c>
      <c r="E2" t="s">
        <v>203</v>
      </c>
    </row>
    <row r="3" spans="1:5">
      <c r="A3" s="9" t="s">
        <v>68</v>
      </c>
      <c r="E3" s="9" t="s">
        <v>68</v>
      </c>
    </row>
    <row r="4" spans="1:5">
      <c r="A4" s="10" t="s">
        <v>69</v>
      </c>
      <c r="E4" s="10" t="s">
        <v>26</v>
      </c>
    </row>
    <row r="5" spans="1:5">
      <c r="A5" s="10" t="s">
        <v>71</v>
      </c>
      <c r="E5" s="10" t="s">
        <v>28</v>
      </c>
    </row>
    <row r="6" spans="1:5">
      <c r="A6" s="10" t="s">
        <v>73</v>
      </c>
      <c r="E6" s="10" t="s">
        <v>30</v>
      </c>
    </row>
    <row r="7" spans="1:5">
      <c r="A7" s="10" t="s">
        <v>75</v>
      </c>
      <c r="E7" s="10" t="s">
        <v>34</v>
      </c>
    </row>
    <row r="8" spans="1:5">
      <c r="A8" s="10" t="s">
        <v>77</v>
      </c>
      <c r="E8" s="10" t="s">
        <v>38</v>
      </c>
    </row>
    <row r="9" spans="1:5">
      <c r="A9" s="10" t="s">
        <v>228</v>
      </c>
      <c r="E9" s="10" t="s">
        <v>48</v>
      </c>
    </row>
    <row r="10" spans="1:5">
      <c r="A10" s="10" t="s">
        <v>79</v>
      </c>
      <c r="E10" s="10" t="s">
        <v>50</v>
      </c>
    </row>
    <row r="11" spans="1:5">
      <c r="A11" s="10" t="s">
        <v>81</v>
      </c>
      <c r="E11" s="10" t="s">
        <v>69</v>
      </c>
    </row>
    <row r="12" spans="1:5">
      <c r="A12" s="10" t="s">
        <v>85</v>
      </c>
      <c r="E12" s="10" t="s">
        <v>40</v>
      </c>
    </row>
    <row r="13" spans="1:5">
      <c r="A13" s="10" t="s">
        <v>87</v>
      </c>
      <c r="E13" s="10" t="s">
        <v>24</v>
      </c>
    </row>
    <row r="14" spans="1:5">
      <c r="A14" s="10" t="s">
        <v>89</v>
      </c>
      <c r="E14" s="10" t="s">
        <v>46</v>
      </c>
    </row>
    <row r="15" spans="1:5">
      <c r="A15" s="10" t="s">
        <v>91</v>
      </c>
      <c r="E15" s="10" t="s">
        <v>42</v>
      </c>
    </row>
    <row r="16" spans="1:5">
      <c r="A16" s="10" t="s">
        <v>93</v>
      </c>
      <c r="E16" s="10" t="s">
        <v>32</v>
      </c>
    </row>
    <row r="17" spans="1:5">
      <c r="A17" s="10" t="s">
        <v>95</v>
      </c>
      <c r="E17" s="10" t="s">
        <v>36</v>
      </c>
    </row>
    <row r="18" spans="1:5">
      <c r="A18" s="10" t="s">
        <v>97</v>
      </c>
      <c r="E18" s="10" t="s">
        <v>44</v>
      </c>
    </row>
    <row r="19" spans="1:5">
      <c r="A19" s="10" t="s">
        <v>99</v>
      </c>
      <c r="E19" s="10" t="s">
        <v>70</v>
      </c>
    </row>
    <row r="20" spans="1:5">
      <c r="A20" s="10" t="s">
        <v>101</v>
      </c>
    </row>
    <row r="21" spans="1:5">
      <c r="A21" s="10" t="s">
        <v>103</v>
      </c>
    </row>
    <row r="22" spans="1:5">
      <c r="A22" s="10" t="s">
        <v>105</v>
      </c>
    </row>
    <row r="23" spans="1:5">
      <c r="A23" s="10" t="s">
        <v>107</v>
      </c>
    </row>
    <row r="24" spans="1:5">
      <c r="A24" s="10" t="s">
        <v>230</v>
      </c>
    </row>
    <row r="25" spans="1:5">
      <c r="A25" s="10" t="s">
        <v>109</v>
      </c>
    </row>
    <row r="26" spans="1:5">
      <c r="A26" s="10" t="s">
        <v>111</v>
      </c>
    </row>
    <row r="27" spans="1:5">
      <c r="A27" s="10" t="s">
        <v>115</v>
      </c>
    </row>
    <row r="28" spans="1:5">
      <c r="A28" s="10" t="s">
        <v>117</v>
      </c>
    </row>
    <row r="29" spans="1:5">
      <c r="A29" s="10" t="s">
        <v>119</v>
      </c>
    </row>
    <row r="30" spans="1:5">
      <c r="A30" s="10" t="s">
        <v>121</v>
      </c>
    </row>
    <row r="31" spans="1:5">
      <c r="A31" s="10" t="s">
        <v>123</v>
      </c>
    </row>
    <row r="32" spans="1:5">
      <c r="A32" s="10" t="s">
        <v>127</v>
      </c>
    </row>
    <row r="33" spans="1:1">
      <c r="A33" s="10" t="s">
        <v>129</v>
      </c>
    </row>
    <row r="34" spans="1:1">
      <c r="A34" s="10" t="s">
        <v>131</v>
      </c>
    </row>
    <row r="35" spans="1:1">
      <c r="A35" s="10" t="s">
        <v>133</v>
      </c>
    </row>
    <row r="36" spans="1:1">
      <c r="A36" s="10" t="s">
        <v>135</v>
      </c>
    </row>
    <row r="37" spans="1:1">
      <c r="A37" s="10" t="s">
        <v>137</v>
      </c>
    </row>
    <row r="38" spans="1:1">
      <c r="A38" s="10" t="s">
        <v>139</v>
      </c>
    </row>
    <row r="39" spans="1:1">
      <c r="A39" s="10" t="s">
        <v>141</v>
      </c>
    </row>
    <row r="40" spans="1:1">
      <c r="A40" s="10" t="s">
        <v>147</v>
      </c>
    </row>
    <row r="41" spans="1:1">
      <c r="A41" s="10" t="s">
        <v>149</v>
      </c>
    </row>
    <row r="42" spans="1:1">
      <c r="A42" s="10" t="s">
        <v>151</v>
      </c>
    </row>
    <row r="43" spans="1:1">
      <c r="A43" s="10" t="s">
        <v>153</v>
      </c>
    </row>
    <row r="44" spans="1:1">
      <c r="A44" s="10" t="s">
        <v>155</v>
      </c>
    </row>
    <row r="45" spans="1:1">
      <c r="A45" s="10" t="s">
        <v>157</v>
      </c>
    </row>
    <row r="46" spans="1:1">
      <c r="A46" s="10" t="s">
        <v>159</v>
      </c>
    </row>
    <row r="47" spans="1:1">
      <c r="A47" s="10" t="s">
        <v>161</v>
      </c>
    </row>
    <row r="48" spans="1:1">
      <c r="A48" s="10" t="s">
        <v>165</v>
      </c>
    </row>
    <row r="49" spans="1:1">
      <c r="A49" s="10" t="s">
        <v>167</v>
      </c>
    </row>
    <row r="50" spans="1:1">
      <c r="A50" s="10" t="s">
        <v>169</v>
      </c>
    </row>
    <row r="51" spans="1:1">
      <c r="A51" s="10" t="s">
        <v>171</v>
      </c>
    </row>
    <row r="52" spans="1:1">
      <c r="A52" s="10" t="s">
        <v>173</v>
      </c>
    </row>
    <row r="53" spans="1:1">
      <c r="A53" s="10" t="s">
        <v>175</v>
      </c>
    </row>
    <row r="54" spans="1:1">
      <c r="A54" s="10" t="s">
        <v>177</v>
      </c>
    </row>
    <row r="55" spans="1:1">
      <c r="A55" s="10" t="s">
        <v>179</v>
      </c>
    </row>
    <row r="56" spans="1:1">
      <c r="A56" s="10" t="s">
        <v>181</v>
      </c>
    </row>
    <row r="57" spans="1:1">
      <c r="A57" s="10" t="s">
        <v>183</v>
      </c>
    </row>
    <row r="58" spans="1:1">
      <c r="A58" s="10" t="s">
        <v>185</v>
      </c>
    </row>
    <row r="59" spans="1:1">
      <c r="A59" s="10" t="s">
        <v>187</v>
      </c>
    </row>
    <row r="60" spans="1:1">
      <c r="A60" s="10" t="s">
        <v>189</v>
      </c>
    </row>
    <row r="61" spans="1:1">
      <c r="A61" s="10" t="s">
        <v>191</v>
      </c>
    </row>
    <row r="62" spans="1:1">
      <c r="A62" s="10" t="s">
        <v>193</v>
      </c>
    </row>
    <row r="63" spans="1:1">
      <c r="A63" s="10" t="s">
        <v>195</v>
      </c>
    </row>
    <row r="64" spans="1:1">
      <c r="A64" s="10" t="s">
        <v>232</v>
      </c>
    </row>
    <row r="65" spans="1:1">
      <c r="A65" s="10" t="s">
        <v>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A_GP</vt:lpstr>
      <vt:lpstr>B_3PP</vt:lpstr>
      <vt:lpstr>C_Stock&amp;CPU</vt:lpstr>
      <vt:lpstr>Target</vt:lpstr>
      <vt:lpstr>Final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2020-04-15T08:01:39Z</dcterms:created>
  <dcterms:modified xsi:type="dcterms:W3CDTF">2020-06-01T06:12:50Z</dcterms:modified>
</cp:coreProperties>
</file>