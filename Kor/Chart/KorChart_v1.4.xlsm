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Kor/"/>
    </mc:Choice>
  </mc:AlternateContent>
  <xr:revisionPtr revIDLastSave="0" documentId="13_ncr:1_{9317511F-C09C-2244-B897-7F56CD665953}" xr6:coauthVersionLast="45" xr6:coauthVersionMax="45" xr10:uidLastSave="{00000000-0000-0000-0000-000000000000}"/>
  <bookViews>
    <workbookView xWindow="0" yWindow="460" windowWidth="33600" windowHeight="20540" activeTab="2" xr2:uid="{31BF1336-9A8E-4D4C-9A84-406840B84864}"/>
  </bookViews>
  <sheets>
    <sheet name="工作表1" sheetId="1" state="hidden" r:id="rId1"/>
    <sheet name="target" sheetId="2" r:id="rId2"/>
    <sheet name="A_SalesData" sheetId="3" r:id="rId3"/>
    <sheet name="B_ACPP+Data" sheetId="4" r:id="rId4"/>
    <sheet name="Shop_data_summary" sheetId="5" r:id="rId5"/>
    <sheet name="Chart" sheetId="59" r:id="rId6"/>
    <sheet name="Staff_data_summary" sheetId="7" r:id="rId7"/>
    <sheet name="testoo" sheetId="10" state="hidden" r:id="rId8"/>
  </sheets>
  <definedNames>
    <definedName name="_xlnm._FilterDatabase" localSheetId="2" hidden="1">A_SalesData!$C$10:$C$35</definedName>
    <definedName name="_xlnm._FilterDatabase" localSheetId="3" hidden="1">'B_ACPP+Data'!$A$1:$J$1</definedName>
    <definedName name="_xlnm._FilterDatabase" localSheetId="4" hidden="1">Shop_data_summary!$C$1:$C$1</definedName>
    <definedName name="_xlnm._FilterDatabase" localSheetId="6" hidden="1">Staff_data_summary!$A$1:$A$4</definedName>
    <definedName name="_xlnm.Extract" localSheetId="4">Shop_data_summary!$A$1</definedName>
    <definedName name="_xlnm.Extract" localSheetId="6">Staff_data_summary!$C$1</definedName>
    <definedName name="_xlnm.Extract" localSheetId="7">testoo!$A$1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0" l="1"/>
</calcChain>
</file>

<file path=xl/sharedStrings.xml><?xml version="1.0" encoding="utf-8"?>
<sst xmlns="http://schemas.openxmlformats.org/spreadsheetml/2006/main" count="488" uniqueCount="192">
  <si>
    <t>JungD</t>
  </si>
  <si>
    <t>Ilsan</t>
  </si>
  <si>
    <t>MokD</t>
  </si>
  <si>
    <t>ShinC</t>
  </si>
  <si>
    <t>ShinD</t>
  </si>
  <si>
    <t>SogD</t>
  </si>
  <si>
    <t>ApguJ</t>
  </si>
  <si>
    <t>TOTAL</t>
  </si>
  <si>
    <t>門市</t>
    <phoneticPr fontId="3" type="noConversion"/>
  </si>
  <si>
    <t>Shop</t>
    <phoneticPr fontId="3" type="noConversion"/>
  </si>
  <si>
    <t>Target</t>
    <phoneticPr fontId="3" type="noConversion"/>
  </si>
  <si>
    <t>Target80%</t>
    <phoneticPr fontId="3" type="noConversion"/>
  </si>
  <si>
    <t>Result</t>
    <phoneticPr fontId="3" type="noConversion"/>
  </si>
  <si>
    <t>get%</t>
    <phoneticPr fontId="3" type="noConversion"/>
  </si>
  <si>
    <t>3ppAttachrate</t>
    <phoneticPr fontId="3" type="noConversion"/>
  </si>
  <si>
    <t>3ppTarget</t>
    <phoneticPr fontId="3" type="noConversion"/>
  </si>
  <si>
    <t>get3ppAttTargtRate</t>
    <phoneticPr fontId="3" type="noConversion"/>
  </si>
  <si>
    <t>Apple呆滯數</t>
    <phoneticPr fontId="3" type="noConversion"/>
  </si>
  <si>
    <t>呆滯目標數</t>
    <phoneticPr fontId="3" type="noConversion"/>
  </si>
  <si>
    <t>人員</t>
    <phoneticPr fontId="3" type="noConversion"/>
  </si>
  <si>
    <t>銷售額</t>
    <phoneticPr fontId="3" type="noConversion"/>
  </si>
  <si>
    <t>毛利額</t>
    <phoneticPr fontId="3" type="noConversion"/>
  </si>
  <si>
    <t>毛利額百分比</t>
    <phoneticPr fontId="3" type="noConversion"/>
  </si>
  <si>
    <t>cpu銷售數量</t>
    <phoneticPr fontId="3" type="noConversion"/>
  </si>
  <si>
    <t>cpu銷售目標</t>
    <phoneticPr fontId="3" type="noConversion"/>
  </si>
  <si>
    <t>cpu目標達成率</t>
    <phoneticPr fontId="3" type="noConversion"/>
  </si>
  <si>
    <t>cpu銷售量</t>
    <phoneticPr fontId="3" type="noConversion"/>
  </si>
  <si>
    <t>acpp cpu數量</t>
    <phoneticPr fontId="3" type="noConversion"/>
  </si>
  <si>
    <t>iPad</t>
  </si>
  <si>
    <t>iPad</t>
    <phoneticPr fontId="3" type="noConversion"/>
  </si>
  <si>
    <t>acpp ipad</t>
    <phoneticPr fontId="3" type="noConversion"/>
  </si>
  <si>
    <t>acpp cpu搭售率</t>
    <phoneticPr fontId="3" type="noConversion"/>
  </si>
  <si>
    <t>acpp ipad搭售</t>
    <phoneticPr fontId="3" type="noConversion"/>
  </si>
  <si>
    <t>watch</t>
    <phoneticPr fontId="3" type="noConversion"/>
  </si>
  <si>
    <t>acpp watch</t>
    <phoneticPr fontId="3" type="noConversion"/>
  </si>
  <si>
    <t>acpp watch att</t>
    <phoneticPr fontId="3" type="noConversion"/>
  </si>
  <si>
    <t>iPhone</t>
  </si>
  <si>
    <t>iPhone</t>
    <phoneticPr fontId="3" type="noConversion"/>
  </si>
  <si>
    <t>acpp iphone</t>
    <phoneticPr fontId="3" type="noConversion"/>
  </si>
  <si>
    <t>acpp iphone att</t>
    <phoneticPr fontId="3" type="noConversion"/>
  </si>
  <si>
    <t>airpod</t>
    <phoneticPr fontId="3" type="noConversion"/>
  </si>
  <si>
    <t>acpp airpod</t>
    <phoneticPr fontId="3" type="noConversion"/>
  </si>
  <si>
    <t>acpp airpod att</t>
    <phoneticPr fontId="3" type="noConversion"/>
  </si>
  <si>
    <t>裝置銷售</t>
    <phoneticPr fontId="3" type="noConversion"/>
  </si>
  <si>
    <t>acpp</t>
    <phoneticPr fontId="3" type="noConversion"/>
  </si>
  <si>
    <t>搭售率</t>
    <phoneticPr fontId="3" type="noConversion"/>
  </si>
  <si>
    <t>v</t>
    <phoneticPr fontId="3" type="noConversion"/>
  </si>
  <si>
    <t>3pp毛利額</t>
    <phoneticPr fontId="3" type="noConversion"/>
  </si>
  <si>
    <t>3pp銷售毛利</t>
    <phoneticPr fontId="3" type="noConversion"/>
  </si>
  <si>
    <t>acpp數量</t>
    <phoneticPr fontId="3" type="noConversion"/>
  </si>
  <si>
    <t>Margin Target</t>
    <phoneticPr fontId="3" type="noConversion"/>
  </si>
  <si>
    <t>3PP Attach rate Target</t>
    <phoneticPr fontId="3" type="noConversion"/>
  </si>
  <si>
    <t>毛利率</t>
    <phoneticPr fontId="3" type="noConversion"/>
  </si>
  <si>
    <t>Acpp裝置</t>
    <phoneticPr fontId="3" type="noConversion"/>
  </si>
  <si>
    <t>Acpp銷售</t>
    <phoneticPr fontId="3" type="noConversion"/>
  </si>
  <si>
    <t>3001</t>
  </si>
  <si>
    <t>APL主機(APL본체</t>
  </si>
  <si>
    <t>4002</t>
  </si>
  <si>
    <t>NoteBook</t>
  </si>
  <si>
    <t>4004</t>
  </si>
  <si>
    <t>4005</t>
  </si>
  <si>
    <t>4038</t>
  </si>
  <si>
    <t>Apple Watch</t>
  </si>
  <si>
    <t>4041</t>
  </si>
  <si>
    <t>iPad Pro</t>
  </si>
  <si>
    <t>3002</t>
  </si>
  <si>
    <t>APL週邊配件(APL주변기기</t>
  </si>
  <si>
    <t>4007</t>
  </si>
  <si>
    <t>CPU週邊配件CPU주변기기</t>
  </si>
  <si>
    <t>4009</t>
  </si>
  <si>
    <t>iPhone週邊配件iPhone주변기기</t>
  </si>
  <si>
    <t>4010</t>
  </si>
  <si>
    <t>iPad週邊配件iPad주변기기</t>
  </si>
  <si>
    <t>3003</t>
  </si>
  <si>
    <t>3PP週邊配件(3PP주변기기</t>
  </si>
  <si>
    <t>4014</t>
  </si>
  <si>
    <t>耳機이어폰</t>
  </si>
  <si>
    <t>4039</t>
  </si>
  <si>
    <t>Apple Watch 周边配件Apple Watch 주변기기</t>
  </si>
  <si>
    <t>3006</t>
  </si>
  <si>
    <t>其他收入기타수익</t>
  </si>
  <si>
    <t>4021</t>
  </si>
  <si>
    <t>4006</t>
  </si>
  <si>
    <t>iPad Mini</t>
  </si>
  <si>
    <t>4011</t>
  </si>
  <si>
    <t>iPad Mini 週邊配件iPad Mini 주변기기</t>
  </si>
  <si>
    <t>K016</t>
  </si>
  <si>
    <t>현대백화점 디큐브시티점</t>
  </si>
  <si>
    <t>SAK0023</t>
  </si>
  <si>
    <t>송원경</t>
  </si>
  <si>
    <t>SAK0175</t>
  </si>
  <si>
    <t>김지수</t>
  </si>
  <si>
    <t>SAKJ179</t>
  </si>
  <si>
    <t>차민기</t>
  </si>
  <si>
    <t>SAKJ180</t>
  </si>
  <si>
    <t>엄민우</t>
  </si>
  <si>
    <t>SAKJ192</t>
  </si>
  <si>
    <t>이동은</t>
  </si>
  <si>
    <t>K203</t>
  </si>
  <si>
    <t>K205</t>
  </si>
  <si>
    <t>K206</t>
  </si>
  <si>
    <t>K208</t>
  </si>
  <si>
    <t>K212</t>
  </si>
  <si>
    <t>K213</t>
  </si>
  <si>
    <t>[:  ].QTy</t>
  </si>
  <si>
    <t>6523</t>
  </si>
  <si>
    <t>APPLE CARE+-IOS</t>
  </si>
  <si>
    <t>6524</t>
  </si>
  <si>
    <t>APPLE CARE+-CPU</t>
  </si>
  <si>
    <t>6526</t>
  </si>
  <si>
    <t>APPLE CARE+-iPad</t>
  </si>
  <si>
    <t>6529</t>
  </si>
  <si>
    <t>APPLE CARE+-Acc</t>
  </si>
  <si>
    <t>3pp</t>
    <phoneticPr fontId="3" type="noConversion"/>
  </si>
  <si>
    <t>5087</t>
  </si>
  <si>
    <t>AirPods</t>
  </si>
  <si>
    <t>6242</t>
  </si>
  <si>
    <t>AirPods2</t>
  </si>
  <si>
    <t>6248</t>
  </si>
  <si>
    <t>Airpods Pro</t>
  </si>
  <si>
    <t>5090</t>
  </si>
  <si>
    <t>APPLE CARE+</t>
  </si>
  <si>
    <t>unit:</t>
    <phoneticPr fontId="3" type="noConversion"/>
  </si>
  <si>
    <t>1 milionWon</t>
    <phoneticPr fontId="3" type="noConversion"/>
  </si>
  <si>
    <t>Total</t>
  </si>
  <si>
    <t>Margin Target</t>
  </si>
  <si>
    <t>Apple (Unit: pcs)</t>
  </si>
  <si>
    <t>3PP Attach Rate</t>
  </si>
  <si>
    <t>Target</t>
  </si>
  <si>
    <t>Personal Performance</t>
  </si>
  <si>
    <t>Unit: 1 milionWon</t>
  </si>
  <si>
    <t>CPU (Unit: psc)</t>
  </si>
  <si>
    <t>Apple Care + Attach % Perfornance</t>
  </si>
  <si>
    <t>Personal performnce to sell Apple Care+ (Attach%)</t>
  </si>
  <si>
    <t>매장코드</t>
    <phoneticPr fontId="3" type="noConversion"/>
  </si>
  <si>
    <t>매장명</t>
    <phoneticPr fontId="3" type="noConversion"/>
  </si>
  <si>
    <t>마진목표</t>
    <phoneticPr fontId="3" type="noConversion"/>
  </si>
  <si>
    <t>3PP 조합목표</t>
    <phoneticPr fontId="3" type="noConversion"/>
  </si>
  <si>
    <t>Apple 부진재고 수량</t>
    <phoneticPr fontId="3" type="noConversion"/>
  </si>
  <si>
    <t>부진재고 목표수량</t>
    <phoneticPr fontId="3" type="noConversion"/>
  </si>
  <si>
    <t>CPU 목표</t>
    <phoneticPr fontId="3" type="noConversion"/>
  </si>
  <si>
    <t>지점코드</t>
    <phoneticPr fontId="3" type="noConversion"/>
  </si>
  <si>
    <t>지점명칭</t>
    <phoneticPr fontId="3" type="noConversion"/>
  </si>
  <si>
    <t>직원 id</t>
    <phoneticPr fontId="3" type="noConversion"/>
  </si>
  <si>
    <t>직원이름</t>
    <phoneticPr fontId="3" type="noConversion"/>
  </si>
  <si>
    <t>구분 3 코드</t>
    <phoneticPr fontId="3" type="noConversion"/>
  </si>
  <si>
    <t>구분 3 명칭</t>
    <phoneticPr fontId="3" type="noConversion"/>
  </si>
  <si>
    <t>구분 4 코드</t>
    <phoneticPr fontId="3" type="noConversion"/>
  </si>
  <si>
    <t>구분 4 명칭</t>
    <phoneticPr fontId="3" type="noConversion"/>
  </si>
  <si>
    <t>[:  ].이익</t>
  </si>
  <si>
    <t>총 매출액</t>
    <phoneticPr fontId="3" type="noConversion"/>
  </si>
  <si>
    <t>직원코드</t>
    <phoneticPr fontId="3" type="noConversion"/>
  </si>
  <si>
    <t>구분 5 코드</t>
    <phoneticPr fontId="3" type="noConversion"/>
  </si>
  <si>
    <t>구분 5 명칭</t>
    <phoneticPr fontId="9" type="noConversion"/>
  </si>
  <si>
    <t>구분 6 코드</t>
    <phoneticPr fontId="9" type="noConversion"/>
  </si>
  <si>
    <t>구분 6 명칭</t>
    <phoneticPr fontId="9" type="noConversion"/>
  </si>
  <si>
    <r>
      <t>[:  ].</t>
    </r>
    <r>
      <rPr>
        <b/>
        <sz val="8"/>
        <rFont val="Malgun Gothic"/>
        <family val="2"/>
        <charset val="129"/>
      </rPr>
      <t>이익</t>
    </r>
    <phoneticPr fontId="9" type="noConversion"/>
  </si>
  <si>
    <t>지점명칭</t>
    <phoneticPr fontId="9" type="noConversion"/>
  </si>
  <si>
    <t>마진Result</t>
    <phoneticPr fontId="9" type="noConversion"/>
  </si>
  <si>
    <t>3PP 조합율</t>
    <phoneticPr fontId="9" type="noConversion"/>
  </si>
  <si>
    <t>부진재고 목표수량</t>
    <phoneticPr fontId="9" type="noConversion"/>
  </si>
  <si>
    <t>CPU 매출수량</t>
    <phoneticPr fontId="9" type="noConversion"/>
  </si>
  <si>
    <t>CPU 매출 목표</t>
    <phoneticPr fontId="9" type="noConversion"/>
  </si>
  <si>
    <t>CPU 목표달성율</t>
    <phoneticPr fontId="3" type="noConversion"/>
  </si>
  <si>
    <t>CPU_acpp+</t>
    <phoneticPr fontId="9" type="noConversion"/>
  </si>
  <si>
    <t>acpp+ cpu 조합판매율</t>
    <phoneticPr fontId="9" type="noConversion"/>
  </si>
  <si>
    <t>acpp+ ipad</t>
  </si>
  <si>
    <t>acpp+ ipad 조합판매</t>
  </si>
  <si>
    <t>acpp+ watch</t>
  </si>
  <si>
    <t>acpp+ watch att</t>
  </si>
  <si>
    <t>acpp+ iphone</t>
  </si>
  <si>
    <t>acpp+ iphone att</t>
  </si>
  <si>
    <t>acpp+ airpod</t>
  </si>
  <si>
    <t>acpp+ airpod att</t>
  </si>
  <si>
    <t>매장코드</t>
    <phoneticPr fontId="9" type="noConversion"/>
  </si>
  <si>
    <t>매장명칭</t>
    <phoneticPr fontId="9" type="noConversion"/>
  </si>
  <si>
    <t>직원 이름</t>
    <phoneticPr fontId="9" type="noConversion"/>
  </si>
  <si>
    <t>매출액</t>
    <phoneticPr fontId="9" type="noConversion"/>
  </si>
  <si>
    <t>마진액</t>
    <phoneticPr fontId="9" type="noConversion"/>
  </si>
  <si>
    <t>마진율</t>
    <phoneticPr fontId="9" type="noConversion"/>
  </si>
  <si>
    <t>ACPP+ 디바이스</t>
    <phoneticPr fontId="9" type="noConversion"/>
  </si>
  <si>
    <t>ACPP+ 판매</t>
    <phoneticPr fontId="9" type="noConversion"/>
  </si>
  <si>
    <t>ACPP 조합판매율</t>
    <phoneticPr fontId="9" type="noConversion"/>
  </si>
  <si>
    <t>디큐브</t>
    <phoneticPr fontId="3" type="noConversion"/>
  </si>
  <si>
    <t>신촌점</t>
    <phoneticPr fontId="3" type="noConversion"/>
  </si>
  <si>
    <t>목동점</t>
    <phoneticPr fontId="3" type="noConversion"/>
  </si>
  <si>
    <t>중동점</t>
    <phoneticPr fontId="3" type="noConversion"/>
  </si>
  <si>
    <t>압구정</t>
    <phoneticPr fontId="3" type="noConversion"/>
  </si>
  <si>
    <t>일산점</t>
    <phoneticPr fontId="3" type="noConversion"/>
  </si>
  <si>
    <t>송도점</t>
    <phoneticPr fontId="3" type="noConversion"/>
  </si>
  <si>
    <t>디큐브</t>
  </si>
  <si>
    <t>TotalSales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</si>
</sst>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"/>
    <numFmt numFmtId="177" formatCode="0.0%"/>
    <numFmt numFmtId="178" formatCode="0.0"/>
  </numFmts>
  <fonts count="1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0"/>
      <color indexed="8"/>
      <name val="맑은 고딕"/>
      <family val="3"/>
      <charset val="129"/>
    </font>
    <font>
      <sz val="9"/>
      <name val="新細明體"/>
      <family val="2"/>
      <charset val="136"/>
      <scheme val="minor"/>
    </font>
    <font>
      <sz val="8"/>
      <name val="Arial"/>
      <family val="2"/>
    </font>
    <font>
      <b/>
      <sz val="8"/>
      <name val="Arial"/>
      <family val="2"/>
    </font>
    <font>
      <b/>
      <sz val="12"/>
      <color rgb="FF000000"/>
      <name val="新細明體"/>
      <family val="1"/>
      <charset val="136"/>
      <scheme val="minor"/>
    </font>
    <font>
      <sz val="12"/>
      <color theme="1"/>
      <name val="PMingLiU"/>
      <family val="1"/>
      <charset val="136"/>
    </font>
    <font>
      <sz val="12"/>
      <color rgb="FF000000"/>
      <name val="新細明體"/>
      <family val="1"/>
      <charset val="136"/>
    </font>
    <font>
      <sz val="8"/>
      <name val="新細明體"/>
      <family val="2"/>
      <charset val="129"/>
      <scheme val="minor"/>
    </font>
    <font>
      <b/>
      <sz val="8"/>
      <name val="Malgun Gothic"/>
      <family val="2"/>
      <charset val="129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2" fillId="0" borderId="2" xfId="0" applyNumberFormat="1" applyFont="1" applyBorder="1" applyAlignment="1">
      <alignment horizontal="center" vertical="center"/>
    </xf>
    <xf numFmtId="9" fontId="2" fillId="0" borderId="1" xfId="1" applyFont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0" fillId="3" borderId="0" xfId="0" applyFill="1">
      <alignment vertical="center"/>
    </xf>
    <xf numFmtId="0" fontId="4" fillId="0" borderId="3" xfId="0" applyFont="1" applyBorder="1" applyAlignment="1"/>
    <xf numFmtId="4" fontId="4" fillId="0" borderId="3" xfId="0" applyNumberFormat="1" applyFont="1" applyBorder="1" applyAlignment="1"/>
    <xf numFmtId="0" fontId="5" fillId="2" borderId="3" xfId="0" applyFont="1" applyFill="1" applyBorder="1" applyAlignment="1"/>
    <xf numFmtId="177" fontId="0" fillId="0" borderId="0" xfId="1" applyNumberFormat="1" applyFont="1">
      <alignment vertical="center"/>
    </xf>
    <xf numFmtId="0" fontId="6" fillId="0" borderId="0" xfId="0" applyFont="1" applyAlignment="1">
      <alignment horizontal="center" vertical="center" readingOrder="1"/>
    </xf>
    <xf numFmtId="178" fontId="0" fillId="0" borderId="0" xfId="0" applyNumberFormat="1">
      <alignment vertical="center"/>
    </xf>
    <xf numFmtId="178" fontId="0" fillId="0" borderId="0" xfId="1" applyNumberFormat="1" applyFont="1">
      <alignment vertical="center"/>
    </xf>
    <xf numFmtId="9" fontId="0" fillId="4" borderId="0" xfId="0" applyNumberFormat="1" applyFill="1">
      <alignment vertical="center"/>
    </xf>
    <xf numFmtId="10" fontId="0" fillId="4" borderId="0" xfId="0" applyNumberFormat="1" applyFill="1">
      <alignment vertical="center"/>
    </xf>
    <xf numFmtId="0" fontId="0" fillId="4" borderId="0" xfId="0" applyFill="1">
      <alignment vertical="center"/>
    </xf>
    <xf numFmtId="0" fontId="4" fillId="5" borderId="4" xfId="0" applyFont="1" applyFill="1" applyBorder="1" applyAlignment="1"/>
    <xf numFmtId="0" fontId="7" fillId="5" borderId="4" xfId="0" applyFont="1" applyFill="1" applyBorder="1">
      <alignment vertical="center"/>
    </xf>
    <xf numFmtId="0" fontId="0" fillId="3" borderId="4" xfId="0" applyFill="1" applyBorder="1">
      <alignment vertical="center"/>
    </xf>
    <xf numFmtId="10" fontId="0" fillId="3" borderId="4" xfId="0" applyNumberFormat="1" applyFill="1" applyBorder="1">
      <alignment vertical="center"/>
    </xf>
    <xf numFmtId="0" fontId="0" fillId="6" borderId="0" xfId="0" applyFill="1">
      <alignment vertical="center"/>
    </xf>
    <xf numFmtId="9" fontId="0" fillId="6" borderId="0" xfId="0" applyNumberFormat="1" applyFill="1">
      <alignment vertical="center"/>
    </xf>
    <xf numFmtId="10" fontId="0" fillId="6" borderId="0" xfId="0" applyNumberFormat="1" applyFill="1">
      <alignment vertical="center"/>
    </xf>
    <xf numFmtId="178" fontId="2" fillId="0" borderId="0" xfId="0" applyNumberFormat="1" applyFont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  <xf numFmtId="177" fontId="0" fillId="0" borderId="0" xfId="1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TOTAL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마진Result</c:v>
                </c:pt>
              </c:strCache>
            </c:strRef>
          </c:cat>
          <c:val>
            <c:numRef>
              <c:f>Shop_data_summary!$C$3:$E$3</c:f>
              <c:numCache>
                <c:formatCode>0.0</c:formatCode>
                <c:ptCount val="3"/>
                <c:pt idx="0">
                  <c:v>38.297651000000002</c:v>
                </c:pt>
                <c:pt idx="1">
                  <c:v>30.638120800000003</c:v>
                </c:pt>
                <c:pt idx="2">
                  <c:v>5.3041330076530002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A2-B044-99B5-2D8051009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787968"/>
        <c:axId val="617715136"/>
      </c:barChart>
      <c:catAx>
        <c:axId val="617787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7715136"/>
        <c:crosses val="autoZero"/>
        <c:auto val="1"/>
        <c:lblAlgn val="ctr"/>
        <c:lblOffset val="100"/>
        <c:noMultiLvlLbl val="0"/>
      </c:catAx>
      <c:valAx>
        <c:axId val="61771513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617787968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300"/>
            </a:pPr>
            <a:r>
              <a:rPr lang="ko-KR"/>
              <a:t>디큐브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마진Result</c:v>
                </c:pt>
              </c:strCache>
            </c:strRef>
          </c:cat>
          <c:val>
            <c:numRef>
              <c:f>Shop_data_summary!$C$2:$E$2</c:f>
              <c:numCache>
                <c:formatCode>0.0</c:formatCode>
                <c:ptCount val="3"/>
                <c:pt idx="0">
                  <c:v>38.297651000000002</c:v>
                </c:pt>
                <c:pt idx="1">
                  <c:v>30.638120800000003</c:v>
                </c:pt>
                <c:pt idx="2">
                  <c:v>5.3041330076530002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ED-214E-ADB1-DA053B6B7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1521200"/>
        <c:axId val="612580448"/>
      </c:barChart>
      <c:catAx>
        <c:axId val="561521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2580448"/>
        <c:crosses val="autoZero"/>
        <c:auto val="1"/>
        <c:lblAlgn val="ctr"/>
        <c:lblOffset val="100"/>
        <c:noMultiLvlLbl val="0"/>
      </c:catAx>
      <c:valAx>
        <c:axId val="61258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56152120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Shop_data_summary!$I$1</c:f>
              <c:strCache>
                <c:ptCount val="1"/>
                <c:pt idx="0">
                  <c:v>3PP 조합율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Shop_data_summary!$I$2</c:f>
              <c:numCache>
                <c:formatCode>0.0%</c:formatCode>
                <c:ptCount val="1"/>
                <c:pt idx="0">
                  <c:v>2.0508187258401166E-2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96-5943-A8FB-8E0352A58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81232"/>
        <c:axId val="617727824"/>
      </c:barChart>
      <c:scatterChart>
        <c:scatterStyle val="smoothMarker"/>
        <c:varyColors val="0"/>
        <c:ser>
          <c:idx val="0"/>
          <c:order val="0"/>
          <c:tx>
            <c:strRef>
              <c:f>Shop_data_summary!$H$1</c:f>
              <c:strCache>
                <c:ptCount val="1"/>
                <c:pt idx="0">
                  <c:v>3ppTarget</c:v>
                </c:pt>
              </c:strCache>
            </c:strRef>
          </c:tx>
          <c:marker>
            <c:symbol val="none"/>
          </c:marker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Shop_data_summary!$H$2</c:f>
              <c:numCache>
                <c:formatCode>General</c:formatCode>
                <c:ptCount val="1"/>
                <c:pt idx="0">
                  <c:v>6.7000000000000004E-2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6-5943-A8FB-8E0352A5841B}"/>
            </c:ext>
          </c:extLst>
        </c:ser>
        <c:ser>
          <c:idx val="2"/>
          <c:order val="2"/>
          <c:tx>
            <c:strRef>
              <c:f>Shop_data_summary!$J$1</c:f>
              <c:strCache>
                <c:ptCount val="1"/>
                <c:pt idx="0">
                  <c:v>get3ppAttTargtRate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Shop_data_summary!$J$2</c:f>
              <c:numCache>
                <c:formatCode>0.0%</c:formatCode>
                <c:ptCount val="1"/>
                <c:pt idx="0">
                  <c:v>0.30609234714031591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96-5943-A8FB-8E0352A58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480224"/>
        <c:axId val="595781072"/>
      </c:scatterChart>
      <c:catAx>
        <c:axId val="61768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7727824"/>
        <c:crosses val="autoZero"/>
        <c:auto val="1"/>
        <c:lblAlgn val="ctr"/>
        <c:lblOffset val="100"/>
        <c:noMultiLvlLbl val="0"/>
      </c:catAx>
      <c:valAx>
        <c:axId val="617727824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617681232"/>
        <c:crosses val="autoZero"/>
        <c:crossBetween val="between"/>
      </c:valAx>
      <c:valAx>
        <c:axId val="595781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612480224"/>
        <c:crosses val="max"/>
        <c:crossBetween val="midCat"/>
      </c:valAx>
      <c:valAx>
        <c:axId val="612480224"/>
        <c:scaling>
          <c:orientation val="minMax"/>
        </c:scaling>
        <c:delete val="0"/>
        <c:axPos val="t"/>
        <c:majorTickMark val="out"/>
        <c:minorTickMark val="none"/>
        <c:tickLblPos val="nextTo"/>
        <c:crossAx val="595781072"/>
        <c:crosses val="max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Shop_data_summary!$K$1</c:f>
              <c:strCache>
                <c:ptCount val="1"/>
                <c:pt idx="0">
                  <c:v>Apple 부진재고 수량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Shop_data_summary!$K$2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7-A44E-9B8F-764BB1C0E8E6}"/>
            </c:ext>
          </c:extLst>
        </c:ser>
        <c:ser>
          <c:idx val="1"/>
          <c:order val="1"/>
          <c:tx>
            <c:strRef>
              <c:f>Shop_data_summary!$L$1</c:f>
              <c:strCache>
                <c:ptCount val="1"/>
                <c:pt idx="0">
                  <c:v>부진재고 목표수량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Shop_data_summary!$L$2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87-A44E-9B8F-764BB1C0E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699264"/>
        <c:axId val="617700896"/>
      </c:barChart>
      <c:catAx>
        <c:axId val="61769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7700896"/>
        <c:crosses val="autoZero"/>
        <c:auto val="1"/>
        <c:lblAlgn val="ctr"/>
        <c:lblOffset val="100"/>
        <c:noMultiLvlLbl val="0"/>
      </c:catAx>
      <c:valAx>
        <c:axId val="617700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1769926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Shop_data_summary!$M$1</c:f>
              <c:strCache>
                <c:ptCount val="1"/>
                <c:pt idx="0">
                  <c:v>CPU 매출수량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Shop_data_summary!$M$2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26-D04D-ABD0-0F1DDC7245E2}"/>
            </c:ext>
          </c:extLst>
        </c:ser>
        <c:ser>
          <c:idx val="1"/>
          <c:order val="1"/>
          <c:tx>
            <c:strRef>
              <c:f>Shop_data_summary!$N$1</c:f>
              <c:strCache>
                <c:ptCount val="1"/>
                <c:pt idx="0">
                  <c:v>CPU 매출 목표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Shop_data_summary!$N$2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26-D04D-ABD0-0F1DDC72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2496592"/>
        <c:axId val="612498224"/>
      </c:barChart>
      <c:scatterChart>
        <c:scatterStyle val="smoothMarker"/>
        <c:varyColors val="0"/>
        <c:ser>
          <c:idx val="2"/>
          <c:order val="2"/>
          <c:tx>
            <c:strRef>
              <c:f>Shop_data_summary!$O$1</c:f>
              <c:strCache>
                <c:ptCount val="1"/>
                <c:pt idx="0">
                  <c:v>CPU 목표달성율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Shop_data_summary!$O$2</c:f>
              <c:numCache>
                <c:formatCode>0.0%</c:formatCode>
                <c:ptCount val="1"/>
                <c:pt idx="0">
                  <c:v>0.08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26-D04D-ABD0-0F1DDC72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028992"/>
        <c:axId val="612560816"/>
      </c:scatterChart>
      <c:catAx>
        <c:axId val="61249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2498224"/>
        <c:crosses val="autoZero"/>
        <c:auto val="1"/>
        <c:lblAlgn val="ctr"/>
        <c:lblOffset val="100"/>
        <c:noMultiLvlLbl val="0"/>
      </c:catAx>
      <c:valAx>
        <c:axId val="612498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612496592"/>
        <c:crosses val="autoZero"/>
        <c:crossBetween val="between"/>
      </c:valAx>
      <c:valAx>
        <c:axId val="612560816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19028992"/>
        <c:crosses val="max"/>
        <c:crossBetween val="midCat"/>
      </c:valAx>
      <c:valAx>
        <c:axId val="619028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2560816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CPU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Shop_data_summary!$M$1</c:f>
              <c:strCache>
                <c:ptCount val="1"/>
                <c:pt idx="0">
                  <c:v>CPU 매출수량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Shop_data_summary!$M$2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FB-BB47-B082-71F09BCA7F17}"/>
            </c:ext>
          </c:extLst>
        </c:ser>
        <c:ser>
          <c:idx val="1"/>
          <c:order val="1"/>
          <c:tx>
            <c:strRef>
              <c:f>Shop_data_summary!$P$1</c:f>
              <c:strCache>
                <c:ptCount val="1"/>
                <c:pt idx="0">
                  <c:v>CPU_acpp+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Shop_data_summary!$P$2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FB-BB47-B082-71F09BCA7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050032"/>
        <c:axId val="618962864"/>
      </c:barChart>
      <c:scatterChart>
        <c:scatterStyle val="smoothMarker"/>
        <c:varyColors val="0"/>
        <c:ser>
          <c:idx val="2"/>
          <c:order val="2"/>
          <c:tx>
            <c:strRef>
              <c:f>Shop_data_summary!$Q$1</c:f>
              <c:strCache>
                <c:ptCount val="1"/>
                <c:pt idx="0">
                  <c:v>acpp+ cpu 조합판매율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Shop_data_summary!$Q$2</c:f>
              <c:numCache>
                <c:formatCode>0.0%</c:formatCode>
                <c:ptCount val="1"/>
                <c:pt idx="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4FB-BB47-B082-71F09BCA7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975392"/>
        <c:axId val="618972960"/>
      </c:scatterChart>
      <c:catAx>
        <c:axId val="61905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962864"/>
        <c:crosses val="autoZero"/>
        <c:auto val="1"/>
        <c:lblAlgn val="ctr"/>
        <c:lblOffset val="100"/>
        <c:noMultiLvlLbl val="0"/>
      </c:catAx>
      <c:valAx>
        <c:axId val="618962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619050032"/>
        <c:crosses val="autoZero"/>
        <c:crossBetween val="between"/>
      </c:valAx>
      <c:valAx>
        <c:axId val="61897296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18975392"/>
        <c:crosses val="max"/>
        <c:crossBetween val="midCat"/>
      </c:valAx>
      <c:valAx>
        <c:axId val="618975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72960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iPad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Shop_data_summary!$R$1</c:f>
              <c:strCache>
                <c:ptCount val="1"/>
                <c:pt idx="0">
                  <c:v>iPad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Shop_data_summary!$R$2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40-4C4C-BE97-4F0D213C5289}"/>
            </c:ext>
          </c:extLst>
        </c:ser>
        <c:ser>
          <c:idx val="1"/>
          <c:order val="1"/>
          <c:tx>
            <c:strRef>
              <c:f>Shop_data_summary!$S$1</c:f>
              <c:strCache>
                <c:ptCount val="1"/>
                <c:pt idx="0">
                  <c:v>acpp+ ipad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Shop_data_summary!$S$2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40-4C4C-BE97-4F0D213C5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8994272"/>
        <c:axId val="618995904"/>
      </c:barChart>
      <c:scatterChart>
        <c:scatterStyle val="smoothMarker"/>
        <c:varyColors val="0"/>
        <c:ser>
          <c:idx val="2"/>
          <c:order val="2"/>
          <c:tx>
            <c:strRef>
              <c:f>Shop_data_summary!$T$1</c:f>
              <c:strCache>
                <c:ptCount val="1"/>
                <c:pt idx="0">
                  <c:v>acpp+ ipad 조합판매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Shop_data_summary!$T$2</c:f>
              <c:numCache>
                <c:formatCode>0.0%</c:formatCode>
                <c:ptCount val="1"/>
                <c:pt idx="0">
                  <c:v>0.2608695652173913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40-4C4C-BE97-4F0D213C5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422352"/>
        <c:axId val="619013104"/>
      </c:scatterChart>
      <c:catAx>
        <c:axId val="61899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8995904"/>
        <c:crosses val="autoZero"/>
        <c:auto val="1"/>
        <c:lblAlgn val="ctr"/>
        <c:lblOffset val="100"/>
        <c:noMultiLvlLbl val="0"/>
      </c:catAx>
      <c:valAx>
        <c:axId val="618995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618994272"/>
        <c:crosses val="autoZero"/>
        <c:crossBetween val="between"/>
      </c:valAx>
      <c:valAx>
        <c:axId val="619013104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19422352"/>
        <c:crosses val="max"/>
        <c:crossBetween val="midCat"/>
      </c:valAx>
      <c:valAx>
        <c:axId val="619422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9013104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Watch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Shop_data_summary!$U$1</c:f>
              <c:strCache>
                <c:ptCount val="1"/>
                <c:pt idx="0">
                  <c:v>watch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Shop_data_summary!$U$2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1F-114B-8B41-E0708D20160B}"/>
            </c:ext>
          </c:extLst>
        </c:ser>
        <c:ser>
          <c:idx val="1"/>
          <c:order val="1"/>
          <c:tx>
            <c:strRef>
              <c:f>Shop_data_summary!$V$1</c:f>
              <c:strCache>
                <c:ptCount val="1"/>
                <c:pt idx="0">
                  <c:v>acpp+ watch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Shop_data_summary!$V$2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7F1F-114B-8B41-E0708D20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6666848"/>
        <c:axId val="560603712"/>
      </c:barChart>
      <c:scatterChart>
        <c:scatterStyle val="smoothMarker"/>
        <c:varyColors val="0"/>
        <c:ser>
          <c:idx val="2"/>
          <c:order val="2"/>
          <c:tx>
            <c:strRef>
              <c:f>Shop_data_summary!$W$1</c:f>
              <c:strCache>
                <c:ptCount val="1"/>
                <c:pt idx="0">
                  <c:v>acpp+ watch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Shop_data_summary!$W$2</c:f>
              <c:numCache>
                <c:formatCode>0.0%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1F-114B-8B41-E0708D20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091488"/>
        <c:axId val="668089968"/>
      </c:scatterChart>
      <c:catAx>
        <c:axId val="616666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0603712"/>
        <c:crosses val="autoZero"/>
        <c:auto val="1"/>
        <c:lblAlgn val="ctr"/>
        <c:lblOffset val="100"/>
        <c:noMultiLvlLbl val="0"/>
      </c:catAx>
      <c:valAx>
        <c:axId val="560603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616666848"/>
        <c:crosses val="autoZero"/>
        <c:crossBetween val="between"/>
      </c:valAx>
      <c:valAx>
        <c:axId val="66808996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68091488"/>
        <c:crosses val="max"/>
        <c:crossBetween val="midCat"/>
      </c:valAx>
      <c:valAx>
        <c:axId val="6680914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089968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iPhone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Shop_data_summary!$X$1</c:f>
              <c:strCache>
                <c:ptCount val="1"/>
                <c:pt idx="0">
                  <c:v>iPhone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Shop_data_summary!$X$2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46-CE46-9C9A-6FD663A1B76F}"/>
            </c:ext>
          </c:extLst>
        </c:ser>
        <c:ser>
          <c:idx val="1"/>
          <c:order val="1"/>
          <c:tx>
            <c:strRef>
              <c:f>Shop_data_summary!$Y$1</c:f>
              <c:strCache>
                <c:ptCount val="1"/>
                <c:pt idx="0">
                  <c:v>acpp+ iphone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Shop_data_summary!$Y$2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46-CE46-9C9A-6FD663A1B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9075184"/>
        <c:axId val="619076816"/>
      </c:barChart>
      <c:scatterChart>
        <c:scatterStyle val="smoothMarker"/>
        <c:varyColors val="0"/>
        <c:ser>
          <c:idx val="2"/>
          <c:order val="2"/>
          <c:tx>
            <c:strRef>
              <c:f>Shop_data_summary!$Z$1</c:f>
              <c:strCache>
                <c:ptCount val="1"/>
                <c:pt idx="0">
                  <c:v>acpp+ iphone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Shop_data_summary!$Z$2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46-CE46-9C9A-6FD663A1B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830160"/>
        <c:axId val="617827728"/>
      </c:scatterChart>
      <c:catAx>
        <c:axId val="619075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9076816"/>
        <c:crosses val="autoZero"/>
        <c:auto val="1"/>
        <c:lblAlgn val="ctr"/>
        <c:lblOffset val="100"/>
        <c:noMultiLvlLbl val="0"/>
      </c:catAx>
      <c:valAx>
        <c:axId val="619076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619075184"/>
        <c:crosses val="autoZero"/>
        <c:crossBetween val="between"/>
      </c:valAx>
      <c:valAx>
        <c:axId val="61782772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17830160"/>
        <c:crosses val="max"/>
        <c:crossBetween val="midCat"/>
      </c:valAx>
      <c:valAx>
        <c:axId val="6178301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7827728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AirPods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Shop_data_summary!$AA$1</c:f>
              <c:strCache>
                <c:ptCount val="1"/>
                <c:pt idx="0">
                  <c:v>airpod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Shop_data_summary!$AA$2</c:f>
              <c:numCache>
                <c:formatCode>General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EE-A34F-966B-14B5FB56939C}"/>
            </c:ext>
          </c:extLst>
        </c:ser>
        <c:ser>
          <c:idx val="1"/>
          <c:order val="1"/>
          <c:tx>
            <c:strRef>
              <c:f>Shop_data_summary!$AB$1</c:f>
              <c:strCache>
                <c:ptCount val="1"/>
                <c:pt idx="0">
                  <c:v>acpp+ airpod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cat>
          <c:val>
            <c:numRef>
              <c:f>Shop_data_summary!$AB$2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EE-A34F-966B-14B5FB56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5463536"/>
        <c:axId val="615465168"/>
      </c:barChart>
      <c:scatterChart>
        <c:scatterStyle val="smoothMarker"/>
        <c:varyColors val="0"/>
        <c:ser>
          <c:idx val="2"/>
          <c:order val="2"/>
          <c:tx>
            <c:strRef>
              <c:f>Shop_data_summary!$AC$1</c:f>
              <c:strCache>
                <c:ptCount val="1"/>
                <c:pt idx="0">
                  <c:v>acpp+ airpod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</c:f>
              <c:strCache>
                <c:ptCount val="1"/>
                <c:pt idx="0">
                  <c:v>디큐브</c:v>
                </c:pt>
              </c:strCache>
            </c:strRef>
          </c:xVal>
          <c:yVal>
            <c:numRef>
              <c:f>Shop_data_summary!$AC$2</c:f>
              <c:numCache>
                <c:formatCode>0.0%</c:formatCode>
                <c:ptCount val="1"/>
                <c:pt idx="0">
                  <c:v>8.3333333333333329E-2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EE-A34F-966B-14B5FB569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567632"/>
        <c:axId val="668692176"/>
      </c:scatterChart>
      <c:catAx>
        <c:axId val="61546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5465168"/>
        <c:crosses val="autoZero"/>
        <c:auto val="1"/>
        <c:lblAlgn val="ctr"/>
        <c:lblOffset val="100"/>
        <c:noMultiLvlLbl val="0"/>
      </c:catAx>
      <c:valAx>
        <c:axId val="615465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615463536"/>
        <c:crosses val="autoZero"/>
        <c:crossBetween val="between"/>
      </c:valAx>
      <c:valAx>
        <c:axId val="668692176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19567632"/>
        <c:crosses val="max"/>
        <c:crossBetween val="midCat"/>
      </c:valAx>
      <c:valAx>
        <c:axId val="619567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8692176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200"/>
            </a:pPr>
            <a:r>
              <a:rPr lang="ko-KR"/>
              <a:t>디큐브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매출액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Staff_data_summary!$D$2:$D$4</c:f>
              <c:strCache>
                <c:ptCount val="3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</c:strCache>
            </c:strRef>
          </c:cat>
          <c:val>
            <c:numRef>
              <c:f>Staff_data_summary!$E$2:$E$4</c:f>
              <c:numCache>
                <c:formatCode>0.0</c:formatCode>
                <c:ptCount val="3"/>
                <c:pt idx="0">
                  <c:v>0.5</c:v>
                </c:pt>
                <c:pt idx="1">
                  <c:v>24.693364000000003</c:v>
                </c:pt>
                <c:pt idx="2">
                  <c:v>19.254542999999998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BF-6E41-8234-8A29AC11B2A0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마진액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Staff_data_summary!$D$2:$D$4</c:f>
              <c:strCache>
                <c:ptCount val="3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</c:strCache>
            </c:strRef>
          </c:cat>
          <c:val>
            <c:numRef>
              <c:f>Staff_data_summary!$F$2:$F$4</c:f>
              <c:numCache>
                <c:formatCode>0.0</c:formatCode>
                <c:ptCount val="3"/>
                <c:pt idx="0">
                  <c:v>3.7440000000000001E-2</c:v>
                </c:pt>
                <c:pt idx="1">
                  <c:v>2.9674359999999997</c:v>
                </c:pt>
                <c:pt idx="2">
                  <c:v>2.2992570000000003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BF-6E41-8234-8A29AC11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5488864"/>
        <c:axId val="615490496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마진율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Staff_data_summary!$D$2:$D$4</c:f>
              <c:strCache>
                <c:ptCount val="3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</c:strCache>
            </c:strRef>
          </c:xVal>
          <c:yVal>
            <c:numRef>
              <c:f>Staff_data_summary!$G$2:$G$4</c:f>
              <c:numCache>
                <c:formatCode>0.0%</c:formatCode>
                <c:ptCount val="3"/>
                <c:pt idx="0">
                  <c:v>7.4880000000000002E-2</c:v>
                </c:pt>
                <c:pt idx="1">
                  <c:v>0.1201713950355245</c:v>
                </c:pt>
                <c:pt idx="2">
                  <c:v>0.11941374043517941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BF-6E41-8234-8A29AC11B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7810720"/>
        <c:axId val="617808288"/>
      </c:scatterChart>
      <c:catAx>
        <c:axId val="615488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5490496"/>
        <c:crosses val="autoZero"/>
        <c:auto val="1"/>
        <c:lblAlgn val="ctr"/>
        <c:lblOffset val="100"/>
        <c:noMultiLvlLbl val="0"/>
      </c:catAx>
      <c:valAx>
        <c:axId val="615490496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615488864"/>
        <c:crosses val="autoZero"/>
        <c:crossBetween val="between"/>
      </c:valAx>
      <c:valAx>
        <c:axId val="61780828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17810720"/>
        <c:crosses val="max"/>
        <c:crossBetween val="midCat"/>
      </c:valAx>
      <c:valAx>
        <c:axId val="61781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7808288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en-US" sz="1200"/>
            </a:pPr>
            <a:r>
              <a:rPr lang="ko-KR"/>
              <a:t>디큐브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ACPP+ 디바이스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Staff_data_summary!$D$2:$D$4</c:f>
              <c:strCache>
                <c:ptCount val="3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</c:strCache>
            </c:strRef>
          </c:cat>
          <c:val>
            <c:numRef>
              <c:f>Staff_data_summary!$H$2:$H$4</c:f>
              <c:numCache>
                <c:formatCode>General</c:formatCode>
                <c:ptCount val="3"/>
                <c:pt idx="0">
                  <c:v>1</c:v>
                </c:pt>
                <c:pt idx="1">
                  <c:v>24</c:v>
                </c:pt>
                <c:pt idx="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34-9441-8C47-48A506E8DDF1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ACPP+ 판매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Staff_data_summary!$D$2:$D$4</c:f>
              <c:strCache>
                <c:ptCount val="3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</c:strCache>
            </c:strRef>
          </c:cat>
          <c:val>
            <c:numRef>
              <c:f>Staff_data_summary!$I$2:$I$4</c:f>
              <c:numCache>
                <c:formatCode>General</c:formatCode>
                <c:ptCount val="3"/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34-9441-8C47-48A506E8D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773440"/>
        <c:axId val="617775072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 조합판매율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Staff_data_summary!$D$2:$D$4</c:f>
              <c:strCache>
                <c:ptCount val="3"/>
                <c:pt idx="0">
                  <c:v>송원경</c:v>
                </c:pt>
                <c:pt idx="1">
                  <c:v>김지수</c:v>
                </c:pt>
                <c:pt idx="2">
                  <c:v>차민기</c:v>
                </c:pt>
              </c:strCache>
            </c:strRef>
          </c:xVal>
          <c:yVal>
            <c:numRef>
              <c:f>Staff_data_summary!$J$2:$J$4</c:f>
              <c:numCache>
                <c:formatCode>0.0%</c:formatCode>
                <c:ptCount val="3"/>
                <c:pt idx="0">
                  <c:v>0</c:v>
                </c:pt>
                <c:pt idx="1">
                  <c:v>0.20833333333333334</c:v>
                </c:pt>
                <c:pt idx="2">
                  <c:v>0.15789473684210525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34-9441-8C47-48A506E8D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875904"/>
        <c:axId val="667873472"/>
      </c:scatterChart>
      <c:catAx>
        <c:axId val="61777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7775072"/>
        <c:crosses val="autoZero"/>
        <c:auto val="1"/>
        <c:lblAlgn val="ctr"/>
        <c:lblOffset val="100"/>
        <c:noMultiLvlLbl val="0"/>
      </c:catAx>
      <c:valAx>
        <c:axId val="617775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617773440"/>
        <c:crosses val="autoZero"/>
        <c:crossBetween val="between"/>
      </c:valAx>
      <c:valAx>
        <c:axId val="66787347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667875904"/>
        <c:crosses val="max"/>
        <c:crossBetween val="midCat"/>
      </c:valAx>
      <c:valAx>
        <c:axId val="66787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67873472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556260</xdr:colOff>
      <xdr:row>0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11860" y="18140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6</xdr:col>
      <xdr:colOff>556260</xdr:colOff>
      <xdr:row>0</xdr:row>
      <xdr:rowOff>0</xdr:rowOff>
    </xdr:from>
    <xdr:ext cx="102657" cy="264624"/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928060" y="18140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</xdr:col>
      <xdr:colOff>556260</xdr:colOff>
      <xdr:row>0</xdr:row>
      <xdr:rowOff>0</xdr:rowOff>
    </xdr:from>
    <xdr:ext cx="102657" cy="264624"/>
    <xdr:sp macro="" textlink="">
      <xdr:nvSpPr>
        <xdr:cNvPr id="4" name="TextBox 1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6311860" y="18902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6</xdr:col>
      <xdr:colOff>556260</xdr:colOff>
      <xdr:row>0</xdr:row>
      <xdr:rowOff>0</xdr:rowOff>
    </xdr:from>
    <xdr:ext cx="102657" cy="264624"/>
    <xdr:sp macro="" textlink="">
      <xdr:nvSpPr>
        <xdr:cNvPr id="5" name="TextBox 17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928060" y="18140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6</xdr:col>
      <xdr:colOff>556260</xdr:colOff>
      <xdr:row>0</xdr:row>
      <xdr:rowOff>0</xdr:rowOff>
    </xdr:from>
    <xdr:ext cx="102657" cy="264624"/>
    <xdr:sp macro="" textlink="">
      <xdr:nvSpPr>
        <xdr:cNvPr id="6" name="TextBox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928060" y="1890268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3" name="TextBox 1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4" name="TextBox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5" name="TextBox 1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1</xdr:row>
      <xdr:rowOff>0</xdr:rowOff>
    </xdr:from>
    <xdr:ext cx="102657" cy="264624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1</xdr:row>
      <xdr:rowOff>0</xdr:rowOff>
    </xdr:from>
    <xdr:ext cx="102657" cy="264624"/>
    <xdr:sp macro="" textlink="">
      <xdr:nvSpPr>
        <xdr:cNvPr id="7" name="TextBox 1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12700</xdr:rowOff>
        </xdr:from>
        <xdr:to>
          <xdr:col>4</xdr:col>
          <xdr:colOff>368300</xdr:colOff>
          <xdr:row>6</xdr:row>
          <xdr:rowOff>50800</xdr:rowOff>
        </xdr:to>
        <xdr:sp macro="" textlink="">
          <xdr:nvSpPr>
            <xdr:cNvPr id="4097" name="Button 1" descr="Start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</xdr:row>
          <xdr:rowOff>38100</xdr:rowOff>
        </xdr:from>
        <xdr:to>
          <xdr:col>7</xdr:col>
          <xdr:colOff>749300</xdr:colOff>
          <xdr:row>6</xdr:row>
          <xdr:rowOff>38100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2207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5509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4" name="TextBox 1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207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5" name="TextBox 1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509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" name="TextBox 18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509260" y="4762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102657" cy="264624"/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</xdr:col>
      <xdr:colOff>0</xdr:colOff>
      <xdr:row>1</xdr:row>
      <xdr:rowOff>0</xdr:rowOff>
    </xdr:from>
    <xdr:ext cx="102657" cy="264624"/>
    <xdr:sp macro="" textlink="">
      <xdr:nvSpPr>
        <xdr:cNvPr id="8" name="TextBox 1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7" name="TextBox 5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8" name="TextBox 1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69" name="TextBox 5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70" name="TextBox 1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71" name="TextBox 5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72" name="TextBox 1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20</xdr:col>
      <xdr:colOff>556260</xdr:colOff>
      <xdr:row>0</xdr:row>
      <xdr:rowOff>0</xdr:rowOff>
    </xdr:from>
    <xdr:ext cx="102657" cy="264624"/>
    <xdr:sp macro="" textlink="">
      <xdr:nvSpPr>
        <xdr:cNvPr id="73" name="TextBox 5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75" name="TextBox 5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76" name="TextBox 1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22072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77" name="TextBox 5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78" name="TextBox 1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79" name="TextBox 5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0" name="TextBox 1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1" name="TextBox 5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2" name="TextBox 1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3" name="TextBox 5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4" name="TextBox 1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5" name="TextBox 5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6" name="TextBox 1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7" name="TextBox 5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8" name="TextBox 1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89" name="TextBox 5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0" name="TextBox 1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1" name="TextBox 5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2" name="TextBox 1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3" name="TextBox 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4" name="TextBox 1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5" name="TextBox 5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6" name="TextBox 1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7" name="TextBox 5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8" name="TextBox 1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99" name="TextBox 5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0" name="TextBox 1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1" name="TextBox 5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2" name="TextBox 1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3" name="TextBox 5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4" name="TextBox 1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5" name="TextBox 5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6" name="TextBox 1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7" name="TextBox 5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8" name="TextBox 1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09" name="TextBox 5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0" name="TextBox 1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1" name="TextBox 5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2" name="TextBox 1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3" name="TextBox 5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4" name="TextBox 1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5" name="TextBox 5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6" name="TextBox 1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7" name="TextBox 5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8" name="TextBox 1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19" name="TextBox 5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0" name="TextBox 1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1" name="TextBox 5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2" name="TextBox 1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3" name="TextBox 5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4" name="TextBox 14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5" name="TextBox 5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6" name="TextBox 1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7" name="TextBox 5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8" name="TextBox 1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29" name="TextBox 5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0" name="TextBox 1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1" name="TextBox 5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2" name="TextBox 1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3" name="TextBox 5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1</xdr:row>
      <xdr:rowOff>0</xdr:rowOff>
    </xdr:from>
    <xdr:ext cx="102657" cy="264624"/>
    <xdr:sp macro="" textlink="">
      <xdr:nvSpPr>
        <xdr:cNvPr id="134" name="TextBox 1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135" name="TextBox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136" name="TextBox 1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3032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137" name="TextBox 13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6334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138" name="TextBox 1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6334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139" name="TextBox 1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6334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140" name="TextBox 5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6334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141" name="TextBox 1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63347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142" name="TextBox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154406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143" name="TextBox 1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154406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20</xdr:col>
      <xdr:colOff>556260</xdr:colOff>
      <xdr:row>0</xdr:row>
      <xdr:rowOff>0</xdr:rowOff>
    </xdr:from>
    <xdr:ext cx="102657" cy="264624"/>
    <xdr:sp macro="" textlink="">
      <xdr:nvSpPr>
        <xdr:cNvPr id="144" name="TextBox 5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209270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145" name="TextBox 5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245465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146" name="TextBox 26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2454656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3</xdr:col>
      <xdr:colOff>0</xdr:colOff>
      <xdr:row>12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BA0F457-91B1-274A-A2AE-3843B8CB0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6</xdr:col>
      <xdr:colOff>0</xdr:colOff>
      <xdr:row>12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D715F4AF-56AA-9346-A6F4-22171E9E1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46AFCA4E-E75A-A448-AC3A-D99D21EA8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21</xdr:col>
      <xdr:colOff>0</xdr:colOff>
      <xdr:row>29</xdr:row>
      <xdr:rowOff>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E82D43F7-E36A-B04E-80ED-21A0AD922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12</xdr:col>
      <xdr:colOff>0</xdr:colOff>
      <xdr:row>64</xdr:row>
      <xdr:rowOff>0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5DF240B3-C427-3041-BEE9-CC493CF722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9</xdr:col>
      <xdr:colOff>0</xdr:colOff>
      <xdr:row>87</xdr:row>
      <xdr:rowOff>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E384FE6E-B464-2F43-99D4-8D9BF4E79C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66</xdr:row>
      <xdr:rowOff>0</xdr:rowOff>
    </xdr:from>
    <xdr:to>
      <xdr:col>18</xdr:col>
      <xdr:colOff>0</xdr:colOff>
      <xdr:row>87</xdr:row>
      <xdr:rowOff>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52298B0E-1586-D54E-849A-3956528BC4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66</xdr:row>
      <xdr:rowOff>0</xdr:rowOff>
    </xdr:from>
    <xdr:to>
      <xdr:col>27</xdr:col>
      <xdr:colOff>0</xdr:colOff>
      <xdr:row>87</xdr:row>
      <xdr:rowOff>0</xdr:rowOff>
    </xdr:to>
    <xdr:graphicFrame macro="">
      <xdr:nvGraphicFramePr>
        <xdr:cNvPr id="9" name="圖表 8">
          <a:extLst>
            <a:ext uri="{FF2B5EF4-FFF2-40B4-BE49-F238E27FC236}">
              <a16:creationId xmlns:a16="http://schemas.microsoft.com/office/drawing/2014/main" id="{300E2247-3260-7A44-86A1-CBCF081476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87</xdr:row>
      <xdr:rowOff>0</xdr:rowOff>
    </xdr:from>
    <xdr:to>
      <xdr:col>9</xdr:col>
      <xdr:colOff>0</xdr:colOff>
      <xdr:row>107</xdr:row>
      <xdr:rowOff>0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67366BC-62D8-A34C-BC49-85DB6F3C7F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87</xdr:row>
      <xdr:rowOff>0</xdr:rowOff>
    </xdr:from>
    <xdr:to>
      <xdr:col>18</xdr:col>
      <xdr:colOff>0</xdr:colOff>
      <xdr:row>107</xdr:row>
      <xdr:rowOff>0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62612ED-B820-3C4B-8A8E-5B4EB54107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45</xdr:row>
      <xdr:rowOff>0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F9ABE01F-8124-D14B-9A43-13DA714999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110</xdr:row>
      <xdr:rowOff>0</xdr:rowOff>
    </xdr:from>
    <xdr:to>
      <xdr:col>3</xdr:col>
      <xdr:colOff>0</xdr:colOff>
      <xdr:row>122</xdr:row>
      <xdr:rowOff>0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4ECD5559-ADA5-F84C-AF12-A946EFE754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FC178-4921-724D-BCD3-532644CDD20A}">
  <sheetPr codeName="工作表1"/>
  <dimension ref="A1:T23"/>
  <sheetViews>
    <sheetView workbookViewId="0">
      <selection activeCell="F14" sqref="F14"/>
    </sheetView>
  </sheetViews>
  <sheetFormatPr baseColWidth="10" defaultRowHeight="15"/>
  <sheetData>
    <row r="1" spans="1:20">
      <c r="D1" t="s">
        <v>46</v>
      </c>
      <c r="H1" t="s">
        <v>46</v>
      </c>
      <c r="L1" t="s">
        <v>46</v>
      </c>
    </row>
    <row r="2" spans="1:20">
      <c r="A2" t="s">
        <v>9</v>
      </c>
      <c r="B2" s="4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48</v>
      </c>
      <c r="I2" t="s">
        <v>16</v>
      </c>
      <c r="J2" t="s">
        <v>17</v>
      </c>
      <c r="K2" t="s">
        <v>18</v>
      </c>
      <c r="L2" t="s">
        <v>23</v>
      </c>
      <c r="M2" t="s">
        <v>24</v>
      </c>
      <c r="N2" t="s">
        <v>25</v>
      </c>
    </row>
    <row r="3" spans="1:20">
      <c r="A3" s="1" t="s">
        <v>0</v>
      </c>
      <c r="B3" s="2">
        <v>66.788607999999996</v>
      </c>
      <c r="C3" s="2">
        <v>53.430886399999999</v>
      </c>
      <c r="D3" s="2">
        <v>39.589846000000001</v>
      </c>
      <c r="E3" s="3">
        <v>0.59276345451008661</v>
      </c>
    </row>
    <row r="4" spans="1:20">
      <c r="A4" s="1" t="s">
        <v>2</v>
      </c>
      <c r="B4" s="2">
        <v>68.1313501800566</v>
      </c>
      <c r="C4" s="2">
        <v>54.50508014404528</v>
      </c>
      <c r="D4" s="2">
        <v>50.391111000000002</v>
      </c>
      <c r="E4" s="3">
        <v>0.73961709061727188</v>
      </c>
    </row>
    <row r="5" spans="1:20">
      <c r="A5" s="1" t="s">
        <v>4</v>
      </c>
      <c r="B5" s="2">
        <v>42.5086226149254</v>
      </c>
      <c r="C5" s="2">
        <v>34.006898091940322</v>
      </c>
      <c r="D5" s="2">
        <v>22.748861999999999</v>
      </c>
      <c r="E5" s="3">
        <v>0.53515876545979968</v>
      </c>
    </row>
    <row r="6" spans="1:20">
      <c r="A6" s="1" t="s">
        <v>6</v>
      </c>
      <c r="B6" s="2">
        <v>26.2781061790261</v>
      </c>
      <c r="C6" s="2">
        <v>21.022484943220881</v>
      </c>
      <c r="D6" s="2">
        <v>21.127198</v>
      </c>
      <c r="E6" s="3">
        <v>0.80398480225575375</v>
      </c>
    </row>
    <row r="7" spans="1:20">
      <c r="A7" s="1" t="s">
        <v>1</v>
      </c>
      <c r="B7" s="2">
        <v>25.081539180056602</v>
      </c>
      <c r="C7" s="2">
        <v>20.065231344045284</v>
      </c>
      <c r="D7" s="2">
        <v>16.605575999999999</v>
      </c>
      <c r="E7" s="3">
        <v>0.66206367483235629</v>
      </c>
    </row>
    <row r="8" spans="1:20">
      <c r="A8" s="1" t="s">
        <v>3</v>
      </c>
      <c r="B8" s="2">
        <v>37.777700292052799</v>
      </c>
      <c r="C8" s="2">
        <v>30.222160233642242</v>
      </c>
      <c r="D8" s="2">
        <v>22.842737</v>
      </c>
      <c r="E8" s="3">
        <v>0.6046619255117911</v>
      </c>
    </row>
    <row r="9" spans="1:20">
      <c r="A9" s="1" t="s">
        <v>5</v>
      </c>
      <c r="B9" s="2">
        <v>28.415031147189598</v>
      </c>
      <c r="C9" s="2">
        <v>22.73202491775168</v>
      </c>
      <c r="D9" s="2">
        <v>20.914867999999998</v>
      </c>
      <c r="E9" s="3">
        <v>0.73604944832406394</v>
      </c>
    </row>
    <row r="10" spans="1:20">
      <c r="A10" s="1" t="s">
        <v>7</v>
      </c>
      <c r="B10" s="2">
        <v>294.9809575933071</v>
      </c>
      <c r="C10" s="2">
        <v>235.98476607464568</v>
      </c>
      <c r="D10" s="2">
        <v>194.22019800000001</v>
      </c>
      <c r="E10" s="3">
        <v>0.65841605364836175</v>
      </c>
    </row>
    <row r="13" spans="1:20">
      <c r="A13" s="5" t="s">
        <v>19</v>
      </c>
      <c r="B13" t="s">
        <v>20</v>
      </c>
      <c r="C13" t="s">
        <v>21</v>
      </c>
      <c r="D13" t="s">
        <v>22</v>
      </c>
      <c r="E13" t="s">
        <v>26</v>
      </c>
      <c r="F13" t="s">
        <v>27</v>
      </c>
      <c r="G13" t="s">
        <v>31</v>
      </c>
      <c r="I13" t="s">
        <v>29</v>
      </c>
      <c r="J13" t="s">
        <v>30</v>
      </c>
      <c r="K13" t="s">
        <v>32</v>
      </c>
      <c r="L13" t="s">
        <v>33</v>
      </c>
      <c r="M13" t="s">
        <v>34</v>
      </c>
      <c r="N13" t="s">
        <v>35</v>
      </c>
      <c r="O13" t="s">
        <v>37</v>
      </c>
      <c r="P13" t="s">
        <v>38</v>
      </c>
      <c r="Q13" t="s">
        <v>39</v>
      </c>
      <c r="R13" t="s">
        <v>40</v>
      </c>
      <c r="S13" t="s">
        <v>41</v>
      </c>
      <c r="T13" t="s">
        <v>42</v>
      </c>
    </row>
    <row r="21" spans="1:15">
      <c r="A21" t="s">
        <v>8</v>
      </c>
      <c r="B21" t="s">
        <v>19</v>
      </c>
      <c r="C21" t="s">
        <v>43</v>
      </c>
      <c r="D21" t="s">
        <v>44</v>
      </c>
      <c r="E21" t="s">
        <v>45</v>
      </c>
      <c r="I21" t="s">
        <v>8</v>
      </c>
      <c r="J21" t="s">
        <v>19</v>
      </c>
      <c r="K21" t="s">
        <v>20</v>
      </c>
      <c r="L21" t="s">
        <v>21</v>
      </c>
      <c r="M21" t="s">
        <v>47</v>
      </c>
      <c r="N21" t="s">
        <v>23</v>
      </c>
      <c r="O21" t="s">
        <v>49</v>
      </c>
    </row>
    <row r="23" spans="1:15">
      <c r="I23" t="s">
        <v>8</v>
      </c>
      <c r="J23" t="s">
        <v>19</v>
      </c>
      <c r="K23" t="s">
        <v>20</v>
      </c>
      <c r="L23" t="s">
        <v>21</v>
      </c>
      <c r="M23" t="s">
        <v>52</v>
      </c>
      <c r="N23" t="s">
        <v>53</v>
      </c>
      <c r="O23" t="s">
        <v>54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46A44-0E3A-1048-A4CD-3B08C44C784B}">
  <sheetPr codeName="工作表2"/>
  <dimension ref="A1:I17"/>
  <sheetViews>
    <sheetView zoomScale="140" zoomScaleNormal="140" workbookViewId="0">
      <selection activeCell="D28" sqref="D28"/>
    </sheetView>
  </sheetViews>
  <sheetFormatPr baseColWidth="10" defaultRowHeight="15"/>
  <sheetData>
    <row r="1" spans="1:9">
      <c r="A1" t="s">
        <v>50</v>
      </c>
      <c r="C1" s="14">
        <v>1</v>
      </c>
      <c r="D1" t="s">
        <v>51</v>
      </c>
      <c r="F1" s="15">
        <v>6.7000000000000004E-2</v>
      </c>
      <c r="G1" t="s">
        <v>122</v>
      </c>
      <c r="H1" s="16" t="s">
        <v>123</v>
      </c>
      <c r="I1" s="16">
        <v>1000000</v>
      </c>
    </row>
    <row r="2" spans="1:9">
      <c r="A2" s="21" t="s">
        <v>134</v>
      </c>
      <c r="B2" s="21" t="s">
        <v>135</v>
      </c>
      <c r="C2" s="22" t="s">
        <v>136</v>
      </c>
      <c r="D2" s="21" t="s">
        <v>137</v>
      </c>
      <c r="E2" s="21" t="s">
        <v>138</v>
      </c>
      <c r="F2" s="23" t="s">
        <v>139</v>
      </c>
      <c r="G2" s="21" t="s">
        <v>140</v>
      </c>
    </row>
    <row r="3" spans="1:9">
      <c r="A3" s="17" t="s">
        <v>86</v>
      </c>
      <c r="B3" s="18" t="s">
        <v>183</v>
      </c>
      <c r="C3" s="19">
        <v>38.297651000000002</v>
      </c>
      <c r="D3" s="20">
        <v>6.7000000000000004E-2</v>
      </c>
      <c r="E3" s="19">
        <v>2</v>
      </c>
      <c r="F3" s="19">
        <v>7</v>
      </c>
      <c r="G3" s="19">
        <v>25</v>
      </c>
    </row>
    <row r="4" spans="1:9">
      <c r="A4" s="17" t="s">
        <v>98</v>
      </c>
      <c r="B4" s="18" t="s">
        <v>184</v>
      </c>
      <c r="C4" s="19">
        <v>33.864471000000002</v>
      </c>
      <c r="D4" s="20">
        <v>6.7000000000000004E-2</v>
      </c>
      <c r="E4" s="19">
        <v>4</v>
      </c>
      <c r="F4" s="19">
        <v>7</v>
      </c>
      <c r="G4" s="19">
        <v>24</v>
      </c>
    </row>
    <row r="5" spans="1:9">
      <c r="A5" s="17" t="s">
        <v>99</v>
      </c>
      <c r="B5" s="18" t="s">
        <v>185</v>
      </c>
      <c r="C5" s="19">
        <v>55.795425999999999</v>
      </c>
      <c r="D5" s="20">
        <v>6.7000000000000004E-2</v>
      </c>
      <c r="E5" s="19">
        <v>0</v>
      </c>
      <c r="F5" s="19">
        <v>12</v>
      </c>
      <c r="G5" s="19">
        <v>33</v>
      </c>
    </row>
    <row r="6" spans="1:9">
      <c r="A6" s="17" t="s">
        <v>100</v>
      </c>
      <c r="B6" s="18" t="s">
        <v>186</v>
      </c>
      <c r="C6" s="19">
        <v>30.353518000000001</v>
      </c>
      <c r="D6" s="20">
        <v>6.7000000000000004E-2</v>
      </c>
      <c r="E6" s="19">
        <v>0</v>
      </c>
      <c r="F6" s="19">
        <v>7</v>
      </c>
      <c r="G6" s="19">
        <v>19</v>
      </c>
    </row>
    <row r="7" spans="1:9">
      <c r="A7" s="17" t="s">
        <v>101</v>
      </c>
      <c r="B7" s="18" t="s">
        <v>187</v>
      </c>
      <c r="C7" s="19">
        <v>26.052395000000001</v>
      </c>
      <c r="D7" s="20">
        <v>6.7000000000000004E-2</v>
      </c>
      <c r="E7" s="19">
        <v>0</v>
      </c>
      <c r="F7" s="19">
        <v>7</v>
      </c>
      <c r="G7" s="19">
        <v>12</v>
      </c>
    </row>
    <row r="8" spans="1:9">
      <c r="A8" s="17" t="s">
        <v>102</v>
      </c>
      <c r="B8" s="18" t="s">
        <v>188</v>
      </c>
      <c r="C8" s="19">
        <v>22.49062</v>
      </c>
      <c r="D8" s="20">
        <v>6.7000000000000004E-2</v>
      </c>
      <c r="E8" s="19">
        <v>0</v>
      </c>
      <c r="F8" s="19">
        <v>7</v>
      </c>
      <c r="G8" s="19">
        <v>13</v>
      </c>
    </row>
    <row r="9" spans="1:9">
      <c r="A9" s="17" t="s">
        <v>103</v>
      </c>
      <c r="B9" s="18" t="s">
        <v>189</v>
      </c>
      <c r="C9" s="19">
        <v>25.549302000000001</v>
      </c>
      <c r="D9" s="20">
        <v>6.7000000000000004E-2</v>
      </c>
      <c r="E9" s="19">
        <v>0</v>
      </c>
      <c r="F9" s="19">
        <v>7</v>
      </c>
      <c r="G9" s="19">
        <v>15</v>
      </c>
    </row>
    <row r="10" spans="1:9">
      <c r="A10" s="17"/>
      <c r="B10" s="18"/>
      <c r="C10" s="19"/>
      <c r="D10" s="20"/>
      <c r="E10" s="19"/>
      <c r="F10" s="19"/>
      <c r="G10" s="19"/>
    </row>
    <row r="11" spans="1:9">
      <c r="A11" s="17"/>
      <c r="B11" s="18"/>
      <c r="C11" s="19"/>
      <c r="D11" s="20"/>
      <c r="E11" s="19"/>
      <c r="F11" s="19"/>
      <c r="G11" s="19"/>
    </row>
    <row r="12" spans="1:9">
      <c r="A12" s="17"/>
      <c r="B12" s="18"/>
      <c r="C12" s="19"/>
      <c r="D12" s="20"/>
      <c r="E12" s="19"/>
      <c r="F12" s="19"/>
      <c r="G12" s="19"/>
    </row>
    <row r="13" spans="1:9">
      <c r="A13" s="17"/>
      <c r="B13" s="18"/>
      <c r="C13" s="19"/>
      <c r="D13" s="20"/>
      <c r="E13" s="19"/>
      <c r="F13" s="19"/>
      <c r="G13" s="19"/>
    </row>
    <row r="14" spans="1:9">
      <c r="A14" s="17"/>
      <c r="B14" s="18"/>
      <c r="C14" s="19"/>
      <c r="D14" s="20"/>
      <c r="E14" s="19"/>
      <c r="F14" s="19"/>
      <c r="G14" s="19"/>
    </row>
    <row r="15" spans="1:9">
      <c r="A15" s="17"/>
      <c r="B15" s="18"/>
      <c r="C15" s="19"/>
      <c r="D15" s="20"/>
      <c r="E15" s="19"/>
      <c r="F15" s="19"/>
      <c r="G15" s="19"/>
    </row>
    <row r="16" spans="1:9">
      <c r="A16" s="17"/>
      <c r="B16" s="18"/>
      <c r="C16" s="19"/>
      <c r="D16" s="20"/>
      <c r="E16" s="19"/>
      <c r="F16" s="19"/>
      <c r="G16" s="19"/>
    </row>
    <row r="17" spans="1:7">
      <c r="A17" s="17"/>
      <c r="B17" s="18"/>
      <c r="C17" s="19"/>
      <c r="D17" s="20"/>
      <c r="E17" s="19"/>
      <c r="F17" s="19"/>
      <c r="G17" s="19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0B785-2E93-724C-8B09-A83559202087}">
  <sheetPr codeName="工作表3"/>
  <dimension ref="A10:K35"/>
  <sheetViews>
    <sheetView tabSelected="1" workbookViewId="0">
      <selection activeCell="M8" sqref="M8"/>
    </sheetView>
  </sheetViews>
  <sheetFormatPr baseColWidth="10" defaultRowHeight="15"/>
  <sheetData>
    <row r="10" spans="1:11">
      <c r="A10" s="6" t="s">
        <v>141</v>
      </c>
      <c r="B10" s="6" t="s">
        <v>142</v>
      </c>
      <c r="C10" s="6" t="s">
        <v>143</v>
      </c>
      <c r="D10" s="6" t="s">
        <v>144</v>
      </c>
      <c r="E10" s="6" t="s">
        <v>145</v>
      </c>
      <c r="F10" s="6" t="s">
        <v>146</v>
      </c>
      <c r="G10" s="6" t="s">
        <v>147</v>
      </c>
      <c r="H10" s="6" t="s">
        <v>148</v>
      </c>
      <c r="I10" s="6" t="s">
        <v>104</v>
      </c>
      <c r="J10" s="6" t="s">
        <v>149</v>
      </c>
      <c r="K10" s="6" t="s">
        <v>150</v>
      </c>
    </row>
    <row r="11" spans="1:11">
      <c r="A11" s="7" t="s">
        <v>86</v>
      </c>
      <c r="B11" s="7" t="s">
        <v>87</v>
      </c>
      <c r="C11" s="7" t="s">
        <v>88</v>
      </c>
      <c r="D11" s="7" t="s">
        <v>89</v>
      </c>
      <c r="E11" s="7" t="s">
        <v>55</v>
      </c>
      <c r="F11" s="7" t="s">
        <v>56</v>
      </c>
      <c r="G11" s="7" t="s">
        <v>59</v>
      </c>
      <c r="H11" s="7" t="s">
        <v>36</v>
      </c>
      <c r="I11" s="8">
        <v>1</v>
      </c>
      <c r="J11" s="8">
        <v>37440</v>
      </c>
      <c r="K11" s="8">
        <v>500000</v>
      </c>
    </row>
    <row r="12" spans="1:11">
      <c r="A12" s="7" t="s">
        <v>86</v>
      </c>
      <c r="B12" s="7" t="s">
        <v>87</v>
      </c>
      <c r="C12" s="7" t="s">
        <v>90</v>
      </c>
      <c r="D12" s="7" t="s">
        <v>91</v>
      </c>
      <c r="E12" s="7" t="s">
        <v>55</v>
      </c>
      <c r="F12" s="7" t="s">
        <v>56</v>
      </c>
      <c r="G12" s="7" t="s">
        <v>57</v>
      </c>
      <c r="H12" s="7" t="s">
        <v>58</v>
      </c>
      <c r="I12" s="8">
        <v>2</v>
      </c>
      <c r="J12" s="8">
        <v>410000</v>
      </c>
      <c r="K12" s="8">
        <v>4100000</v>
      </c>
    </row>
    <row r="13" spans="1:11">
      <c r="A13" s="7" t="s">
        <v>86</v>
      </c>
      <c r="B13" s="7" t="s">
        <v>87</v>
      </c>
      <c r="C13" s="7" t="s">
        <v>90</v>
      </c>
      <c r="D13" s="7" t="s">
        <v>91</v>
      </c>
      <c r="E13" s="7" t="s">
        <v>55</v>
      </c>
      <c r="F13" s="7" t="s">
        <v>56</v>
      </c>
      <c r="G13" s="7" t="s">
        <v>59</v>
      </c>
      <c r="H13" s="7" t="s">
        <v>36</v>
      </c>
      <c r="I13" s="8">
        <v>4</v>
      </c>
      <c r="J13" s="8">
        <v>231978</v>
      </c>
      <c r="K13" s="8">
        <v>3081818</v>
      </c>
    </row>
    <row r="14" spans="1:11">
      <c r="A14" s="7" t="s">
        <v>86</v>
      </c>
      <c r="B14" s="7" t="s">
        <v>87</v>
      </c>
      <c r="C14" s="7" t="s">
        <v>90</v>
      </c>
      <c r="D14" s="7" t="s">
        <v>91</v>
      </c>
      <c r="E14" s="7" t="s">
        <v>55</v>
      </c>
      <c r="F14" s="7" t="s">
        <v>56</v>
      </c>
      <c r="G14" s="7" t="s">
        <v>60</v>
      </c>
      <c r="H14" s="7" t="s">
        <v>28</v>
      </c>
      <c r="I14" s="8">
        <v>5</v>
      </c>
      <c r="J14" s="8">
        <v>228911.22718799999</v>
      </c>
      <c r="K14" s="8">
        <v>2877272</v>
      </c>
    </row>
    <row r="15" spans="1:11">
      <c r="A15" s="7" t="s">
        <v>86</v>
      </c>
      <c r="B15" s="7" t="s">
        <v>87</v>
      </c>
      <c r="C15" s="7" t="s">
        <v>90</v>
      </c>
      <c r="D15" s="7" t="s">
        <v>91</v>
      </c>
      <c r="E15" s="7" t="s">
        <v>55</v>
      </c>
      <c r="F15" s="7" t="s">
        <v>56</v>
      </c>
      <c r="G15" s="7" t="s">
        <v>82</v>
      </c>
      <c r="H15" s="7" t="s">
        <v>83</v>
      </c>
      <c r="I15" s="8">
        <v>2</v>
      </c>
      <c r="J15" s="8">
        <v>55273</v>
      </c>
      <c r="K15" s="8">
        <v>907273</v>
      </c>
    </row>
    <row r="16" spans="1:11">
      <c r="A16" s="7" t="s">
        <v>86</v>
      </c>
      <c r="B16" s="7" t="s">
        <v>87</v>
      </c>
      <c r="C16" s="7" t="s">
        <v>90</v>
      </c>
      <c r="D16" s="7" t="s">
        <v>91</v>
      </c>
      <c r="E16" s="7" t="s">
        <v>55</v>
      </c>
      <c r="F16" s="7" t="s">
        <v>56</v>
      </c>
      <c r="G16" s="7" t="s">
        <v>61</v>
      </c>
      <c r="H16" s="7" t="s">
        <v>62</v>
      </c>
      <c r="I16" s="8">
        <v>5</v>
      </c>
      <c r="J16" s="8">
        <v>106911</v>
      </c>
      <c r="K16" s="8">
        <v>1540911</v>
      </c>
    </row>
    <row r="17" spans="1:11">
      <c r="A17" s="7" t="s">
        <v>86</v>
      </c>
      <c r="B17" s="7" t="s">
        <v>87</v>
      </c>
      <c r="C17" s="7" t="s">
        <v>90</v>
      </c>
      <c r="D17" s="7" t="s">
        <v>91</v>
      </c>
      <c r="E17" s="7" t="s">
        <v>55</v>
      </c>
      <c r="F17" s="7" t="s">
        <v>56</v>
      </c>
      <c r="G17" s="7" t="s">
        <v>63</v>
      </c>
      <c r="H17" s="7" t="s">
        <v>64</v>
      </c>
      <c r="I17" s="8">
        <v>6</v>
      </c>
      <c r="J17" s="8">
        <v>577998</v>
      </c>
      <c r="K17" s="8">
        <v>7239998</v>
      </c>
    </row>
    <row r="18" spans="1:11">
      <c r="A18" s="7" t="s">
        <v>86</v>
      </c>
      <c r="B18" s="7" t="s">
        <v>87</v>
      </c>
      <c r="C18" s="7" t="s">
        <v>90</v>
      </c>
      <c r="D18" s="7" t="s">
        <v>91</v>
      </c>
      <c r="E18" s="7" t="s">
        <v>65</v>
      </c>
      <c r="F18" s="7" t="s">
        <v>66</v>
      </c>
      <c r="G18" s="7" t="s">
        <v>67</v>
      </c>
      <c r="H18" s="7" t="s">
        <v>68</v>
      </c>
      <c r="I18" s="8">
        <v>5</v>
      </c>
      <c r="J18" s="8">
        <v>165802.994056</v>
      </c>
      <c r="K18" s="8">
        <v>731818</v>
      </c>
    </row>
    <row r="19" spans="1:11">
      <c r="A19" s="7" t="s">
        <v>86</v>
      </c>
      <c r="B19" s="7" t="s">
        <v>87</v>
      </c>
      <c r="C19" s="7" t="s">
        <v>90</v>
      </c>
      <c r="D19" s="7" t="s">
        <v>91</v>
      </c>
      <c r="E19" s="7" t="s">
        <v>65</v>
      </c>
      <c r="F19" s="7" t="s">
        <v>66</v>
      </c>
      <c r="G19" s="7" t="s">
        <v>69</v>
      </c>
      <c r="H19" s="7" t="s">
        <v>70</v>
      </c>
      <c r="I19" s="8">
        <v>15</v>
      </c>
      <c r="J19" s="8">
        <v>520367.29158100003</v>
      </c>
      <c r="K19" s="8">
        <v>2086363</v>
      </c>
    </row>
    <row r="20" spans="1:11">
      <c r="A20" s="7" t="s">
        <v>86</v>
      </c>
      <c r="B20" s="7" t="s">
        <v>87</v>
      </c>
      <c r="C20" s="7" t="s">
        <v>90</v>
      </c>
      <c r="D20" s="7" t="s">
        <v>91</v>
      </c>
      <c r="E20" s="7" t="s">
        <v>65</v>
      </c>
      <c r="F20" s="7" t="s">
        <v>66</v>
      </c>
      <c r="G20" s="7" t="s">
        <v>71</v>
      </c>
      <c r="H20" s="7" t="s">
        <v>72</v>
      </c>
      <c r="I20" s="8">
        <v>12</v>
      </c>
      <c r="J20" s="8">
        <v>226274.999863</v>
      </c>
      <c r="K20" s="8">
        <v>1127275</v>
      </c>
    </row>
    <row r="21" spans="1:11">
      <c r="A21" s="7" t="s">
        <v>86</v>
      </c>
      <c r="B21" s="7" t="s">
        <v>87</v>
      </c>
      <c r="C21" s="7" t="s">
        <v>90</v>
      </c>
      <c r="D21" s="7" t="s">
        <v>91</v>
      </c>
      <c r="E21" s="7" t="s">
        <v>65</v>
      </c>
      <c r="F21" s="7" t="s">
        <v>66</v>
      </c>
      <c r="G21" s="7" t="s">
        <v>84</v>
      </c>
      <c r="H21" s="7" t="s">
        <v>85</v>
      </c>
      <c r="I21" s="8">
        <v>2</v>
      </c>
      <c r="J21" s="8">
        <v>23090</v>
      </c>
      <c r="K21" s="8">
        <v>89090</v>
      </c>
    </row>
    <row r="22" spans="1:11">
      <c r="A22" s="7" t="s">
        <v>86</v>
      </c>
      <c r="B22" s="7" t="s">
        <v>87</v>
      </c>
      <c r="C22" s="7" t="s">
        <v>90</v>
      </c>
      <c r="D22" s="7" t="s">
        <v>91</v>
      </c>
      <c r="E22" s="7" t="s">
        <v>73</v>
      </c>
      <c r="F22" s="7" t="s">
        <v>74</v>
      </c>
      <c r="G22" s="7" t="s">
        <v>67</v>
      </c>
      <c r="H22" s="7" t="s">
        <v>68</v>
      </c>
      <c r="I22" s="8">
        <v>1</v>
      </c>
      <c r="J22" s="8">
        <v>1873</v>
      </c>
      <c r="K22" s="8">
        <v>6273</v>
      </c>
    </row>
    <row r="23" spans="1:11">
      <c r="A23" s="7" t="s">
        <v>86</v>
      </c>
      <c r="B23" s="7" t="s">
        <v>87</v>
      </c>
      <c r="C23" s="7" t="s">
        <v>90</v>
      </c>
      <c r="D23" s="7" t="s">
        <v>91</v>
      </c>
      <c r="E23" s="7" t="s">
        <v>73</v>
      </c>
      <c r="F23" s="7" t="s">
        <v>74</v>
      </c>
      <c r="G23" s="7" t="s">
        <v>69</v>
      </c>
      <c r="H23" s="7" t="s">
        <v>70</v>
      </c>
      <c r="I23" s="8">
        <v>10</v>
      </c>
      <c r="J23" s="8">
        <v>93415.654557999995</v>
      </c>
      <c r="K23" s="8">
        <v>171182</v>
      </c>
    </row>
    <row r="24" spans="1:11">
      <c r="A24" s="7" t="s">
        <v>86</v>
      </c>
      <c r="B24" s="7" t="s">
        <v>87</v>
      </c>
      <c r="C24" s="7" t="s">
        <v>90</v>
      </c>
      <c r="D24" s="7" t="s">
        <v>91</v>
      </c>
      <c r="E24" s="7" t="s">
        <v>73</v>
      </c>
      <c r="F24" s="7" t="s">
        <v>74</v>
      </c>
      <c r="G24" s="7" t="s">
        <v>71</v>
      </c>
      <c r="H24" s="7" t="s">
        <v>72</v>
      </c>
      <c r="I24" s="8">
        <v>23</v>
      </c>
      <c r="J24" s="8">
        <v>264492</v>
      </c>
      <c r="K24" s="8">
        <v>591092</v>
      </c>
    </row>
    <row r="25" spans="1:11">
      <c r="A25" s="7" t="s">
        <v>86</v>
      </c>
      <c r="B25" s="7" t="s">
        <v>87</v>
      </c>
      <c r="C25" s="7" t="s">
        <v>90</v>
      </c>
      <c r="D25" s="7" t="s">
        <v>91</v>
      </c>
      <c r="E25" s="7" t="s">
        <v>73</v>
      </c>
      <c r="F25" s="7" t="s">
        <v>74</v>
      </c>
      <c r="G25" s="7" t="s">
        <v>75</v>
      </c>
      <c r="H25" s="7" t="s">
        <v>76</v>
      </c>
      <c r="I25" s="8">
        <v>7</v>
      </c>
      <c r="J25" s="8">
        <v>30827</v>
      </c>
      <c r="K25" s="8">
        <v>76727</v>
      </c>
    </row>
    <row r="26" spans="1:11">
      <c r="A26" s="7" t="s">
        <v>86</v>
      </c>
      <c r="B26" s="7" t="s">
        <v>87</v>
      </c>
      <c r="C26" s="7" t="s">
        <v>90</v>
      </c>
      <c r="D26" s="7" t="s">
        <v>91</v>
      </c>
      <c r="E26" s="7" t="s">
        <v>73</v>
      </c>
      <c r="F26" s="7" t="s">
        <v>74</v>
      </c>
      <c r="G26" s="7" t="s">
        <v>77</v>
      </c>
      <c r="H26" s="7" t="s">
        <v>78</v>
      </c>
      <c r="I26" s="8">
        <v>3</v>
      </c>
      <c r="J26" s="8">
        <v>30222</v>
      </c>
      <c r="K26" s="8">
        <v>66272</v>
      </c>
    </row>
    <row r="27" spans="1:11">
      <c r="A27" s="7" t="s">
        <v>86</v>
      </c>
      <c r="B27" s="7" t="s">
        <v>87</v>
      </c>
      <c r="C27" s="7" t="s">
        <v>90</v>
      </c>
      <c r="D27" s="7" t="s">
        <v>91</v>
      </c>
      <c r="E27" s="7" t="s">
        <v>79</v>
      </c>
      <c r="F27" s="7" t="s">
        <v>80</v>
      </c>
      <c r="G27" s="7" t="s">
        <v>81</v>
      </c>
      <c r="H27" s="7" t="s">
        <v>80</v>
      </c>
      <c r="I27" s="8">
        <v>13</v>
      </c>
      <c r="J27" s="8">
        <v>0</v>
      </c>
      <c r="K27" s="8">
        <v>0</v>
      </c>
    </row>
    <row r="28" spans="1:11">
      <c r="A28" s="7" t="s">
        <v>86</v>
      </c>
      <c r="B28" s="7" t="s">
        <v>87</v>
      </c>
      <c r="C28" s="7" t="s">
        <v>92</v>
      </c>
      <c r="D28" s="7" t="s">
        <v>93</v>
      </c>
      <c r="E28" s="7" t="s">
        <v>55</v>
      </c>
      <c r="F28" s="7" t="s">
        <v>56</v>
      </c>
      <c r="G28" s="7" t="s">
        <v>59</v>
      </c>
      <c r="H28" s="7" t="s">
        <v>36</v>
      </c>
      <c r="I28" s="8">
        <v>5</v>
      </c>
      <c r="J28" s="8">
        <v>449394</v>
      </c>
      <c r="K28" s="8">
        <v>5954544</v>
      </c>
    </row>
    <row r="29" spans="1:11">
      <c r="A29" s="7" t="s">
        <v>86</v>
      </c>
      <c r="B29" s="7" t="s">
        <v>87</v>
      </c>
      <c r="C29" s="7" t="s">
        <v>92</v>
      </c>
      <c r="D29" s="7" t="s">
        <v>93</v>
      </c>
      <c r="E29" s="7" t="s">
        <v>55</v>
      </c>
      <c r="F29" s="7" t="s">
        <v>56</v>
      </c>
      <c r="G29" s="7" t="s">
        <v>60</v>
      </c>
      <c r="H29" s="7" t="s">
        <v>28</v>
      </c>
      <c r="I29" s="8">
        <v>6</v>
      </c>
      <c r="J29" s="8">
        <v>259311.85804600001</v>
      </c>
      <c r="K29" s="8">
        <v>3285454</v>
      </c>
    </row>
    <row r="30" spans="1:11">
      <c r="A30" s="7" t="s">
        <v>86</v>
      </c>
      <c r="B30" s="7" t="s">
        <v>87</v>
      </c>
      <c r="C30" s="7" t="s">
        <v>92</v>
      </c>
      <c r="D30" s="7" t="s">
        <v>93</v>
      </c>
      <c r="E30" s="7" t="s">
        <v>55</v>
      </c>
      <c r="F30" s="7" t="s">
        <v>56</v>
      </c>
      <c r="G30" s="7" t="s">
        <v>82</v>
      </c>
      <c r="H30" s="7" t="s">
        <v>83</v>
      </c>
      <c r="I30" s="8">
        <v>3</v>
      </c>
      <c r="J30" s="8">
        <v>82908</v>
      </c>
      <c r="K30" s="8">
        <v>1360908</v>
      </c>
    </row>
    <row r="31" spans="1:11">
      <c r="A31" s="7" t="s">
        <v>86</v>
      </c>
      <c r="B31" s="7" t="s">
        <v>87</v>
      </c>
      <c r="C31" s="7" t="s">
        <v>92</v>
      </c>
      <c r="D31" s="7" t="s">
        <v>93</v>
      </c>
      <c r="E31" s="7" t="s">
        <v>55</v>
      </c>
      <c r="F31" s="7" t="s">
        <v>56</v>
      </c>
      <c r="G31" s="7" t="s">
        <v>61</v>
      </c>
      <c r="H31" s="7" t="s">
        <v>62</v>
      </c>
      <c r="I31" s="8">
        <v>4</v>
      </c>
      <c r="J31" s="8">
        <v>125547</v>
      </c>
      <c r="K31" s="8">
        <v>1814547</v>
      </c>
    </row>
    <row r="32" spans="1:11">
      <c r="A32" s="7" t="s">
        <v>86</v>
      </c>
      <c r="B32" s="7" t="s">
        <v>87</v>
      </c>
      <c r="C32" s="7" t="s">
        <v>92</v>
      </c>
      <c r="D32" s="7" t="s">
        <v>93</v>
      </c>
      <c r="E32" s="7" t="s">
        <v>55</v>
      </c>
      <c r="F32" s="7" t="s">
        <v>56</v>
      </c>
      <c r="G32" s="7" t="s">
        <v>63</v>
      </c>
      <c r="H32" s="7" t="s">
        <v>64</v>
      </c>
      <c r="I32" s="8">
        <v>1</v>
      </c>
      <c r="J32" s="8">
        <v>74455</v>
      </c>
      <c r="K32" s="8">
        <v>935455</v>
      </c>
    </row>
    <row r="33" spans="1:11">
      <c r="A33" s="7" t="s">
        <v>86</v>
      </c>
      <c r="B33" s="7" t="s">
        <v>87</v>
      </c>
      <c r="C33" s="7" t="s">
        <v>92</v>
      </c>
      <c r="D33" s="7" t="s">
        <v>93</v>
      </c>
      <c r="E33" s="7" t="s">
        <v>65</v>
      </c>
      <c r="F33" s="7" t="s">
        <v>66</v>
      </c>
      <c r="G33" s="7" t="s">
        <v>67</v>
      </c>
      <c r="H33" s="7" t="s">
        <v>68</v>
      </c>
      <c r="I33" s="8">
        <v>1</v>
      </c>
      <c r="J33" s="8">
        <v>10908.996716</v>
      </c>
      <c r="K33" s="8">
        <v>80909</v>
      </c>
    </row>
    <row r="34" spans="1:11">
      <c r="A34" s="7" t="s">
        <v>86</v>
      </c>
      <c r="B34" s="7" t="s">
        <v>87</v>
      </c>
      <c r="C34" s="7" t="s">
        <v>92</v>
      </c>
      <c r="D34" s="7" t="s">
        <v>93</v>
      </c>
      <c r="E34" s="7" t="s">
        <v>65</v>
      </c>
      <c r="F34" s="7" t="s">
        <v>66</v>
      </c>
      <c r="G34" s="7" t="s">
        <v>69</v>
      </c>
      <c r="H34" s="7" t="s">
        <v>70</v>
      </c>
      <c r="I34" s="8">
        <v>37</v>
      </c>
      <c r="J34" s="8">
        <v>1129093.985745</v>
      </c>
      <c r="K34" s="8">
        <v>4489088</v>
      </c>
    </row>
    <row r="35" spans="1:11">
      <c r="A35" s="7" t="s">
        <v>86</v>
      </c>
      <c r="B35" s="7" t="s">
        <v>87</v>
      </c>
      <c r="C35" s="7" t="s">
        <v>92</v>
      </c>
      <c r="D35" s="7" t="s">
        <v>93</v>
      </c>
      <c r="E35" s="7" t="s">
        <v>65</v>
      </c>
      <c r="F35" s="7" t="s">
        <v>66</v>
      </c>
      <c r="G35" s="7" t="s">
        <v>71</v>
      </c>
      <c r="H35" s="7" t="s">
        <v>72</v>
      </c>
      <c r="I35" s="8">
        <v>17</v>
      </c>
      <c r="J35" s="8">
        <v>167637.9999</v>
      </c>
      <c r="K35" s="8">
        <v>1333638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art" altText="Start">
                <anchor moveWithCells="1" sizeWithCells="1">
                  <from>
                    <xdr:col>1</xdr:col>
                    <xdr:colOff>0</xdr:colOff>
                    <xdr:row>2</xdr:row>
                    <xdr:rowOff>12700</xdr:rowOff>
                  </from>
                  <to>
                    <xdr:col>4</xdr:col>
                    <xdr:colOff>368300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learData">
                <anchor moveWithCells="1" sizeWithCells="1">
                  <from>
                    <xdr:col>5</xdr:col>
                    <xdr:colOff>88900</xdr:colOff>
                    <xdr:row>2</xdr:row>
                    <xdr:rowOff>38100</xdr:rowOff>
                  </from>
                  <to>
                    <xdr:col>7</xdr:col>
                    <xdr:colOff>749300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720B-8534-FD48-A833-AA1DE519D4A5}">
  <sheetPr codeName="工作表4"/>
  <dimension ref="A1:J15"/>
  <sheetViews>
    <sheetView workbookViewId="0">
      <selection activeCell="K29" sqref="K29"/>
    </sheetView>
  </sheetViews>
  <sheetFormatPr baseColWidth="10" defaultRowHeight="15"/>
  <sheetData>
    <row r="1" spans="1:10">
      <c r="A1" s="9" t="s">
        <v>141</v>
      </c>
      <c r="B1" s="9" t="s">
        <v>142</v>
      </c>
      <c r="C1" s="9" t="s">
        <v>151</v>
      </c>
      <c r="D1" s="9" t="s">
        <v>144</v>
      </c>
      <c r="E1" s="9" t="s">
        <v>152</v>
      </c>
      <c r="F1" s="9" t="s">
        <v>153</v>
      </c>
      <c r="G1" s="9" t="s">
        <v>154</v>
      </c>
      <c r="H1" s="9" t="s">
        <v>155</v>
      </c>
      <c r="I1" s="9" t="s">
        <v>104</v>
      </c>
      <c r="J1" s="9" t="s">
        <v>156</v>
      </c>
    </row>
    <row r="2" spans="1:10">
      <c r="A2" s="7" t="s">
        <v>86</v>
      </c>
      <c r="B2" s="7" t="s">
        <v>87</v>
      </c>
      <c r="C2" s="7" t="s">
        <v>90</v>
      </c>
      <c r="D2" s="7" t="s">
        <v>91</v>
      </c>
      <c r="E2" s="7" t="s">
        <v>114</v>
      </c>
      <c r="F2" s="7" t="s">
        <v>115</v>
      </c>
      <c r="G2" s="7" t="s">
        <v>116</v>
      </c>
      <c r="H2" s="7" t="s">
        <v>117</v>
      </c>
      <c r="I2" s="8">
        <v>5</v>
      </c>
      <c r="J2" s="8">
        <v>236000</v>
      </c>
    </row>
    <row r="3" spans="1:10">
      <c r="A3" s="7" t="s">
        <v>86</v>
      </c>
      <c r="B3" s="7" t="s">
        <v>87</v>
      </c>
      <c r="C3" s="7" t="s">
        <v>90</v>
      </c>
      <c r="D3" s="7" t="s">
        <v>91</v>
      </c>
      <c r="E3" s="7" t="s">
        <v>114</v>
      </c>
      <c r="F3" s="7" t="s">
        <v>115</v>
      </c>
      <c r="G3" s="7" t="s">
        <v>118</v>
      </c>
      <c r="H3" s="7" t="s">
        <v>119</v>
      </c>
      <c r="I3" s="8">
        <v>3</v>
      </c>
      <c r="J3" s="8">
        <v>225273</v>
      </c>
    </row>
    <row r="4" spans="1:10">
      <c r="A4" s="7" t="s">
        <v>86</v>
      </c>
      <c r="B4" s="7" t="s">
        <v>87</v>
      </c>
      <c r="C4" s="7" t="s">
        <v>90</v>
      </c>
      <c r="D4" s="7" t="s">
        <v>91</v>
      </c>
      <c r="E4" s="7" t="s">
        <v>120</v>
      </c>
      <c r="F4" s="7" t="s">
        <v>121</v>
      </c>
      <c r="G4" s="7" t="s">
        <v>107</v>
      </c>
      <c r="H4" s="7" t="s">
        <v>108</v>
      </c>
      <c r="I4" s="8">
        <v>1</v>
      </c>
      <c r="J4" s="8">
        <v>122182</v>
      </c>
    </row>
    <row r="5" spans="1:10">
      <c r="A5" s="7" t="s">
        <v>86</v>
      </c>
      <c r="B5" s="7" t="s">
        <v>87</v>
      </c>
      <c r="C5" s="7" t="s">
        <v>90</v>
      </c>
      <c r="D5" s="7" t="s">
        <v>91</v>
      </c>
      <c r="E5" s="7" t="s">
        <v>120</v>
      </c>
      <c r="F5" s="7" t="s">
        <v>121</v>
      </c>
      <c r="G5" s="7" t="s">
        <v>109</v>
      </c>
      <c r="H5" s="7" t="s">
        <v>110</v>
      </c>
      <c r="I5" s="8">
        <v>4</v>
      </c>
      <c r="J5" s="8">
        <v>145274</v>
      </c>
    </row>
    <row r="6" spans="1:10">
      <c r="A6" s="7" t="s">
        <v>86</v>
      </c>
      <c r="B6" s="7" t="s">
        <v>87</v>
      </c>
      <c r="C6" s="7" t="s">
        <v>92</v>
      </c>
      <c r="D6" s="7" t="s">
        <v>93</v>
      </c>
      <c r="E6" s="7" t="s">
        <v>114</v>
      </c>
      <c r="F6" s="7" t="s">
        <v>115</v>
      </c>
      <c r="G6" s="7" t="s">
        <v>116</v>
      </c>
      <c r="H6" s="7" t="s">
        <v>117</v>
      </c>
      <c r="I6" s="8">
        <v>6</v>
      </c>
      <c r="J6" s="8">
        <v>292364</v>
      </c>
    </row>
    <row r="7" spans="1:10">
      <c r="A7" s="7" t="s">
        <v>86</v>
      </c>
      <c r="B7" s="7" t="s">
        <v>87</v>
      </c>
      <c r="C7" s="7" t="s">
        <v>92</v>
      </c>
      <c r="D7" s="7" t="s">
        <v>93</v>
      </c>
      <c r="E7" s="7" t="s">
        <v>114</v>
      </c>
      <c r="F7" s="7" t="s">
        <v>115</v>
      </c>
      <c r="G7" s="7" t="s">
        <v>118</v>
      </c>
      <c r="H7" s="7" t="s">
        <v>119</v>
      </c>
      <c r="I7" s="8">
        <v>9</v>
      </c>
      <c r="J7" s="8">
        <v>675818</v>
      </c>
    </row>
    <row r="8" spans="1:10">
      <c r="A8" s="7" t="s">
        <v>86</v>
      </c>
      <c r="B8" s="7" t="s">
        <v>87</v>
      </c>
      <c r="C8" s="7" t="s">
        <v>92</v>
      </c>
      <c r="D8" s="7" t="s">
        <v>93</v>
      </c>
      <c r="E8" s="7" t="s">
        <v>120</v>
      </c>
      <c r="F8" s="7" t="s">
        <v>121</v>
      </c>
      <c r="G8" s="7" t="s">
        <v>111</v>
      </c>
      <c r="H8" s="7" t="s">
        <v>112</v>
      </c>
      <c r="I8" s="8">
        <v>3</v>
      </c>
      <c r="J8" s="8">
        <v>35727</v>
      </c>
    </row>
    <row r="9" spans="1:10">
      <c r="A9" s="7" t="s">
        <v>86</v>
      </c>
      <c r="B9" s="7" t="s">
        <v>87</v>
      </c>
      <c r="C9" s="7" t="s">
        <v>94</v>
      </c>
      <c r="D9" s="7" t="s">
        <v>95</v>
      </c>
      <c r="E9" s="7" t="s">
        <v>114</v>
      </c>
      <c r="F9" s="7" t="s">
        <v>115</v>
      </c>
      <c r="G9" s="7" t="s">
        <v>116</v>
      </c>
      <c r="H9" s="7" t="s">
        <v>117</v>
      </c>
      <c r="I9" s="8">
        <v>6</v>
      </c>
      <c r="J9" s="8">
        <v>269454</v>
      </c>
    </row>
    <row r="10" spans="1:10">
      <c r="A10" s="7" t="s">
        <v>86</v>
      </c>
      <c r="B10" s="7" t="s">
        <v>87</v>
      </c>
      <c r="C10" s="7" t="s">
        <v>94</v>
      </c>
      <c r="D10" s="7" t="s">
        <v>95</v>
      </c>
      <c r="E10" s="7" t="s">
        <v>114</v>
      </c>
      <c r="F10" s="7" t="s">
        <v>115</v>
      </c>
      <c r="G10" s="7" t="s">
        <v>118</v>
      </c>
      <c r="H10" s="7" t="s">
        <v>119</v>
      </c>
      <c r="I10" s="8">
        <v>11</v>
      </c>
      <c r="J10" s="8">
        <v>826001</v>
      </c>
    </row>
    <row r="11" spans="1:10">
      <c r="A11" s="7" t="s">
        <v>86</v>
      </c>
      <c r="B11" s="7" t="s">
        <v>87</v>
      </c>
      <c r="C11" s="7" t="s">
        <v>94</v>
      </c>
      <c r="D11" s="7" t="s">
        <v>95</v>
      </c>
      <c r="E11" s="7" t="s">
        <v>120</v>
      </c>
      <c r="F11" s="7" t="s">
        <v>121</v>
      </c>
      <c r="G11" s="7" t="s">
        <v>109</v>
      </c>
      <c r="H11" s="7" t="s">
        <v>110</v>
      </c>
      <c r="I11" s="8">
        <v>2</v>
      </c>
      <c r="J11" s="8">
        <v>80910</v>
      </c>
    </row>
    <row r="12" spans="1:10">
      <c r="A12" s="7" t="s">
        <v>86</v>
      </c>
      <c r="B12" s="7" t="s">
        <v>87</v>
      </c>
      <c r="C12" s="7" t="s">
        <v>94</v>
      </c>
      <c r="D12" s="7" t="s">
        <v>95</v>
      </c>
      <c r="E12" s="7" t="s">
        <v>120</v>
      </c>
      <c r="F12" s="7" t="s">
        <v>121</v>
      </c>
      <c r="G12" s="7" t="s">
        <v>111</v>
      </c>
      <c r="H12" s="7" t="s">
        <v>112</v>
      </c>
      <c r="I12" s="8">
        <v>1</v>
      </c>
      <c r="J12" s="8">
        <v>11909</v>
      </c>
    </row>
    <row r="13" spans="1:10">
      <c r="A13" s="7" t="s">
        <v>86</v>
      </c>
      <c r="B13" s="7" t="s">
        <v>87</v>
      </c>
      <c r="C13" s="7" t="s">
        <v>96</v>
      </c>
      <c r="D13" s="7" t="s">
        <v>97</v>
      </c>
      <c r="E13" s="7" t="s">
        <v>114</v>
      </c>
      <c r="F13" s="7" t="s">
        <v>115</v>
      </c>
      <c r="G13" s="7" t="s">
        <v>116</v>
      </c>
      <c r="H13" s="7" t="s">
        <v>117</v>
      </c>
      <c r="I13" s="8">
        <v>4</v>
      </c>
      <c r="J13" s="8">
        <v>179636</v>
      </c>
    </row>
    <row r="14" spans="1:10">
      <c r="A14" s="7" t="s">
        <v>86</v>
      </c>
      <c r="B14" s="7" t="s">
        <v>87</v>
      </c>
      <c r="C14" s="7" t="s">
        <v>96</v>
      </c>
      <c r="D14" s="7" t="s">
        <v>97</v>
      </c>
      <c r="E14" s="7" t="s">
        <v>114</v>
      </c>
      <c r="F14" s="7" t="s">
        <v>115</v>
      </c>
      <c r="G14" s="7" t="s">
        <v>118</v>
      </c>
      <c r="H14" s="7" t="s">
        <v>119</v>
      </c>
      <c r="I14" s="8">
        <v>4</v>
      </c>
      <c r="J14" s="8">
        <v>300363</v>
      </c>
    </row>
    <row r="15" spans="1:10">
      <c r="A15" s="7" t="s">
        <v>86</v>
      </c>
      <c r="B15" s="7" t="s">
        <v>87</v>
      </c>
      <c r="C15" s="7" t="s">
        <v>96</v>
      </c>
      <c r="D15" s="7" t="s">
        <v>97</v>
      </c>
      <c r="E15" s="7" t="s">
        <v>120</v>
      </c>
      <c r="F15" s="7" t="s">
        <v>121</v>
      </c>
      <c r="G15" s="7" t="s">
        <v>105</v>
      </c>
      <c r="H15" s="7" t="s">
        <v>106</v>
      </c>
      <c r="I15" s="8">
        <v>1</v>
      </c>
      <c r="J15" s="8">
        <v>25091</v>
      </c>
    </row>
  </sheetData>
  <phoneticPr fontId="3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34164-FCDF-2F40-BFB1-FAAA53254A2F}">
  <sheetPr codeName="工作表5"/>
  <dimension ref="A1:AD99"/>
  <sheetViews>
    <sheetView workbookViewId="0">
      <selection activeCell="F1" sqref="F1:F1048576 I1:I1048576 J1:J1048576 O1:O1048576 Q1:Q1048576 T1:T1048576 W1:W1048576 Z1:Z1048576 AC1:AC1048576"/>
    </sheetView>
  </sheetViews>
  <sheetFormatPr baseColWidth="10" defaultRowHeight="15"/>
  <cols>
    <col min="3" max="4" width="10.83203125" style="12"/>
    <col min="5" max="5" width="13.6640625" style="13" bestFit="1" customWidth="1"/>
    <col min="6" max="6" width="10.83203125" style="10"/>
    <col min="7" max="7" width="13.6640625" style="10" bestFit="1" customWidth="1"/>
    <col min="8" max="8" width="10.83203125" style="10"/>
    <col min="9" max="9" width="15.83203125" style="10" customWidth="1"/>
    <col min="10" max="10" width="20" style="10" customWidth="1"/>
    <col min="11" max="11" width="17.83203125" customWidth="1"/>
    <col min="13" max="13" width="14" customWidth="1"/>
    <col min="14" max="14" width="15.1640625" customWidth="1"/>
    <col min="15" max="15" width="16.1640625" style="10" customWidth="1"/>
    <col min="17" max="17" width="10.83203125" style="10"/>
    <col min="20" max="20" width="10.83203125" style="10"/>
    <col min="23" max="23" width="10.83203125" style="10"/>
    <col min="26" max="26" width="10.83203125" style="10"/>
    <col min="29" max="29" width="10.83203125" style="10"/>
  </cols>
  <sheetData>
    <row r="1" spans="1:30">
      <c r="A1" s="6" t="s">
        <v>141</v>
      </c>
      <c r="B1" t="s">
        <v>157</v>
      </c>
      <c r="C1" s="24" t="s">
        <v>10</v>
      </c>
      <c r="D1" s="12" t="s">
        <v>11</v>
      </c>
      <c r="E1" s="12" t="s">
        <v>158</v>
      </c>
      <c r="F1" s="10" t="s">
        <v>13</v>
      </c>
      <c r="G1" s="10" t="s">
        <v>113</v>
      </c>
      <c r="H1" s="10" t="s">
        <v>15</v>
      </c>
      <c r="I1" s="10" t="s">
        <v>159</v>
      </c>
      <c r="J1" s="10" t="s">
        <v>16</v>
      </c>
      <c r="K1" t="s">
        <v>138</v>
      </c>
      <c r="L1" s="10" t="s">
        <v>160</v>
      </c>
      <c r="M1" s="10" t="s">
        <v>161</v>
      </c>
      <c r="N1" s="10" t="s">
        <v>162</v>
      </c>
      <c r="O1" s="10" t="s">
        <v>163</v>
      </c>
      <c r="P1" t="s">
        <v>164</v>
      </c>
      <c r="Q1" s="10" t="s">
        <v>165</v>
      </c>
      <c r="R1" t="s">
        <v>29</v>
      </c>
      <c r="S1" t="s">
        <v>166</v>
      </c>
      <c r="T1" s="10" t="s">
        <v>167</v>
      </c>
      <c r="U1" t="s">
        <v>33</v>
      </c>
      <c r="V1" t="s">
        <v>168</v>
      </c>
      <c r="W1" s="10" t="s">
        <v>169</v>
      </c>
      <c r="X1" t="s">
        <v>37</v>
      </c>
      <c r="Y1" t="s">
        <v>170</v>
      </c>
      <c r="Z1" s="10" t="s">
        <v>171</v>
      </c>
      <c r="AA1" t="s">
        <v>40</v>
      </c>
      <c r="AB1" t="s">
        <v>172</v>
      </c>
      <c r="AC1" s="10" t="s">
        <v>173</v>
      </c>
      <c r="AD1" t="s">
        <v>191</v>
      </c>
    </row>
    <row r="2" spans="1:30">
      <c r="A2" s="7" t="s">
        <v>86</v>
      </c>
      <c r="B2" t="s">
        <v>190</v>
      </c>
      <c r="C2" s="12">
        <v>38.297651000000002</v>
      </c>
      <c r="D2" s="12">
        <v>30.638120800000003</v>
      </c>
      <c r="E2" s="12">
        <v>5.3041330076530002</v>
      </c>
      <c r="F2" s="10">
        <v>0.13849760675016334</v>
      </c>
      <c r="G2">
        <v>0.91154599999999997</v>
      </c>
      <c r="H2">
        <v>6.7000000000000004E-2</v>
      </c>
      <c r="I2" s="10">
        <v>2.0508187258401166E-2</v>
      </c>
      <c r="J2" s="10">
        <v>0.30609234714031591</v>
      </c>
      <c r="K2">
        <v>2</v>
      </c>
      <c r="L2">
        <v>7</v>
      </c>
      <c r="M2">
        <v>2</v>
      </c>
      <c r="N2">
        <v>25</v>
      </c>
      <c r="O2" s="10">
        <v>0.08</v>
      </c>
      <c r="P2">
        <v>1</v>
      </c>
      <c r="Q2" s="10">
        <v>0.5</v>
      </c>
      <c r="R2">
        <v>23</v>
      </c>
      <c r="S2">
        <v>6</v>
      </c>
      <c r="T2" s="10">
        <v>0.2608695652173913</v>
      </c>
      <c r="U2">
        <v>9</v>
      </c>
      <c r="W2" s="10">
        <v>0</v>
      </c>
      <c r="X2">
        <v>10</v>
      </c>
      <c r="Y2">
        <v>1</v>
      </c>
      <c r="Z2" s="10">
        <v>0.1</v>
      </c>
      <c r="AA2">
        <v>48</v>
      </c>
      <c r="AB2">
        <v>4</v>
      </c>
      <c r="AC2" s="10">
        <v>8.3333333333333329E-2</v>
      </c>
      <c r="AD2">
        <v>44.447907000000001</v>
      </c>
    </row>
    <row r="3" spans="1:30">
      <c r="B3" t="s">
        <v>124</v>
      </c>
      <c r="C3" s="12">
        <v>38.297651000000002</v>
      </c>
      <c r="D3" s="12">
        <v>30.638120800000003</v>
      </c>
      <c r="E3" s="12">
        <v>5.3041330076530002</v>
      </c>
      <c r="F3" s="10">
        <v>0.13849760675016334</v>
      </c>
      <c r="G3"/>
      <c r="H3"/>
    </row>
    <row r="4" spans="1:30">
      <c r="E4" s="12"/>
      <c r="G4"/>
      <c r="H4"/>
    </row>
    <row r="5" spans="1:30">
      <c r="E5" s="12"/>
      <c r="G5"/>
      <c r="H5"/>
    </row>
    <row r="6" spans="1:30">
      <c r="E6" s="12"/>
      <c r="G6"/>
      <c r="H6"/>
    </row>
    <row r="7" spans="1:30">
      <c r="E7" s="12"/>
      <c r="G7"/>
      <c r="H7"/>
    </row>
    <row r="8" spans="1:30">
      <c r="E8" s="12"/>
      <c r="G8"/>
      <c r="H8"/>
    </row>
    <row r="9" spans="1:30">
      <c r="E9" s="12"/>
      <c r="G9"/>
      <c r="H9"/>
    </row>
    <row r="10" spans="1:30">
      <c r="E10" s="12"/>
      <c r="G10"/>
      <c r="H10"/>
    </row>
    <row r="11" spans="1:30">
      <c r="E11" s="12"/>
      <c r="G11"/>
      <c r="H11"/>
    </row>
    <row r="12" spans="1:30">
      <c r="E12" s="12"/>
      <c r="G12"/>
      <c r="H12"/>
    </row>
    <row r="13" spans="1:30">
      <c r="E13" s="12"/>
      <c r="G13"/>
      <c r="H13"/>
    </row>
    <row r="14" spans="1:30">
      <c r="E14" s="12"/>
      <c r="G14"/>
      <c r="H14"/>
    </row>
    <row r="15" spans="1:30">
      <c r="E15" s="12"/>
      <c r="G15"/>
      <c r="H15"/>
    </row>
    <row r="16" spans="1:30">
      <c r="E16" s="12"/>
      <c r="G16"/>
      <c r="H16"/>
    </row>
    <row r="17" spans="5:8">
      <c r="E17" s="12"/>
      <c r="G17"/>
      <c r="H17"/>
    </row>
    <row r="18" spans="5:8">
      <c r="E18" s="12"/>
      <c r="G18"/>
      <c r="H18"/>
    </row>
    <row r="19" spans="5:8">
      <c r="E19" s="12"/>
      <c r="G19"/>
      <c r="H19"/>
    </row>
    <row r="20" spans="5:8">
      <c r="E20" s="12"/>
      <c r="G20"/>
      <c r="H20"/>
    </row>
    <row r="21" spans="5:8">
      <c r="E21" s="12"/>
      <c r="G21"/>
      <c r="H21"/>
    </row>
    <row r="22" spans="5:8">
      <c r="E22" s="12"/>
      <c r="G22"/>
      <c r="H22"/>
    </row>
    <row r="23" spans="5:8">
      <c r="E23" s="12"/>
      <c r="G23"/>
      <c r="H23"/>
    </row>
    <row r="24" spans="5:8">
      <c r="E24" s="12"/>
      <c r="G24"/>
      <c r="H24"/>
    </row>
    <row r="25" spans="5:8">
      <c r="E25" s="12"/>
      <c r="G25"/>
      <c r="H25"/>
    </row>
    <row r="26" spans="5:8">
      <c r="E26" s="12"/>
      <c r="G26"/>
      <c r="H26"/>
    </row>
    <row r="27" spans="5:8">
      <c r="E27" s="12"/>
      <c r="G27"/>
      <c r="H27"/>
    </row>
    <row r="28" spans="5:8">
      <c r="E28" s="12"/>
      <c r="G28"/>
      <c r="H28"/>
    </row>
    <row r="29" spans="5:8">
      <c r="E29" s="12"/>
      <c r="G29"/>
      <c r="H29"/>
    </row>
    <row r="30" spans="5:8">
      <c r="E30" s="12"/>
      <c r="G30"/>
      <c r="H30"/>
    </row>
    <row r="31" spans="5:8">
      <c r="E31" s="12"/>
      <c r="G31"/>
      <c r="H31"/>
    </row>
    <row r="32" spans="5:8">
      <c r="E32" s="12"/>
      <c r="G32"/>
      <c r="H32"/>
    </row>
    <row r="33" spans="5:8">
      <c r="E33" s="12"/>
      <c r="G33"/>
      <c r="H33"/>
    </row>
    <row r="34" spans="5:8">
      <c r="E34" s="12"/>
      <c r="G34"/>
      <c r="H34"/>
    </row>
    <row r="35" spans="5:8">
      <c r="E35" s="12"/>
      <c r="G35"/>
      <c r="H35"/>
    </row>
    <row r="36" spans="5:8">
      <c r="E36" s="12"/>
      <c r="G36"/>
      <c r="H36"/>
    </row>
    <row r="37" spans="5:8">
      <c r="E37" s="12"/>
      <c r="G37"/>
      <c r="H37"/>
    </row>
    <row r="38" spans="5:8">
      <c r="E38" s="12"/>
      <c r="G38"/>
      <c r="H38"/>
    </row>
    <row r="39" spans="5:8">
      <c r="E39" s="12"/>
      <c r="G39"/>
      <c r="H39"/>
    </row>
    <row r="40" spans="5:8">
      <c r="E40" s="12"/>
      <c r="G40"/>
      <c r="H40"/>
    </row>
    <row r="41" spans="5:8">
      <c r="E41" s="12"/>
      <c r="G41"/>
      <c r="H41"/>
    </row>
    <row r="42" spans="5:8">
      <c r="E42" s="12"/>
      <c r="G42"/>
      <c r="H42"/>
    </row>
    <row r="43" spans="5:8">
      <c r="E43" s="12"/>
      <c r="G43"/>
      <c r="H43"/>
    </row>
    <row r="44" spans="5:8">
      <c r="E44" s="12"/>
      <c r="G44"/>
      <c r="H44"/>
    </row>
    <row r="45" spans="5:8">
      <c r="E45" s="12"/>
      <c r="G45"/>
      <c r="H45"/>
    </row>
    <row r="46" spans="5:8">
      <c r="E46" s="12"/>
      <c r="G46"/>
      <c r="H46"/>
    </row>
    <row r="47" spans="5:8">
      <c r="E47" s="12"/>
      <c r="G47"/>
      <c r="H47"/>
    </row>
    <row r="48" spans="5:8">
      <c r="E48" s="12"/>
      <c r="G48"/>
      <c r="H48"/>
    </row>
    <row r="49" spans="5:8">
      <c r="E49" s="12"/>
      <c r="G49"/>
      <c r="H49"/>
    </row>
    <row r="50" spans="5:8">
      <c r="E50" s="12"/>
      <c r="G50"/>
      <c r="H50"/>
    </row>
    <row r="51" spans="5:8">
      <c r="E51" s="12"/>
      <c r="G51"/>
      <c r="H51"/>
    </row>
    <row r="52" spans="5:8">
      <c r="E52" s="12"/>
      <c r="G52"/>
      <c r="H52"/>
    </row>
    <row r="53" spans="5:8">
      <c r="E53" s="12"/>
      <c r="G53"/>
      <c r="H53"/>
    </row>
    <row r="54" spans="5:8">
      <c r="E54" s="12"/>
      <c r="G54"/>
      <c r="H54"/>
    </row>
    <row r="55" spans="5:8">
      <c r="E55" s="12"/>
      <c r="G55"/>
      <c r="H55"/>
    </row>
    <row r="56" spans="5:8">
      <c r="E56" s="12"/>
      <c r="G56"/>
      <c r="H56"/>
    </row>
    <row r="57" spans="5:8">
      <c r="E57" s="12"/>
      <c r="G57"/>
      <c r="H57"/>
    </row>
    <row r="58" spans="5:8">
      <c r="E58" s="12"/>
      <c r="G58"/>
      <c r="H58"/>
    </row>
    <row r="59" spans="5:8">
      <c r="E59" s="12"/>
      <c r="G59"/>
      <c r="H59"/>
    </row>
    <row r="60" spans="5:8">
      <c r="E60" s="12"/>
      <c r="G60"/>
      <c r="H60"/>
    </row>
    <row r="61" spans="5:8">
      <c r="E61" s="12"/>
      <c r="G61"/>
      <c r="H61"/>
    </row>
    <row r="62" spans="5:8">
      <c r="E62" s="12"/>
      <c r="G62"/>
      <c r="H62"/>
    </row>
    <row r="63" spans="5:8">
      <c r="E63" s="12"/>
      <c r="G63"/>
      <c r="H63"/>
    </row>
    <row r="64" spans="5:8">
      <c r="E64" s="12"/>
      <c r="G64"/>
      <c r="H64"/>
    </row>
    <row r="65" spans="5:8">
      <c r="E65" s="12"/>
      <c r="G65"/>
      <c r="H65"/>
    </row>
    <row r="66" spans="5:8">
      <c r="E66" s="12"/>
      <c r="G66"/>
      <c r="H66"/>
    </row>
    <row r="67" spans="5:8">
      <c r="E67" s="12"/>
      <c r="G67"/>
      <c r="H67"/>
    </row>
    <row r="68" spans="5:8">
      <c r="E68" s="12"/>
      <c r="G68"/>
      <c r="H68"/>
    </row>
    <row r="69" spans="5:8">
      <c r="E69" s="12"/>
      <c r="G69"/>
      <c r="H69"/>
    </row>
    <row r="70" spans="5:8">
      <c r="E70" s="12"/>
      <c r="G70"/>
      <c r="H70"/>
    </row>
    <row r="71" spans="5:8">
      <c r="E71" s="12"/>
      <c r="G71"/>
      <c r="H71"/>
    </row>
    <row r="72" spans="5:8">
      <c r="E72" s="12"/>
      <c r="G72"/>
      <c r="H72"/>
    </row>
    <row r="73" spans="5:8">
      <c r="E73" s="12"/>
      <c r="G73"/>
      <c r="H73"/>
    </row>
    <row r="74" spans="5:8">
      <c r="E74" s="12"/>
      <c r="G74"/>
      <c r="H74"/>
    </row>
    <row r="75" spans="5:8">
      <c r="E75" s="12"/>
      <c r="G75"/>
      <c r="H75"/>
    </row>
    <row r="76" spans="5:8">
      <c r="E76" s="12"/>
      <c r="G76"/>
      <c r="H76"/>
    </row>
    <row r="77" spans="5:8">
      <c r="E77" s="12"/>
      <c r="G77"/>
      <c r="H77"/>
    </row>
    <row r="78" spans="5:8">
      <c r="E78" s="12"/>
      <c r="G78"/>
      <c r="H78"/>
    </row>
    <row r="79" spans="5:8">
      <c r="E79" s="12"/>
      <c r="G79"/>
      <c r="H79"/>
    </row>
    <row r="80" spans="5:8">
      <c r="E80" s="12"/>
      <c r="G80"/>
      <c r="H80"/>
    </row>
    <row r="81" spans="5:8">
      <c r="E81" s="12"/>
      <c r="G81"/>
      <c r="H81"/>
    </row>
    <row r="82" spans="5:8">
      <c r="E82" s="12"/>
      <c r="G82"/>
      <c r="H82"/>
    </row>
    <row r="83" spans="5:8">
      <c r="E83" s="12"/>
      <c r="G83"/>
      <c r="H83"/>
    </row>
    <row r="84" spans="5:8">
      <c r="E84" s="12"/>
      <c r="G84"/>
      <c r="H84"/>
    </row>
    <row r="85" spans="5:8">
      <c r="E85" s="12"/>
      <c r="G85"/>
      <c r="H85"/>
    </row>
    <row r="86" spans="5:8">
      <c r="E86" s="12"/>
      <c r="G86"/>
      <c r="H86"/>
    </row>
    <row r="87" spans="5:8">
      <c r="E87" s="12"/>
      <c r="G87"/>
      <c r="H87"/>
    </row>
    <row r="88" spans="5:8">
      <c r="E88" s="12"/>
      <c r="G88"/>
      <c r="H88"/>
    </row>
    <row r="89" spans="5:8">
      <c r="E89" s="12"/>
      <c r="G89"/>
      <c r="H89"/>
    </row>
    <row r="90" spans="5:8">
      <c r="E90" s="12"/>
      <c r="G90"/>
      <c r="H90"/>
    </row>
    <row r="91" spans="5:8">
      <c r="E91" s="12"/>
      <c r="G91"/>
      <c r="H91"/>
    </row>
    <row r="92" spans="5:8">
      <c r="E92" s="12"/>
      <c r="G92"/>
      <c r="H92"/>
    </row>
    <row r="93" spans="5:8">
      <c r="E93" s="12"/>
      <c r="G93"/>
      <c r="H93"/>
    </row>
    <row r="94" spans="5:8">
      <c r="E94" s="12"/>
      <c r="G94"/>
      <c r="H94"/>
    </row>
    <row r="95" spans="5:8">
      <c r="E95" s="12"/>
      <c r="G95"/>
      <c r="H95"/>
    </row>
    <row r="96" spans="5:8">
      <c r="E96" s="12"/>
      <c r="G96"/>
      <c r="H96"/>
    </row>
    <row r="97" spans="5:8">
      <c r="E97" s="12"/>
      <c r="G97"/>
      <c r="H97"/>
    </row>
    <row r="98" spans="5:8">
      <c r="E98" s="12"/>
      <c r="G98"/>
      <c r="H98"/>
    </row>
    <row r="99" spans="5:8">
      <c r="E99" s="12"/>
      <c r="G99"/>
      <c r="H99"/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0F472-B370-8C45-8F25-05EC996F29EE}">
  <dimension ref="A1:M110"/>
  <sheetViews>
    <sheetView workbookViewId="0">
      <selection activeCell="U114" sqref="U114"/>
    </sheetView>
  </sheetViews>
  <sheetFormatPr baseColWidth="10" defaultRowHeight="15"/>
  <sheetData>
    <row r="1" spans="1:13">
      <c r="A1" t="s">
        <v>125</v>
      </c>
      <c r="D1" t="s">
        <v>128</v>
      </c>
      <c r="E1" s="10">
        <v>1</v>
      </c>
      <c r="M1" t="s">
        <v>126</v>
      </c>
    </row>
    <row r="2" spans="1:13">
      <c r="A2" t="s">
        <v>130</v>
      </c>
    </row>
    <row r="13" spans="1:13" s="25" customFormat="1">
      <c r="A13" s="26">
        <v>0.13849760675016334</v>
      </c>
      <c r="B13" s="26"/>
      <c r="C13" s="26"/>
      <c r="D13" s="26">
        <v>0.13849760675016334</v>
      </c>
      <c r="E13" s="26"/>
      <c r="F13" s="26"/>
    </row>
    <row r="15" spans="1:13">
      <c r="A15" t="s">
        <v>127</v>
      </c>
      <c r="D15" s="10">
        <v>6.7000000000000004E-2</v>
      </c>
    </row>
    <row r="32" spans="1:3">
      <c r="A32" t="s">
        <v>129</v>
      </c>
      <c r="C32" t="s">
        <v>130</v>
      </c>
    </row>
    <row r="47" spans="1:1">
      <c r="A47" t="s">
        <v>131</v>
      </c>
    </row>
    <row r="66" spans="1:1">
      <c r="A66" t="s">
        <v>132</v>
      </c>
    </row>
    <row r="110" spans="1:1">
      <c r="A110" t="s">
        <v>133</v>
      </c>
    </row>
  </sheetData>
  <mergeCells count="2">
    <mergeCell ref="A13:C13"/>
    <mergeCell ref="D13:F13"/>
  </mergeCells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58057-2F56-DC4E-BBEC-68462F8AEBD9}">
  <sheetPr codeName="工作表7"/>
  <dimension ref="A1:AZ13"/>
  <sheetViews>
    <sheetView workbookViewId="0">
      <selection activeCell="G1" sqref="G1:G1048576 J1:J1048576"/>
    </sheetView>
  </sheetViews>
  <sheetFormatPr baseColWidth="10" defaultRowHeight="15"/>
  <cols>
    <col min="5" max="6" width="10.83203125" style="12"/>
    <col min="7" max="7" width="10.83203125" style="10"/>
    <col min="10" max="10" width="10.83203125" style="10"/>
  </cols>
  <sheetData>
    <row r="1" spans="1:52">
      <c r="A1" t="s">
        <v>174</v>
      </c>
      <c r="B1" t="s">
        <v>175</v>
      </c>
      <c r="C1" s="6" t="s">
        <v>143</v>
      </c>
      <c r="D1" t="s">
        <v>176</v>
      </c>
      <c r="E1" s="12" t="s">
        <v>177</v>
      </c>
      <c r="F1" s="12" t="s">
        <v>178</v>
      </c>
      <c r="G1" s="10" t="s">
        <v>179</v>
      </c>
      <c r="H1" t="s">
        <v>180</v>
      </c>
      <c r="I1" t="s">
        <v>181</v>
      </c>
      <c r="J1" s="10" t="s">
        <v>182</v>
      </c>
    </row>
    <row r="2" spans="1:52">
      <c r="A2" t="s">
        <v>86</v>
      </c>
      <c r="B2" t="s">
        <v>87</v>
      </c>
      <c r="C2" s="7" t="s">
        <v>88</v>
      </c>
      <c r="D2" t="s">
        <v>89</v>
      </c>
      <c r="E2" s="12">
        <v>0.5</v>
      </c>
      <c r="F2" s="12">
        <v>3.7440000000000001E-2</v>
      </c>
      <c r="G2" s="10">
        <v>7.4880000000000002E-2</v>
      </c>
      <c r="H2">
        <v>1</v>
      </c>
      <c r="J2" s="10">
        <v>0</v>
      </c>
    </row>
    <row r="3" spans="1:52">
      <c r="A3" t="s">
        <v>86</v>
      </c>
      <c r="B3" t="s">
        <v>87</v>
      </c>
      <c r="C3" s="7" t="s">
        <v>90</v>
      </c>
      <c r="D3" t="s">
        <v>91</v>
      </c>
      <c r="E3" s="12">
        <v>24.693364000000003</v>
      </c>
      <c r="F3" s="12">
        <v>2.9674359999999997</v>
      </c>
      <c r="G3" s="10">
        <v>0.1201713950355245</v>
      </c>
      <c r="H3">
        <v>24</v>
      </c>
      <c r="I3">
        <v>5</v>
      </c>
      <c r="J3" s="10">
        <v>0.20833333333333334</v>
      </c>
    </row>
    <row r="4" spans="1:52">
      <c r="A4" t="s">
        <v>86</v>
      </c>
      <c r="B4" t="s">
        <v>87</v>
      </c>
      <c r="C4" s="7" t="s">
        <v>92</v>
      </c>
      <c r="D4" t="s">
        <v>93</v>
      </c>
      <c r="E4" s="12">
        <v>19.254542999999998</v>
      </c>
      <c r="F4" s="12">
        <v>2.2992570000000003</v>
      </c>
      <c r="G4" s="10">
        <v>0.11941374043517941</v>
      </c>
      <c r="H4">
        <v>19</v>
      </c>
      <c r="I4">
        <v>3</v>
      </c>
      <c r="J4" s="10">
        <v>0.15789473684210525</v>
      </c>
    </row>
    <row r="13" spans="1:52" s="10" customFormat="1">
      <c r="A13"/>
      <c r="B13"/>
      <c r="C13"/>
      <c r="D13"/>
      <c r="E13" s="12"/>
      <c r="F13" s="12"/>
      <c r="H13"/>
      <c r="I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27B4D-EDDC-7646-B1F7-BC61B9CCFCE3}">
  <sheetPr codeName="工作表9"/>
  <dimension ref="A1:M26"/>
  <sheetViews>
    <sheetView workbookViewId="0">
      <selection activeCell="C2" sqref="C2:C8"/>
    </sheetView>
  </sheetViews>
  <sheetFormatPr baseColWidth="10" defaultRowHeight="15"/>
  <sheetData>
    <row r="1" spans="1:3">
      <c r="A1" t="s">
        <v>174</v>
      </c>
    </row>
    <row r="2" spans="1:3">
      <c r="A2" t="s">
        <v>86</v>
      </c>
      <c r="B2">
        <v>3</v>
      </c>
      <c r="C2" t="str">
        <f>VLOOKUP(A2,target!A:B,2,FALSE)</f>
        <v>디큐브</v>
      </c>
    </row>
    <row r="26" spans="13:13">
      <c r="M26" s="11"/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3</vt:i4>
      </vt:variant>
    </vt:vector>
  </HeadingPairs>
  <TitlesOfParts>
    <vt:vector size="11" baseType="lpstr">
      <vt:lpstr>工作表1</vt:lpstr>
      <vt:lpstr>target</vt:lpstr>
      <vt:lpstr>A_SalesData</vt:lpstr>
      <vt:lpstr>B_ACPP+Data</vt:lpstr>
      <vt:lpstr>Shop_data_summary</vt:lpstr>
      <vt:lpstr>Chart</vt:lpstr>
      <vt:lpstr>Staff_data_summary</vt:lpstr>
      <vt:lpstr>testoo</vt:lpstr>
      <vt:lpstr>Shop_data_summary!Extract</vt:lpstr>
      <vt:lpstr>Staff_data_summary!Extract</vt:lpstr>
      <vt:lpstr>testoo!Extract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Steve</cp:lastModifiedBy>
  <dcterms:created xsi:type="dcterms:W3CDTF">2020-04-22T07:18:46Z</dcterms:created>
  <dcterms:modified xsi:type="dcterms:W3CDTF">2020-06-04T10:34:54Z</dcterms:modified>
</cp:coreProperties>
</file>