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Kor/"/>
    </mc:Choice>
  </mc:AlternateContent>
  <xr:revisionPtr revIDLastSave="0" documentId="8_{D9EA37F0-0D09-1A4A-920C-91692EC66A16}" xr6:coauthVersionLast="45" xr6:coauthVersionMax="45" xr10:uidLastSave="{00000000-0000-0000-0000-000000000000}"/>
  <bookViews>
    <workbookView xWindow="5400" yWindow="3360" windowWidth="27700" windowHeight="16440" activeTab="5" xr2:uid="{00000000-000D-0000-FFFF-FFFF00000000}"/>
  </bookViews>
  <sheets>
    <sheet name="A_GP" sheetId="1" r:id="rId1"/>
    <sheet name="C_Stock&amp;CPU" sheetId="4" r:id="rId2"/>
    <sheet name="Target" sheetId="5" r:id="rId3"/>
    <sheet name="B_3PP" sheetId="2" r:id="rId4"/>
    <sheet name="Pivot" sheetId="9" r:id="rId5"/>
    <sheet name="Final" sheetId="6" r:id="rId6"/>
  </sheets>
  <definedNames>
    <definedName name="_xlnm._FilterDatabase" localSheetId="5" hidden="1">Final!$A$1:$Y$1</definedName>
  </definedNames>
  <calcPr calcId="191029"/>
  <pivotCaches>
    <pivotCache cacheId="26" r:id="rId7"/>
    <pivotCache cacheId="2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<sst xmlns="http://schemas.openxmlformats.org/spreadsheetml/2006/main" count="892" uniqueCount="197">
  <si>
    <t>K002</t>
  </si>
  <si>
    <t>K016</t>
  </si>
  <si>
    <t>K201</t>
  </si>
  <si>
    <t>K202</t>
  </si>
  <si>
    <t>K203</t>
  </si>
  <si>
    <t>K205</t>
  </si>
  <si>
    <t>K206</t>
  </si>
  <si>
    <t>K207</t>
  </si>
  <si>
    <t>K208</t>
  </si>
  <si>
    <t>K210</t>
  </si>
  <si>
    <t>K212</t>
  </si>
  <si>
    <t>K213</t>
  </si>
  <si>
    <t>K504</t>
  </si>
  <si>
    <t>K505</t>
  </si>
  <si>
    <t>직원코드</t>
    <phoneticPr fontId="1" type="noConversion"/>
  </si>
  <si>
    <t>이름</t>
    <phoneticPr fontId="1" type="noConversion"/>
  </si>
  <si>
    <t>매장코드</t>
    <phoneticPr fontId="1" type="noConversion"/>
  </si>
  <si>
    <t>매장명</t>
    <phoneticPr fontId="1" type="noConversion"/>
  </si>
  <si>
    <t>매출마진</t>
    <phoneticPr fontId="1" type="noConversion"/>
  </si>
  <si>
    <t>마진목표</t>
    <phoneticPr fontId="1" type="noConversion"/>
  </si>
  <si>
    <t>목표달성율</t>
    <phoneticPr fontId="1" type="noConversion"/>
  </si>
  <si>
    <t>마진 인센티브</t>
    <phoneticPr fontId="1" type="noConversion"/>
  </si>
  <si>
    <t>3PP 매출액</t>
    <phoneticPr fontId="1" type="noConversion"/>
  </si>
  <si>
    <t>3PP 목표</t>
    <phoneticPr fontId="1" type="noConversion"/>
  </si>
  <si>
    <t>CPU 매출액</t>
    <phoneticPr fontId="1" type="noConversion"/>
  </si>
  <si>
    <t>CPU 판매수량</t>
    <phoneticPr fontId="1" type="noConversion"/>
  </si>
  <si>
    <t>CPU 목표</t>
    <phoneticPr fontId="1" type="noConversion"/>
  </si>
  <si>
    <t>달성율</t>
    <phoneticPr fontId="1" type="noConversion"/>
  </si>
  <si>
    <t>인센비율</t>
    <phoneticPr fontId="1" type="noConversion"/>
  </si>
  <si>
    <t>부진목표</t>
    <phoneticPr fontId="1" type="noConversion"/>
  </si>
  <si>
    <t>부진 재고수</t>
    <phoneticPr fontId="1" type="noConversion"/>
  </si>
  <si>
    <t>부진 달성율</t>
    <phoneticPr fontId="1" type="noConversion"/>
  </si>
  <si>
    <t>부진재고 인센티브 배율</t>
    <phoneticPr fontId="1" type="noConversion"/>
  </si>
  <si>
    <t>3PP 조합판매율 목표</t>
    <phoneticPr fontId="1" type="noConversion"/>
  </si>
  <si>
    <t>부진재고 목표</t>
    <phoneticPr fontId="1" type="noConversion"/>
  </si>
  <si>
    <t>부진판매수량</t>
    <phoneticPr fontId="1" type="noConversion"/>
  </si>
  <si>
    <t>CPU 목표수량</t>
    <phoneticPr fontId="1" type="noConversion"/>
  </si>
  <si>
    <t>총매출액</t>
    <phoneticPr fontId="1" type="noConversion"/>
  </si>
  <si>
    <t xml:space="preserve">1.Press the Clear  button </t>
    <phoneticPr fontId="1" type="noConversion"/>
  </si>
  <si>
    <t>2.Set target</t>
    <phoneticPr fontId="1" type="noConversion"/>
  </si>
  <si>
    <t>4.Shop posted in C11 , Staff posted in A11</t>
    <phoneticPr fontId="1" type="noConversion"/>
  </si>
  <si>
    <t>5.Press the Start button</t>
    <phoneticPr fontId="1" type="noConversion"/>
  </si>
  <si>
    <t>6,Go to next sheets</t>
    <phoneticPr fontId="1" type="noConversion"/>
  </si>
  <si>
    <t>*Please execute the Shop program before the Staff</t>
    <phoneticPr fontId="1" type="noConversion"/>
  </si>
  <si>
    <t>3.get raw data of Staff or Shop from the EPB 800FA, BI KorBouns_3PP_ForStore or KorBouns_3PP_ForStaff</t>
    <phoneticPr fontId="1" type="noConversion"/>
  </si>
  <si>
    <t>3.get raw data of Staff or Shop from the EPB 800FA, BI KorBouns_Magin_ForStore or KorBouns_Magin_ForStaff</t>
    <phoneticPr fontId="1" type="noConversion"/>
  </si>
  <si>
    <t>3.get raw data of Staff or Shop from the EPB 800FA, BI KorBouns_CPU_ForStore or KorBouns_CPU_ForStaff</t>
    <phoneticPr fontId="1" type="noConversion"/>
  </si>
  <si>
    <t>6,Done</t>
    <phoneticPr fontId="1" type="noConversion"/>
  </si>
  <si>
    <t>3pp達成率</t>
    <phoneticPr fontId="1" type="noConversion"/>
  </si>
  <si>
    <t>呆滯庫存</t>
    <phoneticPr fontId="1" type="noConversion"/>
  </si>
  <si>
    <t>cpu銷售達成率</t>
    <phoneticPr fontId="1" type="noConversion"/>
  </si>
  <si>
    <t>총매출액</t>
  </si>
  <si>
    <r>
      <t xml:space="preserve">3PP </t>
    </r>
    <r>
      <rPr>
        <sz val="12"/>
        <color theme="1"/>
        <rFont val="新細明體"/>
        <family val="2"/>
        <charset val="136"/>
        <scheme val="minor"/>
      </rPr>
      <t>조합판매율</t>
    </r>
  </si>
  <si>
    <r>
      <t>3pp</t>
    </r>
    <r>
      <rPr>
        <sz val="12"/>
        <color theme="1"/>
        <rFont val="PMingLiU"/>
        <family val="1"/>
        <charset val="136"/>
      </rPr>
      <t>목표달성율</t>
    </r>
    <phoneticPr fontId="1" type="noConversion"/>
  </si>
  <si>
    <t>3PP 인센티브 배율</t>
    <phoneticPr fontId="1" type="noConversion"/>
  </si>
  <si>
    <t>3PP 인센티브</t>
    <phoneticPr fontId="1" type="noConversion"/>
  </si>
  <si>
    <t>부진재고율</t>
    <phoneticPr fontId="1" type="noConversion"/>
  </si>
  <si>
    <t>부진재고 인센티브</t>
    <phoneticPr fontId="1" type="noConversion"/>
  </si>
  <si>
    <t>CPU 달성율</t>
    <phoneticPr fontId="1" type="noConversion"/>
  </si>
  <si>
    <t>CPU 인센티브 배율</t>
    <phoneticPr fontId="1" type="noConversion"/>
  </si>
  <si>
    <t>CPU 인센티브</t>
    <phoneticPr fontId="1" type="noConversion"/>
  </si>
  <si>
    <t>CPU 인센티브(대당)</t>
    <phoneticPr fontId="1" type="noConversion"/>
  </si>
  <si>
    <t>최종 인센티브</t>
    <phoneticPr fontId="1" type="noConversion"/>
  </si>
  <si>
    <t>코엑스점</t>
  </si>
  <si>
    <t>현대백화점 디큐브시티점</t>
  </si>
  <si>
    <t>현대백화점 무역센터점</t>
  </si>
  <si>
    <t>현대백화점 천호점</t>
  </si>
  <si>
    <t>현대백화점 신촌점</t>
  </si>
  <si>
    <t>현대백화점 목동점</t>
  </si>
  <si>
    <t>현대백화점 중동점</t>
  </si>
  <si>
    <t>현대백화점 울산점</t>
  </si>
  <si>
    <t>현대백화점 압구정점</t>
  </si>
  <si>
    <t>현대백화점 충청점</t>
  </si>
  <si>
    <t>현대백화점 일산점</t>
  </si>
  <si>
    <t>현대아울렛 송도점</t>
  </si>
  <si>
    <t>디큐브거제점</t>
  </si>
  <si>
    <t>현대백화점 대구점</t>
  </si>
  <si>
    <t>SAK0017</t>
  </si>
  <si>
    <t>김태경</t>
  </si>
  <si>
    <t>SAK0020</t>
  </si>
  <si>
    <t>안준이</t>
  </si>
  <si>
    <t>SAK0023</t>
  </si>
  <si>
    <t>송원경</t>
  </si>
  <si>
    <t>SAK0032</t>
  </si>
  <si>
    <t>박민규</t>
  </si>
  <si>
    <t>SAK0046</t>
  </si>
  <si>
    <t>류진희</t>
  </si>
  <si>
    <t>SAK0079</t>
  </si>
  <si>
    <t>이지원</t>
  </si>
  <si>
    <t>SAK0094</t>
  </si>
  <si>
    <t>박현준</t>
  </si>
  <si>
    <t>SAK0095</t>
  </si>
  <si>
    <t>서솔</t>
  </si>
  <si>
    <t>SAK0103</t>
  </si>
  <si>
    <t>이아름</t>
  </si>
  <si>
    <t>SAK0104</t>
  </si>
  <si>
    <t>백은정</t>
  </si>
  <si>
    <t>SAK0105</t>
  </si>
  <si>
    <t>손민선</t>
  </si>
  <si>
    <t>SAK0106</t>
  </si>
  <si>
    <t>이혜진</t>
  </si>
  <si>
    <t>SAK0107</t>
  </si>
  <si>
    <t>장은경</t>
  </si>
  <si>
    <t>SAK0114</t>
  </si>
  <si>
    <t>심윤보</t>
  </si>
  <si>
    <t>SAK0115</t>
  </si>
  <si>
    <t>박한희</t>
  </si>
  <si>
    <t>SAK0117</t>
  </si>
  <si>
    <t>주한샘</t>
  </si>
  <si>
    <t>SAK0120</t>
  </si>
  <si>
    <t>김아람</t>
  </si>
  <si>
    <t>SAK0123</t>
  </si>
  <si>
    <t>윤세라</t>
  </si>
  <si>
    <t>SAK0133</t>
  </si>
  <si>
    <t>남윤아</t>
  </si>
  <si>
    <t>SAK0137</t>
  </si>
  <si>
    <t>최은미</t>
  </si>
  <si>
    <t>SAK0147</t>
  </si>
  <si>
    <t>전효석</t>
  </si>
  <si>
    <t>SAK0148</t>
  </si>
  <si>
    <t>오현명</t>
  </si>
  <si>
    <t>SAK0149</t>
  </si>
  <si>
    <t>조성현</t>
  </si>
  <si>
    <t>SAK0150</t>
  </si>
  <si>
    <t>서윤배</t>
  </si>
  <si>
    <t>SAK0151</t>
  </si>
  <si>
    <t>진현성</t>
  </si>
  <si>
    <t>SAK0175</t>
  </si>
  <si>
    <t>김지수</t>
  </si>
  <si>
    <t>SAK0176</t>
  </si>
  <si>
    <t>유형원</t>
  </si>
  <si>
    <t>SAK0177</t>
  </si>
  <si>
    <t>엄태은</t>
  </si>
  <si>
    <t>SAKJ098</t>
  </si>
  <si>
    <t>김은지</t>
  </si>
  <si>
    <t>SAKJ102</t>
  </si>
  <si>
    <t>장영래</t>
  </si>
  <si>
    <t>SAKJ103</t>
  </si>
  <si>
    <t>윤지영</t>
  </si>
  <si>
    <t>SAKJ123</t>
  </si>
  <si>
    <t>김영은</t>
  </si>
  <si>
    <t>SAKJ125</t>
  </si>
  <si>
    <t>정찬미</t>
  </si>
  <si>
    <t>SAKJ149</t>
  </si>
  <si>
    <t>이소현</t>
  </si>
  <si>
    <t>SAKJ155</t>
  </si>
  <si>
    <t>이유라</t>
  </si>
  <si>
    <t>SAKJ158</t>
  </si>
  <si>
    <t>진세빈</t>
  </si>
  <si>
    <t>SAKJ162</t>
  </si>
  <si>
    <t>김도연</t>
  </si>
  <si>
    <t>SAKJ165</t>
  </si>
  <si>
    <t>최동식</t>
  </si>
  <si>
    <t>SAKJ168</t>
  </si>
  <si>
    <t>김진홍</t>
  </si>
  <si>
    <t>SAKJ171</t>
  </si>
  <si>
    <t>한우상</t>
  </si>
  <si>
    <t>SAKJ175</t>
  </si>
  <si>
    <t>박필서</t>
  </si>
  <si>
    <t>SAKJ177</t>
  </si>
  <si>
    <t>강영훈</t>
  </si>
  <si>
    <t>SAKJ178</t>
  </si>
  <si>
    <t>김유미</t>
  </si>
  <si>
    <t>SAKJ179</t>
  </si>
  <si>
    <t>차민기</t>
  </si>
  <si>
    <t>SAKJ180</t>
  </si>
  <si>
    <t>엄민우</t>
  </si>
  <si>
    <t>SAKJ181</t>
  </si>
  <si>
    <t>최영록</t>
  </si>
  <si>
    <t>SAKJ182</t>
  </si>
  <si>
    <t>김석주</t>
  </si>
  <si>
    <t>SAKJ184</t>
  </si>
  <si>
    <t>조영재</t>
  </si>
  <si>
    <t>SAKJ185</t>
  </si>
  <si>
    <t>안종석</t>
  </si>
  <si>
    <t>SAKJ186</t>
  </si>
  <si>
    <t>박진혁</t>
  </si>
  <si>
    <t>SAKJ187</t>
  </si>
  <si>
    <t>모가윤</t>
  </si>
  <si>
    <t>SAKJ188</t>
  </si>
  <si>
    <t>박찬욱</t>
  </si>
  <si>
    <t>SAKJ189</t>
  </si>
  <si>
    <t>이정윤</t>
  </si>
  <si>
    <t>SAKJ190</t>
  </si>
  <si>
    <t>이준호</t>
  </si>
  <si>
    <t>SAKJ191</t>
  </si>
  <si>
    <t>이시원</t>
  </si>
  <si>
    <t>SAKJ192</t>
  </si>
  <si>
    <t>이동은</t>
  </si>
  <si>
    <t>SAKJ193</t>
  </si>
  <si>
    <t>김선구</t>
  </si>
  <si>
    <t>SAKJ194</t>
  </si>
  <si>
    <t>고은지</t>
  </si>
  <si>
    <t>加總 - 최종 인센티브</t>
  </si>
  <si>
    <t>행 레이블</t>
  </si>
  <si>
    <t>(비어 있음)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</si>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</sst>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0.000_ "/>
  </numFmts>
  <fonts count="1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2"/>
      <color theme="1"/>
      <name val="新細明體"/>
      <family val="2"/>
      <charset val="136"/>
      <scheme val="minor"/>
    </font>
    <font>
      <sz val="12"/>
      <color theme="1"/>
      <name val="PMingLiU"/>
      <family val="1"/>
      <charset val="136"/>
    </font>
    <font>
      <b/>
      <sz val="8"/>
      <name val="Arial"/>
      <family val="2"/>
    </font>
    <font>
      <sz val="8"/>
      <name val="Arial"/>
      <family val="2"/>
    </font>
    <font>
      <sz val="12"/>
      <color rgb="FFFF0000"/>
      <name val="新細明體"/>
      <family val="2"/>
      <charset val="136"/>
      <scheme val="minor"/>
    </font>
    <font>
      <sz val="10.8"/>
      <color rgb="FF00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0" fontId="3" fillId="0" borderId="0" xfId="0" applyFont="1" applyBorder="1" applyAlignment="1"/>
    <xf numFmtId="4" fontId="4" fillId="0" borderId="0" xfId="0" applyNumberFormat="1" applyFont="1" applyBorder="1" applyAlignment="1"/>
    <xf numFmtId="0" fontId="5" fillId="0" borderId="0" xfId="0" applyFont="1" applyBorder="1">
      <alignment vertical="center"/>
    </xf>
    <xf numFmtId="1" fontId="5" fillId="0" borderId="0" xfId="0" applyNumberFormat="1" applyFont="1" applyBorder="1">
      <alignment vertical="center"/>
    </xf>
    <xf numFmtId="0" fontId="4" fillId="0" borderId="0" xfId="0" applyFont="1" applyBorder="1" applyAlignment="1"/>
    <xf numFmtId="178" fontId="0" fillId="4" borderId="0" xfId="0" applyNumberFormat="1" applyFill="1">
      <alignment vertical="center"/>
    </xf>
    <xf numFmtId="178" fontId="0" fillId="0" borderId="0" xfId="0" applyNumberFormat="1">
      <alignment vertical="center"/>
    </xf>
    <xf numFmtId="178" fontId="5" fillId="0" borderId="0" xfId="0" applyNumberFormat="1" applyFont="1" applyBorder="1">
      <alignment vertical="center"/>
    </xf>
    <xf numFmtId="178" fontId="4" fillId="0" borderId="0" xfId="0" applyNumberFormat="1" applyFont="1" applyBorder="1" applyAlignment="1"/>
    <xf numFmtId="0" fontId="6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NumberFormat="1">
      <alignment vertical="center"/>
    </xf>
    <xf numFmtId="0" fontId="8" fillId="0" borderId="1" xfId="0" applyNumberFormat="1" applyFont="1" applyFill="1" applyBorder="1" applyAlignment="1"/>
    <xf numFmtId="4" fontId="9" fillId="0" borderId="1" xfId="0" applyNumberFormat="1" applyFont="1" applyFill="1" applyBorder="1" applyAlignment="1"/>
    <xf numFmtId="176" fontId="10" fillId="0" borderId="0" xfId="0" applyNumberFormat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2</xdr:row>
          <xdr:rowOff>152400</xdr:rowOff>
        </xdr:from>
        <xdr:to>
          <xdr:col>3</xdr:col>
          <xdr:colOff>317500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F7C714B-ED8E-694D-8A04-B9FFFDA13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749300</xdr:colOff>
          <xdr:row>2</xdr:row>
          <xdr:rowOff>152400</xdr:rowOff>
        </xdr:from>
        <xdr:to>
          <xdr:col>5</xdr:col>
          <xdr:colOff>774700</xdr:colOff>
          <xdr:row>4</xdr:row>
          <xdr:rowOff>152400</xdr:rowOff>
        </xdr:to>
        <xdr:sp macro="" textlink="">
          <xdr:nvSpPr>
            <xdr:cNvPr id="3074" name="Button 2" descr="Clea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85B67D6-9336-9341-9872-8F58ACBCA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25400</xdr:rowOff>
        </xdr:from>
        <xdr:to>
          <xdr:col>5</xdr:col>
          <xdr:colOff>241300</xdr:colOff>
          <xdr:row>5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82F3023-4251-7349-AA03-95AD44F69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12700</xdr:rowOff>
        </xdr:from>
        <xdr:to>
          <xdr:col>7</xdr:col>
          <xdr:colOff>609600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46DBC77-868D-7845-8FED-A83A10581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3</xdr:row>
          <xdr:rowOff>25400</xdr:rowOff>
        </xdr:from>
        <xdr:to>
          <xdr:col>5</xdr:col>
          <xdr:colOff>152400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F7B53A7-0B85-324F-8224-5EE6B5A28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774700</xdr:colOff>
          <xdr:row>3</xdr:row>
          <xdr:rowOff>25400</xdr:rowOff>
        </xdr:from>
        <xdr:to>
          <xdr:col>7</xdr:col>
          <xdr:colOff>647700</xdr:colOff>
          <xdr:row>5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D31EB70-3E27-274A-961B-3B861B982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Lee" refreshedDate="43993.623008333336" createdVersion="6" refreshedVersion="3" minRefreshableVersion="3" recordCount="59" xr:uid="{00000000-000A-0000-FFFF-FFFF0E000000}">
  <cacheSource type="worksheet">
    <worksheetSource ref="A1:Y1048576" sheet="Final"/>
  </cacheSource>
  <cacheFields count="25">
    <cacheField name="직원코드" numFmtId="0">
      <sharedItems containsBlank="1"/>
    </cacheField>
    <cacheField name="이름" numFmtId="0">
      <sharedItems containsBlank="1" count="63">
        <s v="김태경"/>
        <s v="안준이"/>
        <s v="송원경"/>
        <s v="박민규"/>
        <s v="류진희"/>
        <s v="이지원"/>
        <s v="박현준"/>
        <s v="서솔"/>
        <s v="이아름"/>
        <s v="백은정"/>
        <s v="손민선"/>
        <s v="이혜진"/>
        <s v="장은경"/>
        <s v="심윤보"/>
        <s v="박한희"/>
        <s v="주한샘"/>
        <s v="김아람"/>
        <s v="윤세라"/>
        <s v="남윤아"/>
        <s v="최은미"/>
        <s v="전효석"/>
        <s v="오현명"/>
        <s v="조성현"/>
        <s v="서윤배"/>
        <s v="진현성"/>
        <s v="김지수"/>
        <s v="유형원"/>
        <s v="엄태은"/>
        <s v="김은지"/>
        <s v="장영래"/>
        <s v="윤지영"/>
        <s v="김영은"/>
        <s v="정찬미"/>
        <s v="이소현"/>
        <s v="이유라"/>
        <s v="진세빈"/>
        <s v="김도연"/>
        <s v="최동식"/>
        <s v="김진홍"/>
        <s v="한우상"/>
        <s v="박필서"/>
        <s v="강영훈"/>
        <s v="김유미"/>
        <s v="차민기"/>
        <s v="엄민우"/>
        <s v="최영록"/>
        <s v="김석주"/>
        <s v="조영재"/>
        <s v="안종석"/>
        <s v="박진혁"/>
        <s v="모가윤"/>
        <s v="박찬욱"/>
        <s v="이정윤"/>
        <s v="이준호"/>
        <s v="이시원"/>
        <s v="이동은"/>
        <s v="김선구"/>
        <s v="고은지"/>
        <m/>
        <s v="" u="1"/>
        <s v="이세인" u="1"/>
        <s v="구동현" u="1"/>
        <s v="정호인" u="1"/>
      </sharedItems>
    </cacheField>
    <cacheField name="매장코드" numFmtId="0">
      <sharedItems containsBlank="1"/>
    </cacheField>
    <cacheField name="매장명" numFmtId="0">
      <sharedItems containsBlank="1" count="15">
        <s v="현대백화점 대구점"/>
        <s v="디큐브거제점"/>
        <s v="현대백화점 디큐브시티점"/>
        <s v="현대백화점 목동점"/>
        <s v="현대백화점 울산점"/>
        <s v="현대백화점 천호점"/>
        <s v="현대백화점 무역센터점"/>
        <s v="코엑스점"/>
        <s v="현대아울렛 송도점"/>
        <s v="현대백화점 압구정점"/>
        <s v="현대백화점 신촌점"/>
        <s v="현대백화점 충청점"/>
        <s v="현대백화점 중동점"/>
        <s v="현대백화점 일산점"/>
        <m/>
      </sharedItems>
    </cacheField>
    <cacheField name="총매출액" numFmtId="0">
      <sharedItems containsString="0" containsBlank="1" containsNumber="1" containsInteger="1" minValue="377182" maxValue="154412542"/>
    </cacheField>
    <cacheField name="매출마진" numFmtId="0">
      <sharedItems containsString="0" containsBlank="1" containsNumber="1" containsInteger="1" minValue="113682" maxValue="18314832"/>
    </cacheField>
    <cacheField name="마진목표" numFmtId="0">
      <sharedItems containsString="0" containsBlank="1" containsNumber="1" minValue="15898858.846055923" maxValue="87301962.528556302"/>
    </cacheField>
    <cacheField name="목표달성율" numFmtId="0">
      <sharedItems containsString="0" containsBlank="1" containsNumber="1" minValue="0.78253158906090114" maxValue="1.1697310105247292"/>
    </cacheField>
    <cacheField name="마진 인센티브" numFmtId="0">
      <sharedItems containsString="0" containsBlank="1" containsNumber="1" minValue="0" maxValue="615267.24751563836"/>
    </cacheField>
    <cacheField name="3PP 매출액" numFmtId="0">
      <sharedItems containsNonDate="0" containsString="0" containsBlank="1"/>
    </cacheField>
    <cacheField name="3PP 목표" numFmtId="176">
      <sharedItems containsNonDate="0" containsString="0" containsBlank="1"/>
    </cacheField>
    <cacheField name="3PP 조합판매율" numFmtId="176">
      <sharedItems containsNonDate="0" containsString="0" containsBlank="1"/>
    </cacheField>
    <cacheField name="3pp목표달성율" numFmtId="176">
      <sharedItems containsString="0" containsBlank="1" containsNumber="1" minValue="0.59098396835374933" maxValue="1.2294326261300423"/>
    </cacheField>
    <cacheField name="3PP 인센티브 배율" numFmtId="176">
      <sharedItems containsString="0" containsBlank="1" containsNumber="1" minValue="0.7" maxValue="1.3"/>
    </cacheField>
    <cacheField name="3PP 인센티브" numFmtId="0">
      <sharedItems containsString="0" containsBlank="1" containsNumber="1" minValue="0" maxValue="700421.79671281099"/>
    </cacheField>
    <cacheField name="부진재고율" numFmtId="176">
      <sharedItems containsString="0" containsBlank="1" containsNumber="1" minValue="0" maxValue="1.25"/>
    </cacheField>
    <cacheField name="부진재고 인센티브 배율" numFmtId="0">
      <sharedItems containsString="0" containsBlank="1" containsNumber="1" minValue="0.5" maxValue="1.3"/>
    </cacheField>
    <cacheField name="부진재고 인센티브" numFmtId="0">
      <sharedItems containsString="0" containsBlank="1" containsNumber="1" minValue="0" maxValue="910548.33572665427"/>
    </cacheField>
    <cacheField name="CPU 판매수량" numFmtId="176">
      <sharedItems containsString="0" containsBlank="1" containsNumber="1" containsInteger="1" minValue="0" maxValue="17"/>
    </cacheField>
    <cacheField name="CPU 목표" numFmtId="0">
      <sharedItems containsNonDate="0" containsString="0" containsBlank="1"/>
    </cacheField>
    <cacheField name="CPU 달성율" numFmtId="176">
      <sharedItems containsString="0" containsBlank="1" containsNumber="1" minValue="0.3" maxValue="2.4166666666666665"/>
    </cacheField>
    <cacheField name="CPU 인센티브 배율" numFmtId="0">
      <sharedItems containsString="0" containsBlank="1" containsNumber="1" minValue="0.5" maxValue="1.3"/>
    </cacheField>
    <cacheField name="CPU 인센티브" numFmtId="0">
      <sharedItems containsString="0" containsBlank="1" containsNumber="1" minValue="0" maxValue="1143781.8131315717"/>
    </cacheField>
    <cacheField name="CPU 인센티브(대당)" numFmtId="0">
      <sharedItems containsString="0" containsBlank="1" containsNumber="1" containsInteger="1" minValue="0" maxValue="221000"/>
    </cacheField>
    <cacheField name="최종 인센티브" numFmtId="0">
      <sharedItems containsString="0" containsBlank="1" containsNumber="1" minValue="0" maxValue="1364781.81313157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Lee" refreshedDate="43993.623008564813" createdVersion="6" refreshedVersion="3" minRefreshableVersion="3" recordCount="59" xr:uid="{00000000-000A-0000-FFFF-FFFF11000000}">
  <cacheSource type="worksheet">
    <worksheetSource ref="C1:Y1048576" sheet="Final"/>
  </cacheSource>
  <cacheFields count="23">
    <cacheField name="매장코드" numFmtId="0">
      <sharedItems containsBlank="1"/>
    </cacheField>
    <cacheField name="매장명" numFmtId="0">
      <sharedItems containsBlank="1" count="15">
        <s v="현대백화점 대구점"/>
        <s v="디큐브거제점"/>
        <s v="현대백화점 디큐브시티점"/>
        <s v="현대백화점 목동점"/>
        <s v="현대백화점 울산점"/>
        <s v="현대백화점 천호점"/>
        <s v="현대백화점 무역센터점"/>
        <s v="코엑스점"/>
        <s v="현대아울렛 송도점"/>
        <s v="현대백화점 압구정점"/>
        <s v="현대백화점 신촌점"/>
        <s v="현대백화점 충청점"/>
        <s v="현대백화점 중동점"/>
        <s v="현대백화점 일산점"/>
        <m/>
      </sharedItems>
    </cacheField>
    <cacheField name="총매출액" numFmtId="0">
      <sharedItems containsString="0" containsBlank="1" containsNumber="1" containsInteger="1" minValue="377182" maxValue="154412542"/>
    </cacheField>
    <cacheField name="매출마진" numFmtId="0">
      <sharedItems containsString="0" containsBlank="1" containsNumber="1" containsInteger="1" minValue="113682" maxValue="18314832"/>
    </cacheField>
    <cacheField name="마진목표" numFmtId="0">
      <sharedItems containsString="0" containsBlank="1" containsNumber="1" minValue="15898858.846055923" maxValue="87301962.528556302"/>
    </cacheField>
    <cacheField name="목표달성율" numFmtId="0">
      <sharedItems containsString="0" containsBlank="1" containsNumber="1" minValue="0.78253158906090114" maxValue="1.1697310105247292"/>
    </cacheField>
    <cacheField name="마진 인센티브" numFmtId="0">
      <sharedItems containsString="0" containsBlank="1" containsNumber="1" minValue="0" maxValue="615267.24751563836"/>
    </cacheField>
    <cacheField name="3PP 매출액" numFmtId="0">
      <sharedItems containsNonDate="0" containsString="0" containsBlank="1"/>
    </cacheField>
    <cacheField name="3PP 목표" numFmtId="176">
      <sharedItems containsNonDate="0" containsString="0" containsBlank="1"/>
    </cacheField>
    <cacheField name="3PP 조합판매율" numFmtId="176">
      <sharedItems containsNonDate="0" containsString="0" containsBlank="1"/>
    </cacheField>
    <cacheField name="3pp목표달성율" numFmtId="176">
      <sharedItems containsString="0" containsBlank="1" containsNumber="1" minValue="0.59098396835374933" maxValue="1.2294326261300423"/>
    </cacheField>
    <cacheField name="3PP 인센티브 배율" numFmtId="176">
      <sharedItems containsString="0" containsBlank="1" containsNumber="1" minValue="0.7" maxValue="1.3"/>
    </cacheField>
    <cacheField name="3PP 인센티브" numFmtId="0">
      <sharedItems containsString="0" containsBlank="1" containsNumber="1" minValue="0" maxValue="700421.79671281099"/>
    </cacheField>
    <cacheField name="부진재고율" numFmtId="176">
      <sharedItems containsString="0" containsBlank="1" containsNumber="1" minValue="0" maxValue="1.25"/>
    </cacheField>
    <cacheField name="부진재고 인센티브 배율" numFmtId="0">
      <sharedItems containsString="0" containsBlank="1" containsNumber="1" minValue="0.5" maxValue="1.3"/>
    </cacheField>
    <cacheField name="부진재고 인센티브" numFmtId="0">
      <sharedItems containsString="0" containsBlank="1" containsNumber="1" minValue="0" maxValue="910548.33572665427"/>
    </cacheField>
    <cacheField name="CPU 판매수량" numFmtId="176">
      <sharedItems containsString="0" containsBlank="1" containsNumber="1" containsInteger="1" minValue="0" maxValue="17"/>
    </cacheField>
    <cacheField name="CPU 목표" numFmtId="0">
      <sharedItems containsNonDate="0" containsString="0" containsBlank="1"/>
    </cacheField>
    <cacheField name="CPU 달성율" numFmtId="176">
      <sharedItems containsString="0" containsBlank="1" containsNumber="1" minValue="0.3" maxValue="2.4166666666666665"/>
    </cacheField>
    <cacheField name="CPU 인센티브 배율" numFmtId="0">
      <sharedItems containsString="0" containsBlank="1" containsNumber="1" minValue="0.5" maxValue="1.3"/>
    </cacheField>
    <cacheField name="CPU 인센티브" numFmtId="0">
      <sharedItems containsString="0" containsBlank="1" containsNumber="1" minValue="0" maxValue="1143781.8131315717"/>
    </cacheField>
    <cacheField name="CPU 인센티브(대당)" numFmtId="0">
      <sharedItems containsString="0" containsBlank="1" containsNumber="1" containsInteger="1" minValue="0" maxValue="221000"/>
    </cacheField>
    <cacheField name="최종 인센티브" numFmtId="0">
      <sharedItems containsString="0" containsBlank="1" containsNumber="1" minValue="0" maxValue="1364781.81313157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s v="SAK0017"/>
    <x v="0"/>
    <s v="K505"/>
    <x v="0"/>
    <n v="377182"/>
    <n v="113682"/>
    <n v="87301962.528556302"/>
    <n v="1.1197977819573381"/>
    <n v="3819.0255434542237"/>
    <m/>
    <m/>
    <m/>
    <n v="0.95937474988088511"/>
    <n v="1.1000000000000001"/>
    <n v="4200.9280977996468"/>
    <n v="1.25"/>
    <n v="1.3"/>
    <m/>
    <m/>
    <m/>
    <n v="1.4081632653061225"/>
    <n v="1.3"/>
    <m/>
    <m/>
    <m/>
  </r>
  <r>
    <s v="SAK0020"/>
    <x v="1"/>
    <s v="K504"/>
    <x v="1"/>
    <n v="81515744"/>
    <n v="9499370"/>
    <n v="15898858.846055923"/>
    <n v="0.96890935061175498"/>
    <n v="276120.85253762361"/>
    <m/>
    <m/>
    <m/>
    <n v="0.7476877362444454"/>
    <n v="0.9"/>
    <n v="248508.76728386126"/>
    <n v="0"/>
    <n v="0.5"/>
    <n v="124254.38364193063"/>
    <n v="3"/>
    <m/>
    <n v="0.36363636363636365"/>
    <n v="0.5"/>
    <n v="62127.191820965316"/>
    <n v="0"/>
    <n v="62127.191820965316"/>
  </r>
  <r>
    <s v="SAK0023"/>
    <x v="2"/>
    <s v="K016"/>
    <x v="2"/>
    <n v="1020909"/>
    <n v="140349"/>
    <n v="38297651.209154978"/>
    <n v="0.8872716975362982"/>
    <n v="3735.8308643256578"/>
    <m/>
    <m/>
    <m/>
    <n v="0.86369759742180185"/>
    <n v="0.9"/>
    <n v="3362.247777893092"/>
    <n v="0.5714285714285714"/>
    <n v="0.7"/>
    <m/>
    <m/>
    <m/>
    <n v="0.52"/>
    <n v="0.5"/>
    <m/>
    <m/>
    <m/>
  </r>
  <r>
    <s v="SAK0032"/>
    <x v="3"/>
    <s v="K205"/>
    <x v="3"/>
    <n v="7432635"/>
    <n v="515548"/>
    <n v="55795426.154436417"/>
    <n v="1.0904992970496756"/>
    <n v="16866.141947860982"/>
    <m/>
    <m/>
    <m/>
    <n v="0.85616251036890245"/>
    <n v="0.9"/>
    <n v="15179.527753074884"/>
    <n v="1.1666666666666667"/>
    <n v="1.3"/>
    <n v="19733.386078997351"/>
    <n v="1"/>
    <m/>
    <n v="0.90909090909090906"/>
    <n v="1"/>
    <n v="19733.386078997351"/>
    <n v="10000"/>
    <n v="29733.386078997351"/>
  </r>
  <r>
    <s v="SAK0046"/>
    <x v="4"/>
    <s v="K505"/>
    <x v="0"/>
    <n v="116264044"/>
    <n v="14521838"/>
    <n v="87301962.528556302"/>
    <n v="1.1197977819573381"/>
    <n v="487845.65947031358"/>
    <m/>
    <m/>
    <m/>
    <n v="0.95937474988088511"/>
    <n v="1.1000000000000001"/>
    <n v="536630.22541734495"/>
    <n v="1.25"/>
    <n v="1.3"/>
    <n v="697619.29304254847"/>
    <n v="9"/>
    <m/>
    <n v="1.4081632653061225"/>
    <n v="1.3"/>
    <n v="906905.08095531305"/>
    <n v="117000"/>
    <n v="1023905.0809553131"/>
  </r>
  <r>
    <s v="SAK0079"/>
    <x v="5"/>
    <s v="K505"/>
    <x v="0"/>
    <n v="154412542"/>
    <n v="18314832"/>
    <n v="87301962.528556302"/>
    <n v="1.1197977819573381"/>
    <n v="615267.24751563836"/>
    <m/>
    <m/>
    <m/>
    <n v="0.95937474988088511"/>
    <n v="1.1000000000000001"/>
    <n v="676793.97226720222"/>
    <n v="1.25"/>
    <n v="1.3"/>
    <n v="879832.16394736292"/>
    <n v="17"/>
    <m/>
    <n v="1.4081632653061225"/>
    <n v="1.3"/>
    <n v="1143781.8131315717"/>
    <n v="221000"/>
    <n v="1364781.8131315717"/>
  </r>
  <r>
    <s v="SAK0094"/>
    <x v="6"/>
    <s v="K207"/>
    <x v="4"/>
    <n v="4845600"/>
    <n v="309953"/>
    <n v="57744678.241610035"/>
    <n v="1.01132588800051"/>
    <n v="9403.9047889026624"/>
    <m/>
    <m/>
    <m/>
    <n v="0.81101657811058137"/>
    <n v="1.1000000000000001"/>
    <n v="10344.29526779293"/>
    <n v="0.8"/>
    <n v="1"/>
    <n v="10344.29526779293"/>
    <n v="2"/>
    <m/>
    <n v="0.80645161290322576"/>
    <n v="0.9"/>
    <n v="9309.8657410136366"/>
    <n v="20000"/>
    <n v="29309.865741013637"/>
  </r>
  <r>
    <s v="SAK0095"/>
    <x v="7"/>
    <s v="K505"/>
    <x v="0"/>
    <n v="141396350"/>
    <n v="17018394"/>
    <n v="87301962.528556302"/>
    <n v="1.1197977819573381"/>
    <n v="571714.7956102821"/>
    <m/>
    <m/>
    <m/>
    <n v="0.95937474988088511"/>
    <n v="1.1000000000000001"/>
    <n v="628886.27517131041"/>
    <n v="1.25"/>
    <n v="1.3"/>
    <n v="817552.15772270353"/>
    <n v="15"/>
    <m/>
    <n v="1.4081632653061225"/>
    <n v="1.3"/>
    <n v="1062817.8050395146"/>
    <n v="195000"/>
    <n v="1257817.8050395146"/>
  </r>
  <r>
    <s v="SAK0103"/>
    <x v="8"/>
    <s v="K207"/>
    <x v="4"/>
    <n v="137476715"/>
    <n v="16673292"/>
    <n v="57744678.241610035"/>
    <n v="1.01132588800051"/>
    <n v="505863.955133754"/>
    <m/>
    <m/>
    <m/>
    <n v="0.81101657811058137"/>
    <n v="1.1000000000000001"/>
    <n v="556450.35064712947"/>
    <n v="0.8"/>
    <n v="1"/>
    <n v="556450.35064712947"/>
    <n v="6"/>
    <m/>
    <n v="0.80645161290322576"/>
    <n v="0.9"/>
    <n v="500805.31558241654"/>
    <n v="60000"/>
    <n v="560805.31558241649"/>
  </r>
  <r>
    <s v="SAK0104"/>
    <x v="9"/>
    <s v="K505"/>
    <x v="0"/>
    <n v="130262943"/>
    <n v="15644148"/>
    <n v="87301962.528556302"/>
    <n v="1.1197977819573381"/>
    <n v="525548.46693036985"/>
    <m/>
    <m/>
    <m/>
    <n v="0.95937474988088511"/>
    <n v="1.1000000000000001"/>
    <n v="578103.31362340692"/>
    <n v="1.25"/>
    <n v="1.3"/>
    <n v="751534.30771042907"/>
    <n v="15"/>
    <m/>
    <n v="1.4081632653061225"/>
    <n v="1.3"/>
    <n v="976994.60002355778"/>
    <n v="195000"/>
    <n v="1171994.6000235579"/>
  </r>
  <r>
    <s v="SAK0105"/>
    <x v="10"/>
    <s v="K207"/>
    <x v="4"/>
    <n v="83264287"/>
    <n v="10974130"/>
    <n v="57744678.241610035"/>
    <n v="1.01132588800051"/>
    <n v="332952.65301849111"/>
    <m/>
    <m/>
    <m/>
    <n v="0.81101657811058137"/>
    <n v="1.1000000000000001"/>
    <n v="366247.91832034028"/>
    <n v="0.8"/>
    <n v="1"/>
    <n v="366247.91832034028"/>
    <n v="4"/>
    <m/>
    <n v="0.80645161290322576"/>
    <n v="0.9"/>
    <n v="329623.12648830627"/>
    <n v="40000"/>
    <n v="369623.12648830627"/>
  </r>
  <r>
    <s v="SAK0106"/>
    <x v="11"/>
    <s v="K202"/>
    <x v="5"/>
    <n v="34468177"/>
    <n v="4742584"/>
    <n v="16320468.22410278"/>
    <n v="0.85057718990553988"/>
    <n v="121018.01314832924"/>
    <m/>
    <m/>
    <m/>
    <n v="0.92478402298843354"/>
    <n v="1.1000000000000001"/>
    <n v="133119.81446316218"/>
    <n v="0"/>
    <n v="0.5"/>
    <n v="66559.907231581092"/>
    <n v="2"/>
    <m/>
    <n v="0.3"/>
    <n v="0.5"/>
    <n v="33279.953615790546"/>
    <n v="0"/>
    <n v="33279.953615790546"/>
  </r>
  <r>
    <s v="SAK0107"/>
    <x v="12"/>
    <s v="K504"/>
    <x v="1"/>
    <n v="49449541"/>
    <n v="5905182"/>
    <n v="15898858.846055923"/>
    <n v="0.96890935061175498"/>
    <n v="171647.58170592671"/>
    <m/>
    <m/>
    <m/>
    <n v="0.7476877362444454"/>
    <n v="0.9"/>
    <n v="154482.82353533406"/>
    <n v="0"/>
    <n v="0.5"/>
    <n v="77241.411767667028"/>
    <n v="1"/>
    <m/>
    <n v="0.36363636363636365"/>
    <n v="0.5"/>
    <n v="38620.705883833514"/>
    <n v="0"/>
    <n v="38620.705883833514"/>
  </r>
  <r>
    <s v="SAK0114"/>
    <x v="13"/>
    <s v="K201"/>
    <x v="6"/>
    <n v="47704271"/>
    <n v="6435676"/>
    <n v="21643788.410051506"/>
    <n v="0.9066751914321316"/>
    <n v="175052.03307885525"/>
    <m/>
    <m/>
    <m/>
    <n v="0.59098396835374933"/>
    <n v="0.7"/>
    <n v="122536.42315519867"/>
    <n v="0.5714285714285714"/>
    <n v="0.7"/>
    <n v="85775.496208639073"/>
    <n v="1"/>
    <m/>
    <n v="0.88888888888888884"/>
    <n v="0.9"/>
    <n v="77197.946587775165"/>
    <n v="10000"/>
    <n v="87197.946587775165"/>
  </r>
  <r>
    <s v="SAK0115"/>
    <x v="14"/>
    <s v="K002"/>
    <x v="7"/>
    <n v="80340352"/>
    <n v="10671327"/>
    <n v="72986149.512171745"/>
    <n v="0.83297983804257525"/>
    <n v="266670.00708478084"/>
    <m/>
    <m/>
    <m/>
    <n v="1.2175660421756072"/>
    <n v="1.3"/>
    <n v="346671.00921021512"/>
    <n v="1"/>
    <n v="1.2"/>
    <n v="416005.21105225815"/>
    <n v="4"/>
    <m/>
    <n v="0.57777777777777772"/>
    <n v="0.5"/>
    <n v="208002.60552612907"/>
    <n v="0"/>
    <n v="208002.60552612907"/>
  </r>
  <r>
    <s v="SAK0117"/>
    <x v="15"/>
    <s v="K213"/>
    <x v="8"/>
    <n v="70421657"/>
    <n v="7923342"/>
    <n v="25549302.1310887"/>
    <n v="1.1697310105247292"/>
    <n v="278045.36533179082"/>
    <m/>
    <m/>
    <m/>
    <n v="0.80402708699665915"/>
    <n v="1.3"/>
    <n v="361458.97493132809"/>
    <n v="0.8571428571428571"/>
    <n v="1"/>
    <n v="361458.97493132809"/>
    <n v="7"/>
    <m/>
    <n v="1.2"/>
    <n v="1.3"/>
    <n v="469896.66741072654"/>
    <n v="91000"/>
    <n v="560896.66741072654"/>
  </r>
  <r>
    <s v="SAK0120"/>
    <x v="16"/>
    <s v="K207"/>
    <x v="4"/>
    <n v="124883137"/>
    <n v="15451133"/>
    <n v="57744678.241610035"/>
    <n v="1.01132588800051"/>
    <n v="468783.92405516951"/>
    <m/>
    <m/>
    <m/>
    <n v="0.81101657811058137"/>
    <n v="1.3"/>
    <n v="609419.10127172037"/>
    <n v="0.8"/>
    <n v="1"/>
    <n v="609419.10127172037"/>
    <n v="4"/>
    <m/>
    <n v="0.80645161290322576"/>
    <n v="0.9"/>
    <n v="548477.19114454836"/>
    <n v="40000"/>
    <n v="588477.19114454836"/>
  </r>
  <r>
    <s v="SAK0123"/>
    <x v="17"/>
    <s v="K202"/>
    <x v="5"/>
    <n v="33663272"/>
    <n v="4592357"/>
    <n v="16320468.22410278"/>
    <n v="0.85057718990553988"/>
    <n v="117184.62336309106"/>
    <m/>
    <m/>
    <m/>
    <n v="0.92478402298843354"/>
    <n v="1.1000000000000001"/>
    <n v="128903.08569940018"/>
    <n v="0"/>
    <n v="0.5"/>
    <n v="64451.54284970009"/>
    <n v="0"/>
    <m/>
    <n v="0.3"/>
    <n v="0.5"/>
    <n v="32225.771424850045"/>
    <n v="0"/>
    <n v="32225.771424850045"/>
  </r>
  <r>
    <s v="SAK0133"/>
    <x v="18"/>
    <s v="K002"/>
    <x v="7"/>
    <n v="78513265"/>
    <n v="11071384"/>
    <n v="72986149.512171745"/>
    <n v="0.83297983804257525"/>
    <n v="276667.18953681475"/>
    <m/>
    <m/>
    <m/>
    <n v="1.2175660421756072"/>
    <n v="1.3"/>
    <n v="359667.34639785922"/>
    <n v="1"/>
    <n v="1.2"/>
    <n v="431600.81567743106"/>
    <n v="4"/>
    <m/>
    <n v="0.57777777777777772"/>
    <n v="0.5"/>
    <n v="215800.40783871553"/>
    <n v="0"/>
    <n v="215800.40783871553"/>
  </r>
  <r>
    <s v="SAK0137"/>
    <x v="19"/>
    <s v="K207"/>
    <x v="4"/>
    <n v="115029636"/>
    <n v="14990179"/>
    <n v="57744678.241610035"/>
    <n v="1.01132588800051"/>
    <n v="454798.68265384791"/>
    <m/>
    <m/>
    <m/>
    <n v="0.81101657811058137"/>
    <n v="1.3"/>
    <n v="591238.28745000227"/>
    <n v="0.8"/>
    <n v="1"/>
    <n v="591238.28745000227"/>
    <n v="9"/>
    <m/>
    <n v="0.80645161290322576"/>
    <n v="0.9"/>
    <n v="532114.45870500209"/>
    <n v="90000"/>
    <n v="622114.45870500209"/>
  </r>
  <r>
    <s v="SAK0147"/>
    <x v="20"/>
    <s v="K505"/>
    <x v="0"/>
    <n v="136862592"/>
    <n v="17451628"/>
    <n v="87301962.528556302"/>
    <n v="1.1197977819573381"/>
    <n v="586268.82977833727"/>
    <m/>
    <m/>
    <m/>
    <n v="0.95937474988088511"/>
    <n v="1.1000000000000001"/>
    <n v="644895.71275617101"/>
    <n v="1.25"/>
    <n v="1.3"/>
    <n v="838364.42658302234"/>
    <n v="7"/>
    <m/>
    <n v="1.4081632653061225"/>
    <n v="1.3"/>
    <n v="1089873.754557929"/>
    <n v="91000"/>
    <n v="1180873.754557929"/>
  </r>
  <r>
    <s v="SAK0148"/>
    <x v="21"/>
    <s v="K208"/>
    <x v="9"/>
    <n v="89389761"/>
    <n v="10767001"/>
    <n v="26052395.170570899"/>
    <n v="1.1197535508348706"/>
    <n v="361691.62804777804"/>
    <m/>
    <m/>
    <m/>
    <n v="0.78506018286306867"/>
    <n v="0.9"/>
    <n v="325522.46524300025"/>
    <n v="0.2857142857142857"/>
    <n v="0.5"/>
    <n v="162761.23262150012"/>
    <n v="14"/>
    <m/>
    <n v="2.4166666666666665"/>
    <n v="1.3"/>
    <n v="211589.60240795018"/>
    <n v="182000"/>
    <n v="393589.60240795021"/>
  </r>
  <r>
    <s v="SAK0149"/>
    <x v="22"/>
    <s v="K205"/>
    <x v="3"/>
    <n v="100905128"/>
    <n v="12976000"/>
    <n v="55795426.154436417"/>
    <n v="1.0904992970496756"/>
    <n v="424509.56635549775"/>
    <m/>
    <m/>
    <m/>
    <n v="0.85616251036890245"/>
    <n v="0.9"/>
    <n v="382058.60971994797"/>
    <n v="1.1666666666666667"/>
    <n v="1.3"/>
    <n v="496676.19263593236"/>
    <n v="7"/>
    <m/>
    <n v="0.90909090909090906"/>
    <n v="1"/>
    <n v="496676.19263593236"/>
    <n v="70000"/>
    <n v="566676.19263593236"/>
  </r>
  <r>
    <s v="SAK0150"/>
    <x v="23"/>
    <s v="K505"/>
    <x v="0"/>
    <n v="122539317"/>
    <n v="14696019"/>
    <n v="87301962.528556302"/>
    <n v="1.1197977819573381"/>
    <n v="493697.08439408697"/>
    <m/>
    <m/>
    <m/>
    <n v="0.95937474988088511"/>
    <n v="1.1000000000000001"/>
    <n v="543066.79283349565"/>
    <n v="1.25"/>
    <n v="1.3"/>
    <n v="705986.83068354439"/>
    <n v="6"/>
    <m/>
    <n v="1.4081632653061225"/>
    <n v="1.3"/>
    <n v="917782.87988860777"/>
    <n v="78000"/>
    <n v="995782.87988860777"/>
  </r>
  <r>
    <s v="SAK0151"/>
    <x v="24"/>
    <s v="K203"/>
    <x v="10"/>
    <n v="44921103"/>
    <n v="6785996"/>
    <n v="33864471.888990559"/>
    <n v="0.78253158906090114"/>
    <n v="0"/>
    <m/>
    <m/>
    <m/>
    <n v="1.059063837414508"/>
    <n v="1.2"/>
    <n v="0"/>
    <n v="0.7142857142857143"/>
    <n v="0.9"/>
    <n v="0"/>
    <n v="5"/>
    <m/>
    <n v="0.5"/>
    <n v="0.5"/>
    <n v="0"/>
    <n v="0"/>
    <n v="0"/>
  </r>
  <r>
    <s v="SAK0175"/>
    <x v="25"/>
    <s v="K016"/>
    <x v="2"/>
    <n v="65146180"/>
    <n v="7981746"/>
    <n v="38297651.209154978"/>
    <n v="0.8872716975362982"/>
    <n v="212459.31968170675"/>
    <m/>
    <m/>
    <m/>
    <n v="0.86369759742180185"/>
    <n v="1.2"/>
    <n v="254951.18361804809"/>
    <n v="0.5714285714285714"/>
    <n v="0.7"/>
    <n v="178465.82853263366"/>
    <n v="3"/>
    <m/>
    <n v="0.52"/>
    <n v="0.5"/>
    <n v="89232.914266316831"/>
    <n v="0"/>
    <n v="89232.914266316831"/>
  </r>
  <r>
    <s v="SAK0176"/>
    <x v="26"/>
    <s v="K201"/>
    <x v="6"/>
    <n v="55758749"/>
    <n v="6420835"/>
    <n v="21643788.410051506"/>
    <n v="0.9066751914321316"/>
    <n v="174648.35408337391"/>
    <m/>
    <m/>
    <m/>
    <n v="0.59098396835374933"/>
    <n v="0.7"/>
    <n v="122253.84785836173"/>
    <n v="0.5714285714285714"/>
    <n v="0.7"/>
    <n v="85577.693500853202"/>
    <n v="1"/>
    <m/>
    <n v="0.88888888888888884"/>
    <n v="0.9"/>
    <n v="77019.924150767882"/>
    <n v="10000"/>
    <n v="87019.924150767882"/>
  </r>
  <r>
    <s v="SAK0177"/>
    <x v="27"/>
    <s v="K210"/>
    <x v="11"/>
    <n v="112778494"/>
    <n v="14784657"/>
    <n v="56982086.869893089"/>
    <n v="0.93348146622731443"/>
    <n v="414036.0988208378"/>
    <m/>
    <m/>
    <m/>
    <n v="1.2294326261300423"/>
    <n v="1.3"/>
    <n v="538246.92846708919"/>
    <n v="1.1000000000000001"/>
    <n v="1.3"/>
    <n v="699721.00700721599"/>
    <n v="6"/>
    <m/>
    <n v="0.70588235294117652"/>
    <n v="0.8"/>
    <n v="559776.80560577277"/>
    <n v="30000"/>
    <n v="589776.80560577277"/>
  </r>
  <r>
    <s v="SAKJ098"/>
    <x v="28"/>
    <s v="K206"/>
    <x v="12"/>
    <n v="76037244"/>
    <n v="9140611"/>
    <n v="30353518.130827777"/>
    <n v="1.0017735956978755"/>
    <n v="274704.68245036661"/>
    <m/>
    <m/>
    <m/>
    <n v="0.92603804448352367"/>
    <n v="1.1000000000000001"/>
    <n v="302175.15069540328"/>
    <n v="0.5714285714285714"/>
    <n v="0.7"/>
    <n v="211522.6054867823"/>
    <n v="3"/>
    <m/>
    <n v="0.52631578947368418"/>
    <n v="0.5"/>
    <n v="105761.30274339115"/>
    <n v="0"/>
    <n v="105761.30274339115"/>
  </r>
  <r>
    <s v="SAKJ102"/>
    <x v="29"/>
    <s v="K205"/>
    <x v="3"/>
    <n v="119898644"/>
    <n v="14858667"/>
    <n v="55795426.154436417"/>
    <n v="1.0904992970496756"/>
    <n v="486100.97755785641"/>
    <m/>
    <m/>
    <m/>
    <n v="0.85616251036890245"/>
    <n v="1.1000000000000001"/>
    <n v="534711.07531364216"/>
    <n v="1.1666666666666667"/>
    <n v="1.3"/>
    <n v="695124.39790773485"/>
    <n v="6"/>
    <m/>
    <n v="0.90909090909090906"/>
    <n v="1"/>
    <n v="695124.39790773485"/>
    <n v="60000"/>
    <n v="755124.39790773485"/>
  </r>
  <r>
    <s v="SAKJ103"/>
    <x v="30"/>
    <s v="K206"/>
    <x v="12"/>
    <n v="45189628"/>
    <n v="5690928"/>
    <n v="30353518.130827777"/>
    <n v="1.0017735956978755"/>
    <n v="171030.64216253159"/>
    <m/>
    <m/>
    <m/>
    <n v="0.92603804448352367"/>
    <n v="1.1000000000000001"/>
    <n v="188133.70637878476"/>
    <n v="0.5714285714285714"/>
    <n v="0.7"/>
    <n v="131693.59446514933"/>
    <n v="3"/>
    <m/>
    <n v="0.52631578947368418"/>
    <n v="0.5"/>
    <n v="65846.797232574667"/>
    <n v="0"/>
    <n v="65846.797232574667"/>
  </r>
  <r>
    <s v="SAKJ123"/>
    <x v="31"/>
    <s v="K203"/>
    <x v="10"/>
    <n v="49065014"/>
    <n v="6358271"/>
    <n v="33864471.888990559"/>
    <n v="0.78253158906090114"/>
    <n v="0"/>
    <m/>
    <m/>
    <m/>
    <n v="1.059063837414508"/>
    <n v="1.2"/>
    <n v="0"/>
    <n v="0.7142857142857143"/>
    <n v="0.9"/>
    <n v="0"/>
    <n v="3"/>
    <m/>
    <n v="0.5"/>
    <n v="0.5"/>
    <n v="0"/>
    <n v="0"/>
    <n v="0"/>
  </r>
  <r>
    <s v="SAKJ125"/>
    <x v="32"/>
    <s v="K206"/>
    <x v="12"/>
    <n v="68525127"/>
    <n v="8532003"/>
    <n v="30353518.130827777"/>
    <n v="1.0017735956978755"/>
    <n v="256414.05971445181"/>
    <m/>
    <m/>
    <m/>
    <n v="0.92603804448352367"/>
    <n v="1.1000000000000001"/>
    <n v="282055.46568589704"/>
    <n v="0.5714285714285714"/>
    <n v="0.7"/>
    <n v="197438.82598012791"/>
    <n v="2"/>
    <m/>
    <n v="0.52631578947368418"/>
    <n v="0.5"/>
    <n v="98719.412990063953"/>
    <n v="0"/>
    <n v="98719.412990063953"/>
  </r>
  <r>
    <s v="SAKJ149"/>
    <x v="33"/>
    <s v="K212"/>
    <x v="13"/>
    <n v="78855281"/>
    <n v="9341451"/>
    <n v="22490620.400274407"/>
    <n v="1.0547499614421738"/>
    <n v="295586.85246191866"/>
    <m/>
    <m/>
    <m/>
    <n v="0.84087482590462992"/>
    <n v="1.1000000000000001"/>
    <n v="325145.53770811058"/>
    <n v="0.2857142857142857"/>
    <n v="0.5"/>
    <n v="162572.76885405529"/>
    <n v="11"/>
    <m/>
    <n v="1.0769230769230769"/>
    <n v="1.1000000000000001"/>
    <n v="178830.04573946082"/>
    <n v="143000"/>
    <n v="321830.04573946085"/>
  </r>
  <r>
    <s v="SAKJ155"/>
    <x v="34"/>
    <s v="K210"/>
    <x v="11"/>
    <n v="103530372"/>
    <n v="13670419"/>
    <n v="56982086.869893089"/>
    <n v="0.93348146622731443"/>
    <n v="382832.48316185211"/>
    <m/>
    <m/>
    <m/>
    <n v="1.2294326261300423"/>
    <n v="1.3"/>
    <n v="497682.22811040777"/>
    <n v="1.1000000000000001"/>
    <n v="1.3"/>
    <n v="646986.89654353017"/>
    <n v="6"/>
    <m/>
    <n v="0.70588235294117652"/>
    <n v="0.8"/>
    <n v="517589.51723482413"/>
    <n v="30000"/>
    <n v="547589.51723482413"/>
  </r>
  <r>
    <s v="SAKJ158"/>
    <x v="35"/>
    <s v="K212"/>
    <x v="13"/>
    <n v="39241055"/>
    <n v="5239451"/>
    <n v="22490620.400274407"/>
    <n v="1.0547499614421738"/>
    <n v="165789.32220684478"/>
    <m/>
    <m/>
    <m/>
    <n v="0.84087482590462992"/>
    <n v="1.3"/>
    <n v="215526.11886889822"/>
    <n v="0.2857142857142857"/>
    <n v="0.5"/>
    <n v="107763.05943444911"/>
    <n v="1"/>
    <m/>
    <n v="1.0769230769230769"/>
    <n v="1.1000000000000001"/>
    <n v="118539.36537789404"/>
    <n v="13000"/>
    <n v="131539.36537789402"/>
  </r>
  <r>
    <s v="SAKJ162"/>
    <x v="36"/>
    <s v="K203"/>
    <x v="10"/>
    <n v="50662288"/>
    <n v="6823653"/>
    <n v="33864471.888990559"/>
    <n v="0.78253158906090114"/>
    <n v="0"/>
    <m/>
    <m/>
    <m/>
    <n v="1.059063837414508"/>
    <n v="1.2"/>
    <n v="0"/>
    <n v="0.7142857142857143"/>
    <n v="0.9"/>
    <n v="0"/>
    <n v="3"/>
    <m/>
    <n v="0.5"/>
    <n v="0.5"/>
    <n v="0"/>
    <n v="0"/>
    <n v="0"/>
  </r>
  <r>
    <s v="SAKJ165"/>
    <x v="37"/>
    <s v="K213"/>
    <x v="8"/>
    <n v="76639633"/>
    <n v="9633295"/>
    <n v="25549302.1310887"/>
    <n v="1.1697310105247292"/>
    <n v="338050.91685098462"/>
    <m/>
    <m/>
    <m/>
    <n v="0.80402708699665915"/>
    <n v="1.2"/>
    <n v="405661.10022118152"/>
    <n v="0.8571428571428571"/>
    <n v="1"/>
    <n v="405661.10022118152"/>
    <n v="5"/>
    <m/>
    <n v="1.2"/>
    <n v="1.3"/>
    <n v="527359.430287536"/>
    <n v="65000"/>
    <n v="592359.430287536"/>
  </r>
  <r>
    <s v="SAKJ168"/>
    <x v="38"/>
    <s v="K002"/>
    <x v="7"/>
    <n v="80371664"/>
    <n v="10919103"/>
    <n v="72986149.512171745"/>
    <n v="0.83297983804257525"/>
    <n v="272861.77945530589"/>
    <m/>
    <m/>
    <m/>
    <n v="1.2175660421756072"/>
    <n v="1.3"/>
    <n v="354720.31329189765"/>
    <n v="1"/>
    <n v="1.2"/>
    <n v="425664.37595027714"/>
    <n v="6"/>
    <m/>
    <n v="0.57777777777777772"/>
    <n v="0.5"/>
    <n v="212832.18797513857"/>
    <n v="0"/>
    <n v="212832.18797513857"/>
  </r>
  <r>
    <s v="SAKJ171"/>
    <x v="39"/>
    <s v="K206"/>
    <x v="12"/>
    <n v="55147481"/>
    <n v="7043811"/>
    <n v="30353518.130827777"/>
    <n v="1.0017735956978755"/>
    <n v="211689.11618658743"/>
    <m/>
    <m/>
    <m/>
    <n v="0.92603804448352367"/>
    <n v="1.1000000000000001"/>
    <n v="232858.02780524618"/>
    <n v="0.5714285714285714"/>
    <n v="0.7"/>
    <n v="163000.61946367231"/>
    <n v="2"/>
    <m/>
    <n v="0.52631578947368418"/>
    <n v="0.5"/>
    <n v="81500.309731836154"/>
    <n v="0"/>
    <n v="81500.309731836154"/>
  </r>
  <r>
    <s v="SAKJ175"/>
    <x v="40"/>
    <s v="K203"/>
    <x v="10"/>
    <n v="48447140"/>
    <n v="6532098"/>
    <n v="33864471.888990559"/>
    <n v="0.78253158906090114"/>
    <n v="0"/>
    <m/>
    <m/>
    <m/>
    <n v="1.059063837414508"/>
    <n v="1.2"/>
    <n v="0"/>
    <n v="0.7142857142857143"/>
    <n v="0.9"/>
    <n v="0"/>
    <n v="1"/>
    <m/>
    <n v="0.5"/>
    <n v="0.5"/>
    <n v="0"/>
    <n v="0"/>
    <n v="0"/>
  </r>
  <r>
    <s v="SAKJ177"/>
    <x v="41"/>
    <s v="K210"/>
    <x v="11"/>
    <n v="98049157"/>
    <n v="13038054"/>
    <n v="56982086.869893089"/>
    <n v="0.93348146622731443"/>
    <n v="365123.45294012706"/>
    <m/>
    <m/>
    <m/>
    <n v="1.2294326261300423"/>
    <n v="1.3"/>
    <n v="474660.48882216518"/>
    <n v="1.1000000000000001"/>
    <n v="1.3"/>
    <n v="617058.63546881475"/>
    <n v="8"/>
    <m/>
    <n v="0.70588235294117652"/>
    <n v="0.8"/>
    <n v="493646.9083750518"/>
    <n v="40000"/>
    <n v="533646.9083750518"/>
  </r>
  <r>
    <s v="SAKJ178"/>
    <x v="42"/>
    <s v="K205"/>
    <x v="3"/>
    <n v="125372250"/>
    <n v="16025565"/>
    <n v="55795426.154436417"/>
    <n v="1.0904992970496756"/>
    <n v="524276.02101971651"/>
    <m/>
    <m/>
    <m/>
    <n v="0.85616251036890245"/>
    <n v="1.3"/>
    <n v="681558.82732563152"/>
    <n v="1.1666666666666667"/>
    <n v="1.3"/>
    <n v="886026.47552332096"/>
    <n v="5"/>
    <m/>
    <n v="0.90909090909090906"/>
    <n v="1"/>
    <n v="886026.47552332096"/>
    <n v="50000"/>
    <n v="936026.47552332096"/>
  </r>
  <r>
    <s v="SAKJ179"/>
    <x v="43"/>
    <s v="K016"/>
    <x v="2"/>
    <n v="68802226"/>
    <n v="8837284"/>
    <n v="38297651.209154978"/>
    <n v="0.8872716975362982"/>
    <n v="235232.15928871103"/>
    <m/>
    <m/>
    <m/>
    <n v="0.86369759742180185"/>
    <n v="1.3"/>
    <n v="305801.80707532435"/>
    <n v="0.5714285714285714"/>
    <n v="0.7"/>
    <n v="214061.26495272704"/>
    <n v="3"/>
    <m/>
    <n v="0.52"/>
    <n v="0.5"/>
    <n v="107030.63247636352"/>
    <n v="0"/>
    <n v="107030.63247636352"/>
  </r>
  <r>
    <s v="SAKJ180"/>
    <x v="44"/>
    <s v="K016"/>
    <x v="2"/>
    <n v="71265426"/>
    <n v="9767462"/>
    <n v="38297651.209154978"/>
    <n v="0.8872716975362982"/>
    <n v="259991.77768083857"/>
    <m/>
    <m/>
    <m/>
    <n v="0.86369759742180185"/>
    <n v="1.3"/>
    <n v="337989.31098509015"/>
    <n v="0.5714285714285714"/>
    <n v="0.7"/>
    <n v="236592.5176895631"/>
    <n v="4"/>
    <m/>
    <n v="0.52"/>
    <n v="0.5"/>
    <n v="118296.25884478155"/>
    <n v="0"/>
    <n v="118296.25884478155"/>
  </r>
  <r>
    <s v="SAKJ181"/>
    <x v="45"/>
    <s v="K205"/>
    <x v="3"/>
    <n v="125166475"/>
    <n v="16469092"/>
    <n v="55795426.154436417"/>
    <n v="1.0904992970496756"/>
    <n v="538785.99747139309"/>
    <m/>
    <m/>
    <m/>
    <n v="0.85616251036890245"/>
    <n v="1.3"/>
    <n v="700421.79671281099"/>
    <n v="1.1666666666666667"/>
    <n v="1.3"/>
    <n v="910548.33572665427"/>
    <n v="11"/>
    <m/>
    <n v="0.90909090909090906"/>
    <n v="1"/>
    <n v="910548.33572665427"/>
    <n v="110000"/>
    <n v="1020548.3357266543"/>
  </r>
  <r>
    <s v="SAKJ182"/>
    <x v="46"/>
    <s v="K212"/>
    <x v="13"/>
    <n v="72830603"/>
    <n v="9141080"/>
    <n v="22490620.400274407"/>
    <n v="1.0547499614421738"/>
    <n v="289246.61332619475"/>
    <m/>
    <m/>
    <m/>
    <n v="0.84087482590462992"/>
    <n v="1.3"/>
    <n v="376020.59732405317"/>
    <n v="0.2857142857142857"/>
    <n v="0.5"/>
    <n v="188010.29866202659"/>
    <n v="2"/>
    <m/>
    <n v="1.0769230769230769"/>
    <n v="1.1000000000000001"/>
    <n v="206811.32852822926"/>
    <n v="26000"/>
    <n v="232811.32852822926"/>
  </r>
  <r>
    <s v="SAKJ184"/>
    <x v="47"/>
    <s v="K201"/>
    <x v="6"/>
    <n v="57402089"/>
    <n v="6767375"/>
    <n v="21643788.410051506"/>
    <n v="0.9066751914321316"/>
    <n v="184074.33070854066"/>
    <m/>
    <m/>
    <m/>
    <n v="0.59098396835374933"/>
    <n v="0.7"/>
    <n v="128852.03149597844"/>
    <n v="0.5714285714285714"/>
    <n v="0.7"/>
    <n v="90196.422047184911"/>
    <n v="6"/>
    <m/>
    <n v="0.88888888888888884"/>
    <n v="0.9"/>
    <n v="81176.779842466422"/>
    <n v="60000"/>
    <n v="141176.77984246641"/>
  </r>
  <r>
    <s v="SAKJ185"/>
    <x v="48"/>
    <s v="K002"/>
    <x v="7"/>
    <n v="85514017"/>
    <n v="11797707"/>
    <n v="72986149.512171745"/>
    <n v="0.83297983804257525"/>
    <n v="294817.56198401266"/>
    <m/>
    <m/>
    <m/>
    <n v="1.2175660421756072"/>
    <n v="1.3"/>
    <n v="383262.83057921648"/>
    <n v="1"/>
    <n v="1.2"/>
    <n v="459915.39669505978"/>
    <n v="6"/>
    <m/>
    <n v="0.57777777777777772"/>
    <n v="0.5"/>
    <n v="229957.69834752989"/>
    <n v="0"/>
    <n v="229957.69834752989"/>
  </r>
  <r>
    <s v="SAKJ186"/>
    <x v="49"/>
    <s v="K002"/>
    <x v="7"/>
    <n v="94595266"/>
    <n v="12545848"/>
    <n v="72986149.512171745"/>
    <n v="0.83297983804257525"/>
    <n v="313513.15305440302"/>
    <m/>
    <m/>
    <m/>
    <n v="1.2175660421756072"/>
    <n v="1.3"/>
    <n v="407567.09897072392"/>
    <n v="1"/>
    <n v="1.2"/>
    <n v="489080.51876486867"/>
    <n v="6"/>
    <m/>
    <n v="0.57777777777777772"/>
    <n v="0.5"/>
    <n v="244540.25938243433"/>
    <n v="0"/>
    <n v="244540.25938243433"/>
  </r>
  <r>
    <s v="SAKJ187"/>
    <x v="50"/>
    <s v="K002"/>
    <x v="7"/>
    <n v="25585086"/>
    <n v="3790623"/>
    <n v="72986149.512171745"/>
    <n v="0.83297983804257525"/>
    <n v="94725.375978613825"/>
    <m/>
    <m/>
    <m/>
    <n v="1.2175660421756072"/>
    <n v="1.3"/>
    <n v="123142.98877219798"/>
    <n v="1"/>
    <n v="1.2"/>
    <m/>
    <m/>
    <m/>
    <n v="0.57777777777777772"/>
    <n v="0.5"/>
    <m/>
    <m/>
    <m/>
  </r>
  <r>
    <s v="SAKJ188"/>
    <x v="51"/>
    <s v="K208"/>
    <x v="9"/>
    <n v="68847384"/>
    <n v="8817260"/>
    <n v="26052395.170570899"/>
    <n v="1.1197535508348706"/>
    <n v="296194.7458090281"/>
    <m/>
    <m/>
    <m/>
    <n v="0.78506018286306867"/>
    <n v="0.9"/>
    <n v="266575.27122812532"/>
    <n v="0.2857142857142857"/>
    <n v="0.5"/>
    <n v="133287.63561406266"/>
    <n v="9"/>
    <m/>
    <n v="2.4166666666666665"/>
    <n v="1.3"/>
    <n v="173273.92629828147"/>
    <n v="117000"/>
    <n v="290273.92629828147"/>
  </r>
  <r>
    <s v="SAKJ189"/>
    <x v="52"/>
    <s v="K208"/>
    <x v="9"/>
    <n v="77085828"/>
    <n v="9588001"/>
    <n v="26052395.170570899"/>
    <n v="1.1197535508348706"/>
    <n v="322085.94495474867"/>
    <m/>
    <m/>
    <m/>
    <n v="0.78506018286306867"/>
    <n v="0.9"/>
    <n v="289877.35045927379"/>
    <n v="0.2857142857142857"/>
    <n v="0.5"/>
    <n v="144938.67522963689"/>
    <n v="6"/>
    <m/>
    <n v="2.4166666666666665"/>
    <n v="1.3"/>
    <n v="188420.27779852797"/>
    <n v="78000"/>
    <n v="266420.27779852797"/>
  </r>
  <r>
    <s v="SAKJ190"/>
    <x v="53"/>
    <s v="K213"/>
    <x v="8"/>
    <n v="80056027"/>
    <n v="9032323"/>
    <n v="25549302.1310887"/>
    <n v="1.1697310105247292"/>
    <n v="316961.64930527261"/>
    <m/>
    <m/>
    <m/>
    <n v="0.80402708699665915"/>
    <n v="0.9"/>
    <n v="285265.48437474534"/>
    <n v="0.8571428571428571"/>
    <n v="1"/>
    <n v="285265.48437474534"/>
    <n v="5"/>
    <m/>
    <n v="1.2"/>
    <n v="1.3"/>
    <n v="370845.12968716898"/>
    <n v="65000"/>
    <n v="435845.12968716898"/>
  </r>
  <r>
    <s v="SAKJ191"/>
    <x v="54"/>
    <s v="K210"/>
    <x v="11"/>
    <n v="81467468"/>
    <n v="11698593"/>
    <n v="56982086.869893089"/>
    <n v="0.93348146622731443"/>
    <n v="327612.59239309788"/>
    <m/>
    <m/>
    <m/>
    <n v="1.2294326261300423"/>
    <n v="1.3"/>
    <n v="425896.37011102727"/>
    <n v="1.1000000000000001"/>
    <n v="1.3"/>
    <n v="553665.28114433552"/>
    <n v="4"/>
    <m/>
    <n v="0.70588235294117652"/>
    <n v="0.8"/>
    <n v="442932.22491546843"/>
    <n v="20000"/>
    <n v="462932.22491546843"/>
  </r>
  <r>
    <s v="SAKJ192"/>
    <x v="55"/>
    <s v="K016"/>
    <x v="2"/>
    <n v="53713176"/>
    <n v="7253581"/>
    <n v="38297651.209154978"/>
    <n v="0.8872716975362982"/>
    <n v="193076.91381261116"/>
    <m/>
    <m/>
    <m/>
    <n v="0.86369759742180185"/>
    <n v="1.3"/>
    <n v="250999.98795639453"/>
    <n v="0.5714285714285714"/>
    <n v="0.7"/>
    <n v="175699.99156947617"/>
    <n v="3"/>
    <m/>
    <n v="0.52"/>
    <n v="0.5"/>
    <n v="87849.995784738087"/>
    <n v="0"/>
    <n v="87849.995784738087"/>
  </r>
  <r>
    <s v="SAKJ193"/>
    <x v="56"/>
    <s v="K202"/>
    <x v="5"/>
    <n v="36408272"/>
    <n v="4546878"/>
    <n v="16320468.22410278"/>
    <n v="0.85057718990553988"/>
    <n v="116024.12136249963"/>
    <m/>
    <m/>
    <m/>
    <n v="0.92478402298843354"/>
    <n v="1.1000000000000001"/>
    <n v="127626.5334987496"/>
    <n v="0"/>
    <n v="0.5"/>
    <n v="63813.266749374801"/>
    <n v="1"/>
    <m/>
    <n v="0.3"/>
    <n v="0.5"/>
    <n v="31906.633374687401"/>
    <n v="0"/>
    <n v="31906.633374687401"/>
  </r>
  <r>
    <s v="SAKJ194"/>
    <x v="57"/>
    <s v="K213"/>
    <x v="8"/>
    <n v="25320263"/>
    <n v="3296851"/>
    <n v="25549302.1310887"/>
    <n v="1.1697310105247292"/>
    <n v="115692.86555338392"/>
    <m/>
    <m/>
    <m/>
    <n v="0.80402708699665915"/>
    <n v="1.1000000000000001"/>
    <n v="127262.15210872232"/>
    <n v="0.8571428571428571"/>
    <n v="1"/>
    <n v="127262.15210872232"/>
    <n v="1"/>
    <m/>
    <n v="1.2"/>
    <n v="1.3"/>
    <n v="165440.79774133902"/>
    <n v="13000"/>
    <n v="178440.79774133902"/>
  </r>
  <r>
    <m/>
    <x v="58"/>
    <m/>
    <x v="14"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">
  <r>
    <s v="K505"/>
    <x v="0"/>
    <n v="377182"/>
    <n v="113682"/>
    <n v="87301962.528556302"/>
    <n v="1.1197977819573381"/>
    <n v="3819.0255434542237"/>
    <m/>
    <m/>
    <m/>
    <n v="0.95937474988088511"/>
    <n v="1.1000000000000001"/>
    <n v="4200.9280977996468"/>
    <n v="1.25"/>
    <n v="1.3"/>
    <m/>
    <m/>
    <m/>
    <n v="1.4081632653061225"/>
    <n v="1.3"/>
    <m/>
    <m/>
    <m/>
  </r>
  <r>
    <s v="K504"/>
    <x v="1"/>
    <n v="81515744"/>
    <n v="9499370"/>
    <n v="15898858.846055923"/>
    <n v="0.96890935061175498"/>
    <n v="276120.85253762361"/>
    <m/>
    <m/>
    <m/>
    <n v="0.7476877362444454"/>
    <n v="0.9"/>
    <n v="248508.76728386126"/>
    <n v="0"/>
    <n v="0.5"/>
    <n v="124254.38364193063"/>
    <n v="3"/>
    <m/>
    <n v="0.36363636363636365"/>
    <n v="0.5"/>
    <n v="62127.191820965316"/>
    <n v="0"/>
    <n v="62127.191820965316"/>
  </r>
  <r>
    <s v="K016"/>
    <x v="2"/>
    <n v="1020909"/>
    <n v="140349"/>
    <n v="38297651.209154978"/>
    <n v="0.8872716975362982"/>
    <n v="3735.8308643256578"/>
    <m/>
    <m/>
    <m/>
    <n v="0.86369759742180185"/>
    <n v="0.9"/>
    <n v="3362.247777893092"/>
    <n v="0.5714285714285714"/>
    <n v="0.7"/>
    <m/>
    <m/>
    <m/>
    <n v="0.52"/>
    <n v="0.5"/>
    <m/>
    <m/>
    <m/>
  </r>
  <r>
    <s v="K205"/>
    <x v="3"/>
    <n v="7432635"/>
    <n v="515548"/>
    <n v="55795426.154436417"/>
    <n v="1.0904992970496756"/>
    <n v="16866.141947860982"/>
    <m/>
    <m/>
    <m/>
    <n v="0.85616251036890245"/>
    <n v="0.9"/>
    <n v="15179.527753074884"/>
    <n v="1.1666666666666667"/>
    <n v="1.3"/>
    <n v="19733.386078997351"/>
    <n v="1"/>
    <m/>
    <n v="0.90909090909090906"/>
    <n v="1"/>
    <n v="19733.386078997351"/>
    <n v="10000"/>
    <n v="29733.386078997351"/>
  </r>
  <r>
    <s v="K505"/>
    <x v="0"/>
    <n v="116264044"/>
    <n v="14521838"/>
    <n v="87301962.528556302"/>
    <n v="1.1197977819573381"/>
    <n v="487845.65947031358"/>
    <m/>
    <m/>
    <m/>
    <n v="0.95937474988088511"/>
    <n v="1.1000000000000001"/>
    <n v="536630.22541734495"/>
    <n v="1.25"/>
    <n v="1.3"/>
    <n v="697619.29304254847"/>
    <n v="9"/>
    <m/>
    <n v="1.4081632653061225"/>
    <n v="1.3"/>
    <n v="906905.08095531305"/>
    <n v="117000"/>
    <n v="1023905.0809553131"/>
  </r>
  <r>
    <s v="K505"/>
    <x v="0"/>
    <n v="154412542"/>
    <n v="18314832"/>
    <n v="87301962.528556302"/>
    <n v="1.1197977819573381"/>
    <n v="615267.24751563836"/>
    <m/>
    <m/>
    <m/>
    <n v="0.95937474988088511"/>
    <n v="1.1000000000000001"/>
    <n v="676793.97226720222"/>
    <n v="1.25"/>
    <n v="1.3"/>
    <n v="879832.16394736292"/>
    <n v="17"/>
    <m/>
    <n v="1.4081632653061225"/>
    <n v="1.3"/>
    <n v="1143781.8131315717"/>
    <n v="221000"/>
    <n v="1364781.8131315717"/>
  </r>
  <r>
    <s v="K207"/>
    <x v="4"/>
    <n v="4845600"/>
    <n v="309953"/>
    <n v="57744678.241610035"/>
    <n v="1.01132588800051"/>
    <n v="9403.9047889026624"/>
    <m/>
    <m/>
    <m/>
    <n v="0.81101657811058137"/>
    <n v="1.1000000000000001"/>
    <n v="10344.29526779293"/>
    <n v="0.8"/>
    <n v="1"/>
    <n v="10344.29526779293"/>
    <n v="2"/>
    <m/>
    <n v="0.80645161290322576"/>
    <n v="0.9"/>
    <n v="9309.8657410136366"/>
    <n v="20000"/>
    <n v="29309.865741013637"/>
  </r>
  <r>
    <s v="K505"/>
    <x v="0"/>
    <n v="141396350"/>
    <n v="17018394"/>
    <n v="87301962.528556302"/>
    <n v="1.1197977819573381"/>
    <n v="571714.7956102821"/>
    <m/>
    <m/>
    <m/>
    <n v="0.95937474988088511"/>
    <n v="1.1000000000000001"/>
    <n v="628886.27517131041"/>
    <n v="1.25"/>
    <n v="1.3"/>
    <n v="817552.15772270353"/>
    <n v="15"/>
    <m/>
    <n v="1.4081632653061225"/>
    <n v="1.3"/>
    <n v="1062817.8050395146"/>
    <n v="195000"/>
    <n v="1257817.8050395146"/>
  </r>
  <r>
    <s v="K207"/>
    <x v="4"/>
    <n v="137476715"/>
    <n v="16673292"/>
    <n v="57744678.241610035"/>
    <n v="1.01132588800051"/>
    <n v="505863.955133754"/>
    <m/>
    <m/>
    <m/>
    <n v="0.81101657811058137"/>
    <n v="1.1000000000000001"/>
    <n v="556450.35064712947"/>
    <n v="0.8"/>
    <n v="1"/>
    <n v="556450.35064712947"/>
    <n v="6"/>
    <m/>
    <n v="0.80645161290322576"/>
    <n v="0.9"/>
    <n v="500805.31558241654"/>
    <n v="60000"/>
    <n v="560805.31558241649"/>
  </r>
  <r>
    <s v="K505"/>
    <x v="0"/>
    <n v="130262943"/>
    <n v="15644148"/>
    <n v="87301962.528556302"/>
    <n v="1.1197977819573381"/>
    <n v="525548.46693036985"/>
    <m/>
    <m/>
    <m/>
    <n v="0.95937474988088511"/>
    <n v="1.1000000000000001"/>
    <n v="578103.31362340692"/>
    <n v="1.25"/>
    <n v="1.3"/>
    <n v="751534.30771042907"/>
    <n v="15"/>
    <m/>
    <n v="1.4081632653061225"/>
    <n v="1.3"/>
    <n v="976994.60002355778"/>
    <n v="195000"/>
    <n v="1171994.6000235579"/>
  </r>
  <r>
    <s v="K207"/>
    <x v="4"/>
    <n v="83264287"/>
    <n v="10974130"/>
    <n v="57744678.241610035"/>
    <n v="1.01132588800051"/>
    <n v="332952.65301849111"/>
    <m/>
    <m/>
    <m/>
    <n v="0.81101657811058137"/>
    <n v="1.1000000000000001"/>
    <n v="366247.91832034028"/>
    <n v="0.8"/>
    <n v="1"/>
    <n v="366247.91832034028"/>
    <n v="4"/>
    <m/>
    <n v="0.80645161290322576"/>
    <n v="0.9"/>
    <n v="329623.12648830627"/>
    <n v="40000"/>
    <n v="369623.12648830627"/>
  </r>
  <r>
    <s v="K202"/>
    <x v="5"/>
    <n v="34468177"/>
    <n v="4742584"/>
    <n v="16320468.22410278"/>
    <n v="0.85057718990553988"/>
    <n v="121018.01314832924"/>
    <m/>
    <m/>
    <m/>
    <n v="0.92478402298843354"/>
    <n v="1.1000000000000001"/>
    <n v="133119.81446316218"/>
    <n v="0"/>
    <n v="0.5"/>
    <n v="66559.907231581092"/>
    <n v="2"/>
    <m/>
    <n v="0.3"/>
    <n v="0.5"/>
    <n v="33279.953615790546"/>
    <n v="0"/>
    <n v="33279.953615790546"/>
  </r>
  <r>
    <s v="K504"/>
    <x v="1"/>
    <n v="49449541"/>
    <n v="5905182"/>
    <n v="15898858.846055923"/>
    <n v="0.96890935061175498"/>
    <n v="171647.58170592671"/>
    <m/>
    <m/>
    <m/>
    <n v="0.7476877362444454"/>
    <n v="0.9"/>
    <n v="154482.82353533406"/>
    <n v="0"/>
    <n v="0.5"/>
    <n v="77241.411767667028"/>
    <n v="1"/>
    <m/>
    <n v="0.36363636363636365"/>
    <n v="0.5"/>
    <n v="38620.705883833514"/>
    <n v="0"/>
    <n v="38620.705883833514"/>
  </r>
  <r>
    <s v="K201"/>
    <x v="6"/>
    <n v="47704271"/>
    <n v="6435676"/>
    <n v="21643788.410051506"/>
    <n v="0.9066751914321316"/>
    <n v="175052.03307885525"/>
    <m/>
    <m/>
    <m/>
    <n v="0.59098396835374933"/>
    <n v="0.7"/>
    <n v="122536.42315519867"/>
    <n v="0.5714285714285714"/>
    <n v="0.7"/>
    <n v="85775.496208639073"/>
    <n v="1"/>
    <m/>
    <n v="0.88888888888888884"/>
    <n v="0.9"/>
    <n v="77197.946587775165"/>
    <n v="10000"/>
    <n v="87197.946587775165"/>
  </r>
  <r>
    <s v="K002"/>
    <x v="7"/>
    <n v="80340352"/>
    <n v="10671327"/>
    <n v="72986149.512171745"/>
    <n v="0.83297983804257525"/>
    <n v="266670.00708478084"/>
    <m/>
    <m/>
    <m/>
    <n v="1.2175660421756072"/>
    <n v="1.3"/>
    <n v="346671.00921021512"/>
    <n v="1"/>
    <n v="1.2"/>
    <n v="416005.21105225815"/>
    <n v="4"/>
    <m/>
    <n v="0.57777777777777772"/>
    <n v="0.5"/>
    <n v="208002.60552612907"/>
    <n v="0"/>
    <n v="208002.60552612907"/>
  </r>
  <r>
    <s v="K213"/>
    <x v="8"/>
    <n v="70421657"/>
    <n v="7923342"/>
    <n v="25549302.1310887"/>
    <n v="1.1697310105247292"/>
    <n v="278045.36533179082"/>
    <m/>
    <m/>
    <m/>
    <n v="0.80402708699665915"/>
    <n v="1.3"/>
    <n v="361458.97493132809"/>
    <n v="0.8571428571428571"/>
    <n v="1"/>
    <n v="361458.97493132809"/>
    <n v="7"/>
    <m/>
    <n v="1.2"/>
    <n v="1.3"/>
    <n v="469896.66741072654"/>
    <n v="91000"/>
    <n v="560896.66741072654"/>
  </r>
  <r>
    <s v="K207"/>
    <x v="4"/>
    <n v="124883137"/>
    <n v="15451133"/>
    <n v="57744678.241610035"/>
    <n v="1.01132588800051"/>
    <n v="468783.92405516951"/>
    <m/>
    <m/>
    <m/>
    <n v="0.81101657811058137"/>
    <n v="1.3"/>
    <n v="609419.10127172037"/>
    <n v="0.8"/>
    <n v="1"/>
    <n v="609419.10127172037"/>
    <n v="4"/>
    <m/>
    <n v="0.80645161290322576"/>
    <n v="0.9"/>
    <n v="548477.19114454836"/>
    <n v="40000"/>
    <n v="588477.19114454836"/>
  </r>
  <r>
    <s v="K202"/>
    <x v="5"/>
    <n v="33663272"/>
    <n v="4592357"/>
    <n v="16320468.22410278"/>
    <n v="0.85057718990553988"/>
    <n v="117184.62336309106"/>
    <m/>
    <m/>
    <m/>
    <n v="0.92478402298843354"/>
    <n v="1.1000000000000001"/>
    <n v="128903.08569940018"/>
    <n v="0"/>
    <n v="0.5"/>
    <n v="64451.54284970009"/>
    <n v="0"/>
    <m/>
    <n v="0.3"/>
    <n v="0.5"/>
    <n v="32225.771424850045"/>
    <n v="0"/>
    <n v="32225.771424850045"/>
  </r>
  <r>
    <s v="K002"/>
    <x v="7"/>
    <n v="78513265"/>
    <n v="11071384"/>
    <n v="72986149.512171745"/>
    <n v="0.83297983804257525"/>
    <n v="276667.18953681475"/>
    <m/>
    <m/>
    <m/>
    <n v="1.2175660421756072"/>
    <n v="1.3"/>
    <n v="359667.34639785922"/>
    <n v="1"/>
    <n v="1.2"/>
    <n v="431600.81567743106"/>
    <n v="4"/>
    <m/>
    <n v="0.57777777777777772"/>
    <n v="0.5"/>
    <n v="215800.40783871553"/>
    <n v="0"/>
    <n v="215800.40783871553"/>
  </r>
  <r>
    <s v="K207"/>
    <x v="4"/>
    <n v="115029636"/>
    <n v="14990179"/>
    <n v="57744678.241610035"/>
    <n v="1.01132588800051"/>
    <n v="454798.68265384791"/>
    <m/>
    <m/>
    <m/>
    <n v="0.81101657811058137"/>
    <n v="1.3"/>
    <n v="591238.28745000227"/>
    <n v="0.8"/>
    <n v="1"/>
    <n v="591238.28745000227"/>
    <n v="9"/>
    <m/>
    <n v="0.80645161290322576"/>
    <n v="0.9"/>
    <n v="532114.45870500209"/>
    <n v="90000"/>
    <n v="622114.45870500209"/>
  </r>
  <r>
    <s v="K505"/>
    <x v="0"/>
    <n v="136862592"/>
    <n v="17451628"/>
    <n v="87301962.528556302"/>
    <n v="1.1197977819573381"/>
    <n v="586268.82977833727"/>
    <m/>
    <m/>
    <m/>
    <n v="0.95937474988088511"/>
    <n v="1.1000000000000001"/>
    <n v="644895.71275617101"/>
    <n v="1.25"/>
    <n v="1.3"/>
    <n v="838364.42658302234"/>
    <n v="7"/>
    <m/>
    <n v="1.4081632653061225"/>
    <n v="1.3"/>
    <n v="1089873.754557929"/>
    <n v="91000"/>
    <n v="1180873.754557929"/>
  </r>
  <r>
    <s v="K208"/>
    <x v="9"/>
    <n v="89389761"/>
    <n v="10767001"/>
    <n v="26052395.170570899"/>
    <n v="1.1197535508348706"/>
    <n v="361691.62804777804"/>
    <m/>
    <m/>
    <m/>
    <n v="0.78506018286306867"/>
    <n v="0.9"/>
    <n v="325522.46524300025"/>
    <n v="0.2857142857142857"/>
    <n v="0.5"/>
    <n v="162761.23262150012"/>
    <n v="14"/>
    <m/>
    <n v="2.4166666666666665"/>
    <n v="1.3"/>
    <n v="211589.60240795018"/>
    <n v="182000"/>
    <n v="393589.60240795021"/>
  </r>
  <r>
    <s v="K205"/>
    <x v="3"/>
    <n v="100905128"/>
    <n v="12976000"/>
    <n v="55795426.154436417"/>
    <n v="1.0904992970496756"/>
    <n v="424509.56635549775"/>
    <m/>
    <m/>
    <m/>
    <n v="0.85616251036890245"/>
    <n v="0.9"/>
    <n v="382058.60971994797"/>
    <n v="1.1666666666666667"/>
    <n v="1.3"/>
    <n v="496676.19263593236"/>
    <n v="7"/>
    <m/>
    <n v="0.90909090909090906"/>
    <n v="1"/>
    <n v="496676.19263593236"/>
    <n v="70000"/>
    <n v="566676.19263593236"/>
  </r>
  <r>
    <s v="K505"/>
    <x v="0"/>
    <n v="122539317"/>
    <n v="14696019"/>
    <n v="87301962.528556302"/>
    <n v="1.1197977819573381"/>
    <n v="493697.08439408697"/>
    <m/>
    <m/>
    <m/>
    <n v="0.95937474988088511"/>
    <n v="1.1000000000000001"/>
    <n v="543066.79283349565"/>
    <n v="1.25"/>
    <n v="1.3"/>
    <n v="705986.83068354439"/>
    <n v="6"/>
    <m/>
    <n v="1.4081632653061225"/>
    <n v="1.3"/>
    <n v="917782.87988860777"/>
    <n v="78000"/>
    <n v="995782.87988860777"/>
  </r>
  <r>
    <s v="K203"/>
    <x v="10"/>
    <n v="44921103"/>
    <n v="6785996"/>
    <n v="33864471.888990559"/>
    <n v="0.78253158906090114"/>
    <n v="0"/>
    <m/>
    <m/>
    <m/>
    <n v="1.059063837414508"/>
    <n v="1.2"/>
    <n v="0"/>
    <n v="0.7142857142857143"/>
    <n v="0.9"/>
    <n v="0"/>
    <n v="5"/>
    <m/>
    <n v="0.5"/>
    <n v="0.5"/>
    <n v="0"/>
    <n v="0"/>
    <n v="0"/>
  </r>
  <r>
    <s v="K016"/>
    <x v="2"/>
    <n v="65146180"/>
    <n v="7981746"/>
    <n v="38297651.209154978"/>
    <n v="0.8872716975362982"/>
    <n v="212459.31968170675"/>
    <m/>
    <m/>
    <m/>
    <n v="0.86369759742180185"/>
    <n v="1.2"/>
    <n v="254951.18361804809"/>
    <n v="0.5714285714285714"/>
    <n v="0.7"/>
    <n v="178465.82853263366"/>
    <n v="3"/>
    <m/>
    <n v="0.52"/>
    <n v="0.5"/>
    <n v="89232.914266316831"/>
    <n v="0"/>
    <n v="89232.914266316831"/>
  </r>
  <r>
    <s v="K201"/>
    <x v="6"/>
    <n v="55758749"/>
    <n v="6420835"/>
    <n v="21643788.410051506"/>
    <n v="0.9066751914321316"/>
    <n v="174648.35408337391"/>
    <m/>
    <m/>
    <m/>
    <n v="0.59098396835374933"/>
    <n v="0.7"/>
    <n v="122253.84785836173"/>
    <n v="0.5714285714285714"/>
    <n v="0.7"/>
    <n v="85577.693500853202"/>
    <n v="1"/>
    <m/>
    <n v="0.88888888888888884"/>
    <n v="0.9"/>
    <n v="77019.924150767882"/>
    <n v="10000"/>
    <n v="87019.924150767882"/>
  </r>
  <r>
    <s v="K210"/>
    <x v="11"/>
    <n v="112778494"/>
    <n v="14784657"/>
    <n v="56982086.869893089"/>
    <n v="0.93348146622731443"/>
    <n v="414036.0988208378"/>
    <m/>
    <m/>
    <m/>
    <n v="1.2294326261300423"/>
    <n v="1.3"/>
    <n v="538246.92846708919"/>
    <n v="1.1000000000000001"/>
    <n v="1.3"/>
    <n v="699721.00700721599"/>
    <n v="6"/>
    <m/>
    <n v="0.70588235294117652"/>
    <n v="0.8"/>
    <n v="559776.80560577277"/>
    <n v="30000"/>
    <n v="589776.80560577277"/>
  </r>
  <r>
    <s v="K206"/>
    <x v="12"/>
    <n v="76037244"/>
    <n v="9140611"/>
    <n v="30353518.130827777"/>
    <n v="1.0017735956978755"/>
    <n v="274704.68245036661"/>
    <m/>
    <m/>
    <m/>
    <n v="0.92603804448352367"/>
    <n v="1.1000000000000001"/>
    <n v="302175.15069540328"/>
    <n v="0.5714285714285714"/>
    <n v="0.7"/>
    <n v="211522.6054867823"/>
    <n v="3"/>
    <m/>
    <n v="0.52631578947368418"/>
    <n v="0.5"/>
    <n v="105761.30274339115"/>
    <n v="0"/>
    <n v="105761.30274339115"/>
  </r>
  <r>
    <s v="K205"/>
    <x v="3"/>
    <n v="119898644"/>
    <n v="14858667"/>
    <n v="55795426.154436417"/>
    <n v="1.0904992970496756"/>
    <n v="486100.97755785641"/>
    <m/>
    <m/>
    <m/>
    <n v="0.85616251036890245"/>
    <n v="1.1000000000000001"/>
    <n v="534711.07531364216"/>
    <n v="1.1666666666666667"/>
    <n v="1.3"/>
    <n v="695124.39790773485"/>
    <n v="6"/>
    <m/>
    <n v="0.90909090909090906"/>
    <n v="1"/>
    <n v="695124.39790773485"/>
    <n v="60000"/>
    <n v="755124.39790773485"/>
  </r>
  <r>
    <s v="K206"/>
    <x v="12"/>
    <n v="45189628"/>
    <n v="5690928"/>
    <n v="30353518.130827777"/>
    <n v="1.0017735956978755"/>
    <n v="171030.64216253159"/>
    <m/>
    <m/>
    <m/>
    <n v="0.92603804448352367"/>
    <n v="1.1000000000000001"/>
    <n v="188133.70637878476"/>
    <n v="0.5714285714285714"/>
    <n v="0.7"/>
    <n v="131693.59446514933"/>
    <n v="3"/>
    <m/>
    <n v="0.52631578947368418"/>
    <n v="0.5"/>
    <n v="65846.797232574667"/>
    <n v="0"/>
    <n v="65846.797232574667"/>
  </r>
  <r>
    <s v="K203"/>
    <x v="10"/>
    <n v="49065014"/>
    <n v="6358271"/>
    <n v="33864471.888990559"/>
    <n v="0.78253158906090114"/>
    <n v="0"/>
    <m/>
    <m/>
    <m/>
    <n v="1.059063837414508"/>
    <n v="1.2"/>
    <n v="0"/>
    <n v="0.7142857142857143"/>
    <n v="0.9"/>
    <n v="0"/>
    <n v="3"/>
    <m/>
    <n v="0.5"/>
    <n v="0.5"/>
    <n v="0"/>
    <n v="0"/>
    <n v="0"/>
  </r>
  <r>
    <s v="K206"/>
    <x v="12"/>
    <n v="68525127"/>
    <n v="8532003"/>
    <n v="30353518.130827777"/>
    <n v="1.0017735956978755"/>
    <n v="256414.05971445181"/>
    <m/>
    <m/>
    <m/>
    <n v="0.92603804448352367"/>
    <n v="1.1000000000000001"/>
    <n v="282055.46568589704"/>
    <n v="0.5714285714285714"/>
    <n v="0.7"/>
    <n v="197438.82598012791"/>
    <n v="2"/>
    <m/>
    <n v="0.52631578947368418"/>
    <n v="0.5"/>
    <n v="98719.412990063953"/>
    <n v="0"/>
    <n v="98719.412990063953"/>
  </r>
  <r>
    <s v="K212"/>
    <x v="13"/>
    <n v="78855281"/>
    <n v="9341451"/>
    <n v="22490620.400274407"/>
    <n v="1.0547499614421738"/>
    <n v="295586.85246191866"/>
    <m/>
    <m/>
    <m/>
    <n v="0.84087482590462992"/>
    <n v="1.1000000000000001"/>
    <n v="325145.53770811058"/>
    <n v="0.2857142857142857"/>
    <n v="0.5"/>
    <n v="162572.76885405529"/>
    <n v="11"/>
    <m/>
    <n v="1.0769230769230769"/>
    <n v="1.1000000000000001"/>
    <n v="178830.04573946082"/>
    <n v="143000"/>
    <n v="321830.04573946085"/>
  </r>
  <r>
    <s v="K210"/>
    <x v="11"/>
    <n v="103530372"/>
    <n v="13670419"/>
    <n v="56982086.869893089"/>
    <n v="0.93348146622731443"/>
    <n v="382832.48316185211"/>
    <m/>
    <m/>
    <m/>
    <n v="1.2294326261300423"/>
    <n v="1.3"/>
    <n v="497682.22811040777"/>
    <n v="1.1000000000000001"/>
    <n v="1.3"/>
    <n v="646986.89654353017"/>
    <n v="6"/>
    <m/>
    <n v="0.70588235294117652"/>
    <n v="0.8"/>
    <n v="517589.51723482413"/>
    <n v="30000"/>
    <n v="547589.51723482413"/>
  </r>
  <r>
    <s v="K212"/>
    <x v="13"/>
    <n v="39241055"/>
    <n v="5239451"/>
    <n v="22490620.400274407"/>
    <n v="1.0547499614421738"/>
    <n v="165789.32220684478"/>
    <m/>
    <m/>
    <m/>
    <n v="0.84087482590462992"/>
    <n v="1.3"/>
    <n v="215526.11886889822"/>
    <n v="0.2857142857142857"/>
    <n v="0.5"/>
    <n v="107763.05943444911"/>
    <n v="1"/>
    <m/>
    <n v="1.0769230769230769"/>
    <n v="1.1000000000000001"/>
    <n v="118539.36537789404"/>
    <n v="13000"/>
    <n v="131539.36537789402"/>
  </r>
  <r>
    <s v="K203"/>
    <x v="10"/>
    <n v="50662288"/>
    <n v="6823653"/>
    <n v="33864471.888990559"/>
    <n v="0.78253158906090114"/>
    <n v="0"/>
    <m/>
    <m/>
    <m/>
    <n v="1.059063837414508"/>
    <n v="1.2"/>
    <n v="0"/>
    <n v="0.7142857142857143"/>
    <n v="0.9"/>
    <n v="0"/>
    <n v="3"/>
    <m/>
    <n v="0.5"/>
    <n v="0.5"/>
    <n v="0"/>
    <n v="0"/>
    <n v="0"/>
  </r>
  <r>
    <s v="K213"/>
    <x v="8"/>
    <n v="76639633"/>
    <n v="9633295"/>
    <n v="25549302.1310887"/>
    <n v="1.1697310105247292"/>
    <n v="338050.91685098462"/>
    <m/>
    <m/>
    <m/>
    <n v="0.80402708699665915"/>
    <n v="1.2"/>
    <n v="405661.10022118152"/>
    <n v="0.8571428571428571"/>
    <n v="1"/>
    <n v="405661.10022118152"/>
    <n v="5"/>
    <m/>
    <n v="1.2"/>
    <n v="1.3"/>
    <n v="527359.430287536"/>
    <n v="65000"/>
    <n v="592359.430287536"/>
  </r>
  <r>
    <s v="K002"/>
    <x v="7"/>
    <n v="80371664"/>
    <n v="10919103"/>
    <n v="72986149.512171745"/>
    <n v="0.83297983804257525"/>
    <n v="272861.77945530589"/>
    <m/>
    <m/>
    <m/>
    <n v="1.2175660421756072"/>
    <n v="1.3"/>
    <n v="354720.31329189765"/>
    <n v="1"/>
    <n v="1.2"/>
    <n v="425664.37595027714"/>
    <n v="6"/>
    <m/>
    <n v="0.57777777777777772"/>
    <n v="0.5"/>
    <n v="212832.18797513857"/>
    <n v="0"/>
    <n v="212832.18797513857"/>
  </r>
  <r>
    <s v="K206"/>
    <x v="12"/>
    <n v="55147481"/>
    <n v="7043811"/>
    <n v="30353518.130827777"/>
    <n v="1.0017735956978755"/>
    <n v="211689.11618658743"/>
    <m/>
    <m/>
    <m/>
    <n v="0.92603804448352367"/>
    <n v="1.1000000000000001"/>
    <n v="232858.02780524618"/>
    <n v="0.5714285714285714"/>
    <n v="0.7"/>
    <n v="163000.61946367231"/>
    <n v="2"/>
    <m/>
    <n v="0.52631578947368418"/>
    <n v="0.5"/>
    <n v="81500.309731836154"/>
    <n v="0"/>
    <n v="81500.309731836154"/>
  </r>
  <r>
    <s v="K203"/>
    <x v="10"/>
    <n v="48447140"/>
    <n v="6532098"/>
    <n v="33864471.888990559"/>
    <n v="0.78253158906090114"/>
    <n v="0"/>
    <m/>
    <m/>
    <m/>
    <n v="1.059063837414508"/>
    <n v="1.2"/>
    <n v="0"/>
    <n v="0.7142857142857143"/>
    <n v="0.9"/>
    <n v="0"/>
    <n v="1"/>
    <m/>
    <n v="0.5"/>
    <n v="0.5"/>
    <n v="0"/>
    <n v="0"/>
    <n v="0"/>
  </r>
  <r>
    <s v="K210"/>
    <x v="11"/>
    <n v="98049157"/>
    <n v="13038054"/>
    <n v="56982086.869893089"/>
    <n v="0.93348146622731443"/>
    <n v="365123.45294012706"/>
    <m/>
    <m/>
    <m/>
    <n v="1.2294326261300423"/>
    <n v="1.3"/>
    <n v="474660.48882216518"/>
    <n v="1.1000000000000001"/>
    <n v="1.3"/>
    <n v="617058.63546881475"/>
    <n v="8"/>
    <m/>
    <n v="0.70588235294117652"/>
    <n v="0.8"/>
    <n v="493646.9083750518"/>
    <n v="40000"/>
    <n v="533646.9083750518"/>
  </r>
  <r>
    <s v="K205"/>
    <x v="3"/>
    <n v="125372250"/>
    <n v="16025565"/>
    <n v="55795426.154436417"/>
    <n v="1.0904992970496756"/>
    <n v="524276.02101971651"/>
    <m/>
    <m/>
    <m/>
    <n v="0.85616251036890245"/>
    <n v="1.3"/>
    <n v="681558.82732563152"/>
    <n v="1.1666666666666667"/>
    <n v="1.3"/>
    <n v="886026.47552332096"/>
    <n v="5"/>
    <m/>
    <n v="0.90909090909090906"/>
    <n v="1"/>
    <n v="886026.47552332096"/>
    <n v="50000"/>
    <n v="936026.47552332096"/>
  </r>
  <r>
    <s v="K016"/>
    <x v="2"/>
    <n v="68802226"/>
    <n v="8837284"/>
    <n v="38297651.209154978"/>
    <n v="0.8872716975362982"/>
    <n v="235232.15928871103"/>
    <m/>
    <m/>
    <m/>
    <n v="0.86369759742180185"/>
    <n v="1.3"/>
    <n v="305801.80707532435"/>
    <n v="0.5714285714285714"/>
    <n v="0.7"/>
    <n v="214061.26495272704"/>
    <n v="3"/>
    <m/>
    <n v="0.52"/>
    <n v="0.5"/>
    <n v="107030.63247636352"/>
    <n v="0"/>
    <n v="107030.63247636352"/>
  </r>
  <r>
    <s v="K016"/>
    <x v="2"/>
    <n v="71265426"/>
    <n v="9767462"/>
    <n v="38297651.209154978"/>
    <n v="0.8872716975362982"/>
    <n v="259991.77768083857"/>
    <m/>
    <m/>
    <m/>
    <n v="0.86369759742180185"/>
    <n v="1.3"/>
    <n v="337989.31098509015"/>
    <n v="0.5714285714285714"/>
    <n v="0.7"/>
    <n v="236592.5176895631"/>
    <n v="4"/>
    <m/>
    <n v="0.52"/>
    <n v="0.5"/>
    <n v="118296.25884478155"/>
    <n v="0"/>
    <n v="118296.25884478155"/>
  </r>
  <r>
    <s v="K205"/>
    <x v="3"/>
    <n v="125166475"/>
    <n v="16469092"/>
    <n v="55795426.154436417"/>
    <n v="1.0904992970496756"/>
    <n v="538785.99747139309"/>
    <m/>
    <m/>
    <m/>
    <n v="0.85616251036890245"/>
    <n v="1.3"/>
    <n v="700421.79671281099"/>
    <n v="1.1666666666666667"/>
    <n v="1.3"/>
    <n v="910548.33572665427"/>
    <n v="11"/>
    <m/>
    <n v="0.90909090909090906"/>
    <n v="1"/>
    <n v="910548.33572665427"/>
    <n v="110000"/>
    <n v="1020548.3357266543"/>
  </r>
  <r>
    <s v="K212"/>
    <x v="13"/>
    <n v="72830603"/>
    <n v="9141080"/>
    <n v="22490620.400274407"/>
    <n v="1.0547499614421738"/>
    <n v="289246.61332619475"/>
    <m/>
    <m/>
    <m/>
    <n v="0.84087482590462992"/>
    <n v="1.3"/>
    <n v="376020.59732405317"/>
    <n v="0.2857142857142857"/>
    <n v="0.5"/>
    <n v="188010.29866202659"/>
    <n v="2"/>
    <m/>
    <n v="1.0769230769230769"/>
    <n v="1.1000000000000001"/>
    <n v="206811.32852822926"/>
    <n v="26000"/>
    <n v="232811.32852822926"/>
  </r>
  <r>
    <s v="K201"/>
    <x v="6"/>
    <n v="57402089"/>
    <n v="6767375"/>
    <n v="21643788.410051506"/>
    <n v="0.9066751914321316"/>
    <n v="184074.33070854066"/>
    <m/>
    <m/>
    <m/>
    <n v="0.59098396835374933"/>
    <n v="0.7"/>
    <n v="128852.03149597844"/>
    <n v="0.5714285714285714"/>
    <n v="0.7"/>
    <n v="90196.422047184911"/>
    <n v="6"/>
    <m/>
    <n v="0.88888888888888884"/>
    <n v="0.9"/>
    <n v="81176.779842466422"/>
    <n v="60000"/>
    <n v="141176.77984246641"/>
  </r>
  <r>
    <s v="K002"/>
    <x v="7"/>
    <n v="85514017"/>
    <n v="11797707"/>
    <n v="72986149.512171745"/>
    <n v="0.83297983804257525"/>
    <n v="294817.56198401266"/>
    <m/>
    <m/>
    <m/>
    <n v="1.2175660421756072"/>
    <n v="1.3"/>
    <n v="383262.83057921648"/>
    <n v="1"/>
    <n v="1.2"/>
    <n v="459915.39669505978"/>
    <n v="6"/>
    <m/>
    <n v="0.57777777777777772"/>
    <n v="0.5"/>
    <n v="229957.69834752989"/>
    <n v="0"/>
    <n v="229957.69834752989"/>
  </r>
  <r>
    <s v="K002"/>
    <x v="7"/>
    <n v="94595266"/>
    <n v="12545848"/>
    <n v="72986149.512171745"/>
    <n v="0.83297983804257525"/>
    <n v="313513.15305440302"/>
    <m/>
    <m/>
    <m/>
    <n v="1.2175660421756072"/>
    <n v="1.3"/>
    <n v="407567.09897072392"/>
    <n v="1"/>
    <n v="1.2"/>
    <n v="489080.51876486867"/>
    <n v="6"/>
    <m/>
    <n v="0.57777777777777772"/>
    <n v="0.5"/>
    <n v="244540.25938243433"/>
    <n v="0"/>
    <n v="244540.25938243433"/>
  </r>
  <r>
    <s v="K002"/>
    <x v="7"/>
    <n v="25585086"/>
    <n v="3790623"/>
    <n v="72986149.512171745"/>
    <n v="0.83297983804257525"/>
    <n v="94725.375978613825"/>
    <m/>
    <m/>
    <m/>
    <n v="1.2175660421756072"/>
    <n v="1.3"/>
    <n v="123142.98877219798"/>
    <n v="1"/>
    <n v="1.2"/>
    <m/>
    <m/>
    <m/>
    <n v="0.57777777777777772"/>
    <n v="0.5"/>
    <m/>
    <m/>
    <m/>
  </r>
  <r>
    <s v="K208"/>
    <x v="9"/>
    <n v="68847384"/>
    <n v="8817260"/>
    <n v="26052395.170570899"/>
    <n v="1.1197535508348706"/>
    <n v="296194.7458090281"/>
    <m/>
    <m/>
    <m/>
    <n v="0.78506018286306867"/>
    <n v="0.9"/>
    <n v="266575.27122812532"/>
    <n v="0.2857142857142857"/>
    <n v="0.5"/>
    <n v="133287.63561406266"/>
    <n v="9"/>
    <m/>
    <n v="2.4166666666666665"/>
    <n v="1.3"/>
    <n v="173273.92629828147"/>
    <n v="117000"/>
    <n v="290273.92629828147"/>
  </r>
  <r>
    <s v="K208"/>
    <x v="9"/>
    <n v="77085828"/>
    <n v="9588001"/>
    <n v="26052395.170570899"/>
    <n v="1.1197535508348706"/>
    <n v="322085.94495474867"/>
    <m/>
    <m/>
    <m/>
    <n v="0.78506018286306867"/>
    <n v="0.9"/>
    <n v="289877.35045927379"/>
    <n v="0.2857142857142857"/>
    <n v="0.5"/>
    <n v="144938.67522963689"/>
    <n v="6"/>
    <m/>
    <n v="2.4166666666666665"/>
    <n v="1.3"/>
    <n v="188420.27779852797"/>
    <n v="78000"/>
    <n v="266420.27779852797"/>
  </r>
  <r>
    <s v="K213"/>
    <x v="8"/>
    <n v="80056027"/>
    <n v="9032323"/>
    <n v="25549302.1310887"/>
    <n v="1.1697310105247292"/>
    <n v="316961.64930527261"/>
    <m/>
    <m/>
    <m/>
    <n v="0.80402708699665915"/>
    <n v="0.9"/>
    <n v="285265.48437474534"/>
    <n v="0.8571428571428571"/>
    <n v="1"/>
    <n v="285265.48437474534"/>
    <n v="5"/>
    <m/>
    <n v="1.2"/>
    <n v="1.3"/>
    <n v="370845.12968716898"/>
    <n v="65000"/>
    <n v="435845.12968716898"/>
  </r>
  <r>
    <s v="K210"/>
    <x v="11"/>
    <n v="81467468"/>
    <n v="11698593"/>
    <n v="56982086.869893089"/>
    <n v="0.93348146622731443"/>
    <n v="327612.59239309788"/>
    <m/>
    <m/>
    <m/>
    <n v="1.2294326261300423"/>
    <n v="1.3"/>
    <n v="425896.37011102727"/>
    <n v="1.1000000000000001"/>
    <n v="1.3"/>
    <n v="553665.28114433552"/>
    <n v="4"/>
    <m/>
    <n v="0.70588235294117652"/>
    <n v="0.8"/>
    <n v="442932.22491546843"/>
    <n v="20000"/>
    <n v="462932.22491546843"/>
  </r>
  <r>
    <s v="K016"/>
    <x v="2"/>
    <n v="53713176"/>
    <n v="7253581"/>
    <n v="38297651.209154978"/>
    <n v="0.8872716975362982"/>
    <n v="193076.91381261116"/>
    <m/>
    <m/>
    <m/>
    <n v="0.86369759742180185"/>
    <n v="1.3"/>
    <n v="250999.98795639453"/>
    <n v="0.5714285714285714"/>
    <n v="0.7"/>
    <n v="175699.99156947617"/>
    <n v="3"/>
    <m/>
    <n v="0.52"/>
    <n v="0.5"/>
    <n v="87849.995784738087"/>
    <n v="0"/>
    <n v="87849.995784738087"/>
  </r>
  <r>
    <s v="K202"/>
    <x v="5"/>
    <n v="36408272"/>
    <n v="4546878"/>
    <n v="16320468.22410278"/>
    <n v="0.85057718990553988"/>
    <n v="116024.12136249963"/>
    <m/>
    <m/>
    <m/>
    <n v="0.92478402298843354"/>
    <n v="1.1000000000000001"/>
    <n v="127626.5334987496"/>
    <n v="0"/>
    <n v="0.5"/>
    <n v="63813.266749374801"/>
    <n v="1"/>
    <m/>
    <n v="0.3"/>
    <n v="0.5"/>
    <n v="31906.633374687401"/>
    <n v="0"/>
    <n v="31906.633374687401"/>
  </r>
  <r>
    <s v="K213"/>
    <x v="8"/>
    <n v="25320263"/>
    <n v="3296851"/>
    <n v="25549302.1310887"/>
    <n v="1.1697310105247292"/>
    <n v="115692.86555338392"/>
    <m/>
    <m/>
    <m/>
    <n v="0.80402708699665915"/>
    <n v="1.1000000000000001"/>
    <n v="127262.15210872232"/>
    <n v="0.8571428571428571"/>
    <n v="1"/>
    <n v="127262.15210872232"/>
    <n v="1"/>
    <m/>
    <n v="1.2"/>
    <n v="1.3"/>
    <n v="165440.79774133902"/>
    <n v="13000"/>
    <n v="178440.79774133902"/>
  </r>
  <r>
    <m/>
    <x v="14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樞紐分析表2" cacheId="26" applyNumberFormats="0" applyBorderFormats="0" applyFontFormats="0" applyPatternFormats="0" applyAlignmentFormats="0" applyWidthHeightFormats="1" dataCaption="數值" updatedVersion="3" minRefreshableVersion="3" useAutoFormatting="1" itemPrintTitles="1" createdVersion="6" indent="0" outline="1" outlineData="1" multipleFieldFilters="0">
  <location ref="A3:B78" firstHeaderRow="1" firstDataRow="1" firstDataCol="1"/>
  <pivotFields count="25">
    <pivotField showAll="0" defaultSubtotal="0"/>
    <pivotField axis="axisRow" showAll="0">
      <items count="64">
        <item x="58"/>
        <item x="0"/>
        <item x="1"/>
        <item x="2"/>
        <item x="3"/>
        <item m="1" x="61"/>
        <item x="4"/>
        <item x="5"/>
        <item m="1" x="62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60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59"/>
        <item t="default"/>
      </items>
    </pivotField>
    <pivotField showAll="0"/>
    <pivotField axis="axisRow" showAll="0">
      <items count="16">
        <item x="1"/>
        <item x="7"/>
        <item x="0"/>
        <item x="2"/>
        <item x="3"/>
        <item x="6"/>
        <item x="10"/>
        <item x="9"/>
        <item x="4"/>
        <item x="13"/>
        <item x="12"/>
        <item x="5"/>
        <item x="11"/>
        <item x="8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75">
    <i>
      <x/>
    </i>
    <i r="1">
      <x v="2"/>
    </i>
    <i r="1">
      <x v="15"/>
    </i>
    <i>
      <x v="1"/>
    </i>
    <i r="1">
      <x v="17"/>
    </i>
    <i r="1">
      <x v="21"/>
    </i>
    <i r="1">
      <x v="42"/>
    </i>
    <i r="1">
      <x v="52"/>
    </i>
    <i r="1">
      <x v="53"/>
    </i>
    <i r="1">
      <x v="54"/>
    </i>
    <i>
      <x v="2"/>
    </i>
    <i r="1">
      <x v="1"/>
    </i>
    <i r="1">
      <x v="6"/>
    </i>
    <i r="1">
      <x v="7"/>
    </i>
    <i r="1">
      <x v="10"/>
    </i>
    <i r="1">
      <x v="12"/>
    </i>
    <i r="1">
      <x v="23"/>
    </i>
    <i r="1">
      <x v="26"/>
    </i>
    <i>
      <x v="3"/>
    </i>
    <i r="1">
      <x v="3"/>
    </i>
    <i r="1">
      <x v="29"/>
    </i>
    <i r="1">
      <x v="47"/>
    </i>
    <i r="1">
      <x v="48"/>
    </i>
    <i r="1">
      <x v="59"/>
    </i>
    <i>
      <x v="4"/>
    </i>
    <i r="1">
      <x v="4"/>
    </i>
    <i r="1">
      <x v="25"/>
    </i>
    <i r="1">
      <x v="33"/>
    </i>
    <i r="1">
      <x v="46"/>
    </i>
    <i r="1">
      <x v="49"/>
    </i>
    <i>
      <x v="5"/>
    </i>
    <i r="1">
      <x v="16"/>
    </i>
    <i r="1">
      <x v="30"/>
    </i>
    <i r="1">
      <x v="51"/>
    </i>
    <i>
      <x v="6"/>
    </i>
    <i r="1">
      <x v="27"/>
    </i>
    <i r="1">
      <x v="35"/>
    </i>
    <i r="1">
      <x v="40"/>
    </i>
    <i r="1">
      <x v="44"/>
    </i>
    <i>
      <x v="7"/>
    </i>
    <i r="1">
      <x v="24"/>
    </i>
    <i r="1">
      <x v="55"/>
    </i>
    <i r="1">
      <x v="56"/>
    </i>
    <i>
      <x v="8"/>
    </i>
    <i r="1">
      <x v="9"/>
    </i>
    <i r="1">
      <x v="11"/>
    </i>
    <i r="1">
      <x v="13"/>
    </i>
    <i r="1">
      <x v="19"/>
    </i>
    <i r="1">
      <x v="22"/>
    </i>
    <i>
      <x v="9"/>
    </i>
    <i r="1">
      <x v="37"/>
    </i>
    <i r="1">
      <x v="39"/>
    </i>
    <i r="1">
      <x v="50"/>
    </i>
    <i>
      <x v="10"/>
    </i>
    <i r="1">
      <x v="32"/>
    </i>
    <i r="1">
      <x v="34"/>
    </i>
    <i r="1">
      <x v="36"/>
    </i>
    <i r="1">
      <x v="43"/>
    </i>
    <i>
      <x v="11"/>
    </i>
    <i r="1">
      <x v="14"/>
    </i>
    <i r="1">
      <x v="20"/>
    </i>
    <i r="1">
      <x v="60"/>
    </i>
    <i>
      <x v="12"/>
    </i>
    <i r="1">
      <x v="31"/>
    </i>
    <i r="1">
      <x v="38"/>
    </i>
    <i r="1">
      <x v="45"/>
    </i>
    <i r="1">
      <x v="58"/>
    </i>
    <i>
      <x v="13"/>
    </i>
    <i r="1">
      <x v="18"/>
    </i>
    <i r="1">
      <x v="41"/>
    </i>
    <i r="1">
      <x v="57"/>
    </i>
    <i r="1">
      <x v="61"/>
    </i>
    <i>
      <x v="14"/>
    </i>
    <i r="1">
      <x/>
    </i>
    <i t="grand">
      <x/>
    </i>
  </rowItems>
  <colItems count="1">
    <i/>
  </colItems>
  <dataFields count="1">
    <dataField name="加總 - 최종 인센티브" fld="2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樞紐分析表3" cacheId="27" applyNumberFormats="0" applyBorderFormats="0" applyFontFormats="0" applyPatternFormats="0" applyAlignmentFormats="0" applyWidthHeightFormats="1" dataCaption="數值" updatedVersion="3" minRefreshableVersion="3" useAutoFormatting="1" itemPrintTitles="1" createdVersion="6" indent="0" outline="1" outlineData="1" multipleFieldFilters="0">
  <location ref="E3:F19" firstHeaderRow="1" firstDataRow="1" firstDataCol="1"/>
  <pivotFields count="23">
    <pivotField showAll="0"/>
    <pivotField axis="axisRow" showAll="0">
      <items count="16">
        <item x="1"/>
        <item x="7"/>
        <item x="0"/>
        <item x="2"/>
        <item x="3"/>
        <item x="6"/>
        <item x="10"/>
        <item x="9"/>
        <item x="4"/>
        <item x="13"/>
        <item x="12"/>
        <item x="5"/>
        <item x="11"/>
        <item x="8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加總 - 최종 인센티브" fld="2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T68"/>
  <sheetViews>
    <sheetView zoomScale="120" zoomScaleNormal="120" workbookViewId="0">
      <selection activeCell="F12" sqref="F12"/>
    </sheetView>
  </sheetViews>
  <sheetFormatPr baseColWidth="10" defaultColWidth="11" defaultRowHeight="15"/>
  <cols>
    <col min="7" max="7" width="13" style="6" bestFit="1" customWidth="1"/>
  </cols>
  <sheetData>
    <row r="2" spans="1:20">
      <c r="I2" t="s">
        <v>38</v>
      </c>
    </row>
    <row r="3" spans="1:20">
      <c r="I3" t="s">
        <v>39</v>
      </c>
    </row>
    <row r="4" spans="1:20">
      <c r="E4" s="6"/>
      <c r="G4"/>
      <c r="I4" t="s">
        <v>45</v>
      </c>
    </row>
    <row r="5" spans="1:20">
      <c r="E5" s="6"/>
      <c r="G5"/>
      <c r="I5" t="s">
        <v>40</v>
      </c>
    </row>
    <row r="6" spans="1:20">
      <c r="I6" t="s">
        <v>41</v>
      </c>
    </row>
    <row r="7" spans="1:20">
      <c r="I7" t="s">
        <v>42</v>
      </c>
    </row>
    <row r="8" spans="1:20">
      <c r="I8" t="s">
        <v>43</v>
      </c>
    </row>
    <row r="9" spans="1:20">
      <c r="G9"/>
    </row>
    <row r="10" spans="1:20">
      <c r="A10" s="4" t="s">
        <v>14</v>
      </c>
      <c r="B10" s="4" t="s">
        <v>15</v>
      </c>
      <c r="C10" s="1" t="s">
        <v>16</v>
      </c>
      <c r="D10" s="1" t="s">
        <v>17</v>
      </c>
      <c r="E10" s="1" t="s">
        <v>37</v>
      </c>
      <c r="F10" s="1" t="s">
        <v>18</v>
      </c>
      <c r="G10" s="1" t="s">
        <v>19</v>
      </c>
      <c r="H10" s="7" t="s">
        <v>20</v>
      </c>
      <c r="I10" s="1" t="s">
        <v>21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>
      <c r="A11" s="26" t="s">
        <v>77</v>
      </c>
      <c r="B11" s="26" t="s">
        <v>78</v>
      </c>
      <c r="C11" s="26" t="s">
        <v>13</v>
      </c>
      <c r="D11" s="26" t="s">
        <v>76</v>
      </c>
      <c r="E11" s="27">
        <v>377182</v>
      </c>
      <c r="F11" s="27">
        <v>113682</v>
      </c>
      <c r="G11" s="6">
        <v>87301962.528556302</v>
      </c>
      <c r="H11">
        <v>1.1197977819573381</v>
      </c>
      <c r="I11">
        <v>3819.0255434542237</v>
      </c>
    </row>
    <row r="12" spans="1:20">
      <c r="A12" s="26" t="s">
        <v>79</v>
      </c>
      <c r="B12" s="26" t="s">
        <v>80</v>
      </c>
      <c r="C12" s="26" t="s">
        <v>12</v>
      </c>
      <c r="D12" s="26" t="s">
        <v>75</v>
      </c>
      <c r="E12" s="27">
        <v>81515744</v>
      </c>
      <c r="F12" s="27">
        <v>9499370</v>
      </c>
      <c r="G12" s="6">
        <v>15898858.846055923</v>
      </c>
      <c r="H12">
        <v>0.96890935061175498</v>
      </c>
      <c r="I12">
        <v>276120.85253762361</v>
      </c>
    </row>
    <row r="13" spans="1:20">
      <c r="A13" s="26" t="s">
        <v>81</v>
      </c>
      <c r="B13" s="26" t="s">
        <v>82</v>
      </c>
      <c r="C13" s="26" t="s">
        <v>1</v>
      </c>
      <c r="D13" s="26" t="s">
        <v>64</v>
      </c>
      <c r="E13" s="27">
        <v>1020909</v>
      </c>
      <c r="F13" s="27">
        <v>140349</v>
      </c>
      <c r="G13" s="6">
        <v>38297651.209154978</v>
      </c>
      <c r="H13">
        <v>0.8872716975362982</v>
      </c>
      <c r="I13">
        <v>3735.8308643256578</v>
      </c>
    </row>
    <row r="14" spans="1:20">
      <c r="A14" s="26" t="s">
        <v>83</v>
      </c>
      <c r="B14" s="26" t="s">
        <v>84</v>
      </c>
      <c r="C14" s="26" t="s">
        <v>5</v>
      </c>
      <c r="D14" s="26" t="s">
        <v>68</v>
      </c>
      <c r="E14" s="27">
        <v>7432635</v>
      </c>
      <c r="F14" s="27">
        <v>515548</v>
      </c>
      <c r="G14" s="6">
        <v>55795426.154436417</v>
      </c>
      <c r="H14">
        <v>1.0904992970496756</v>
      </c>
      <c r="I14">
        <v>16866.141947860982</v>
      </c>
    </row>
    <row r="15" spans="1:20">
      <c r="A15" s="26" t="s">
        <v>85</v>
      </c>
      <c r="B15" s="26" t="s">
        <v>86</v>
      </c>
      <c r="C15" s="26" t="s">
        <v>13</v>
      </c>
      <c r="D15" s="26" t="s">
        <v>76</v>
      </c>
      <c r="E15" s="27">
        <v>116264044</v>
      </c>
      <c r="F15" s="27">
        <v>14521838</v>
      </c>
      <c r="G15" s="6">
        <v>87301962.528556302</v>
      </c>
      <c r="H15">
        <v>1.1197977819573381</v>
      </c>
      <c r="I15">
        <v>487845.65947031358</v>
      </c>
    </row>
    <row r="16" spans="1:20">
      <c r="A16" s="26" t="s">
        <v>87</v>
      </c>
      <c r="B16" s="26" t="s">
        <v>88</v>
      </c>
      <c r="C16" s="26" t="s">
        <v>13</v>
      </c>
      <c r="D16" s="26" t="s">
        <v>76</v>
      </c>
      <c r="E16" s="27">
        <v>154412542</v>
      </c>
      <c r="F16" s="27">
        <v>18314832</v>
      </c>
      <c r="G16" s="6">
        <v>87301962.528556302</v>
      </c>
      <c r="H16">
        <v>1.1197977819573381</v>
      </c>
      <c r="I16">
        <v>615267.24751563836</v>
      </c>
    </row>
    <row r="17" spans="1:9">
      <c r="A17" s="26" t="s">
        <v>89</v>
      </c>
      <c r="B17" s="26" t="s">
        <v>90</v>
      </c>
      <c r="C17" s="26" t="s">
        <v>7</v>
      </c>
      <c r="D17" s="26" t="s">
        <v>70</v>
      </c>
      <c r="E17" s="27">
        <v>4845600</v>
      </c>
      <c r="F17" s="27">
        <v>309953</v>
      </c>
      <c r="G17" s="6">
        <v>57744678.241610035</v>
      </c>
      <c r="H17">
        <v>1.01132588800051</v>
      </c>
      <c r="I17">
        <v>9403.9047889026624</v>
      </c>
    </row>
    <row r="18" spans="1:9">
      <c r="A18" s="26" t="s">
        <v>91</v>
      </c>
      <c r="B18" s="26" t="s">
        <v>92</v>
      </c>
      <c r="C18" s="26" t="s">
        <v>13</v>
      </c>
      <c r="D18" s="26" t="s">
        <v>76</v>
      </c>
      <c r="E18" s="27">
        <v>141396350</v>
      </c>
      <c r="F18" s="27">
        <v>17018394</v>
      </c>
      <c r="G18" s="6">
        <v>87301962.528556302</v>
      </c>
      <c r="H18">
        <v>1.1197977819573381</v>
      </c>
      <c r="I18">
        <v>571714.7956102821</v>
      </c>
    </row>
    <row r="19" spans="1:9">
      <c r="A19" s="26" t="s">
        <v>93</v>
      </c>
      <c r="B19" s="26" t="s">
        <v>94</v>
      </c>
      <c r="C19" s="26" t="s">
        <v>7</v>
      </c>
      <c r="D19" s="26" t="s">
        <v>70</v>
      </c>
      <c r="E19" s="27">
        <v>137476715</v>
      </c>
      <c r="F19" s="27">
        <v>16673292</v>
      </c>
      <c r="G19" s="6">
        <v>57744678.241610035</v>
      </c>
      <c r="H19">
        <v>1.01132588800051</v>
      </c>
      <c r="I19">
        <v>505863.955133754</v>
      </c>
    </row>
    <row r="20" spans="1:9">
      <c r="A20" s="26" t="s">
        <v>95</v>
      </c>
      <c r="B20" s="26" t="s">
        <v>96</v>
      </c>
      <c r="C20" s="26" t="s">
        <v>13</v>
      </c>
      <c r="D20" s="26" t="s">
        <v>76</v>
      </c>
      <c r="E20" s="27">
        <v>130262943</v>
      </c>
      <c r="F20" s="27">
        <v>15644148</v>
      </c>
      <c r="G20" s="6">
        <v>87301962.528556302</v>
      </c>
      <c r="H20">
        <v>1.1197977819573381</v>
      </c>
      <c r="I20">
        <v>525548.46693036985</v>
      </c>
    </row>
    <row r="21" spans="1:9">
      <c r="A21" s="26" t="s">
        <v>97</v>
      </c>
      <c r="B21" s="26" t="s">
        <v>98</v>
      </c>
      <c r="C21" s="26" t="s">
        <v>7</v>
      </c>
      <c r="D21" s="26" t="s">
        <v>70</v>
      </c>
      <c r="E21" s="27">
        <v>83264287</v>
      </c>
      <c r="F21" s="27">
        <v>10974130</v>
      </c>
      <c r="G21" s="6">
        <v>57744678.241610035</v>
      </c>
      <c r="H21">
        <v>1.01132588800051</v>
      </c>
      <c r="I21">
        <v>332952.65301849111</v>
      </c>
    </row>
    <row r="22" spans="1:9">
      <c r="A22" s="26" t="s">
        <v>99</v>
      </c>
      <c r="B22" s="26" t="s">
        <v>100</v>
      </c>
      <c r="C22" s="26" t="s">
        <v>3</v>
      </c>
      <c r="D22" s="26" t="s">
        <v>66</v>
      </c>
      <c r="E22" s="27">
        <v>34468177</v>
      </c>
      <c r="F22" s="27">
        <v>4742584</v>
      </c>
      <c r="G22" s="6">
        <v>16320468.22410278</v>
      </c>
      <c r="H22">
        <v>0.85057718990553988</v>
      </c>
      <c r="I22">
        <v>121018.01314832924</v>
      </c>
    </row>
    <row r="23" spans="1:9">
      <c r="A23" s="26" t="s">
        <v>101</v>
      </c>
      <c r="B23" s="26" t="s">
        <v>102</v>
      </c>
      <c r="C23" s="26" t="s">
        <v>12</v>
      </c>
      <c r="D23" s="26" t="s">
        <v>75</v>
      </c>
      <c r="E23" s="27">
        <v>49449541</v>
      </c>
      <c r="F23" s="27">
        <v>5905182</v>
      </c>
      <c r="G23" s="6">
        <v>15898858.846055923</v>
      </c>
      <c r="H23">
        <v>0.96890935061175498</v>
      </c>
      <c r="I23">
        <v>171647.58170592671</v>
      </c>
    </row>
    <row r="24" spans="1:9">
      <c r="A24" s="26" t="s">
        <v>103</v>
      </c>
      <c r="B24" s="26" t="s">
        <v>104</v>
      </c>
      <c r="C24" s="26" t="s">
        <v>2</v>
      </c>
      <c r="D24" s="26" t="s">
        <v>65</v>
      </c>
      <c r="E24" s="27">
        <v>47704271</v>
      </c>
      <c r="F24" s="27">
        <v>6435676</v>
      </c>
      <c r="G24" s="6">
        <v>21643788.410051506</v>
      </c>
      <c r="H24">
        <v>0.9066751914321316</v>
      </c>
      <c r="I24">
        <v>175052.03307885525</v>
      </c>
    </row>
    <row r="25" spans="1:9">
      <c r="A25" s="26" t="s">
        <v>105</v>
      </c>
      <c r="B25" s="26" t="s">
        <v>106</v>
      </c>
      <c r="C25" s="26" t="s">
        <v>0</v>
      </c>
      <c r="D25" s="26" t="s">
        <v>63</v>
      </c>
      <c r="E25" s="27">
        <v>80340352</v>
      </c>
      <c r="F25" s="27">
        <v>10671327</v>
      </c>
      <c r="G25" s="6">
        <v>72986149.512171745</v>
      </c>
      <c r="H25">
        <v>0.83297983804257525</v>
      </c>
      <c r="I25">
        <v>266670.00708478084</v>
      </c>
    </row>
    <row r="26" spans="1:9">
      <c r="A26" s="26" t="s">
        <v>107</v>
      </c>
      <c r="B26" s="26" t="s">
        <v>108</v>
      </c>
      <c r="C26" s="26" t="s">
        <v>11</v>
      </c>
      <c r="D26" s="26" t="s">
        <v>74</v>
      </c>
      <c r="E26" s="27">
        <v>70421657</v>
      </c>
      <c r="F26" s="27">
        <v>7923342</v>
      </c>
      <c r="G26" s="6">
        <v>25549302.1310887</v>
      </c>
      <c r="H26">
        <v>1.1697310105247292</v>
      </c>
      <c r="I26">
        <v>278045.36533179082</v>
      </c>
    </row>
    <row r="27" spans="1:9">
      <c r="A27" s="26" t="s">
        <v>109</v>
      </c>
      <c r="B27" s="26" t="s">
        <v>110</v>
      </c>
      <c r="C27" s="26" t="s">
        <v>7</v>
      </c>
      <c r="D27" s="26" t="s">
        <v>70</v>
      </c>
      <c r="E27" s="27">
        <v>124883137</v>
      </c>
      <c r="F27" s="27">
        <v>15451133</v>
      </c>
      <c r="G27" s="6">
        <v>57744678.241610035</v>
      </c>
      <c r="H27">
        <v>1.01132588800051</v>
      </c>
      <c r="I27">
        <v>468783.92405516951</v>
      </c>
    </row>
    <row r="28" spans="1:9">
      <c r="A28" s="26" t="s">
        <v>111</v>
      </c>
      <c r="B28" s="26" t="s">
        <v>112</v>
      </c>
      <c r="C28" s="26" t="s">
        <v>3</v>
      </c>
      <c r="D28" s="26" t="s">
        <v>66</v>
      </c>
      <c r="E28" s="27">
        <v>33663272</v>
      </c>
      <c r="F28" s="27">
        <v>4592357</v>
      </c>
      <c r="G28" s="6">
        <v>16320468.22410278</v>
      </c>
      <c r="H28">
        <v>0.85057718990553988</v>
      </c>
      <c r="I28">
        <v>117184.62336309106</v>
      </c>
    </row>
    <row r="29" spans="1:9">
      <c r="A29" s="26" t="s">
        <v>113</v>
      </c>
      <c r="B29" s="26" t="s">
        <v>114</v>
      </c>
      <c r="C29" s="26" t="s">
        <v>0</v>
      </c>
      <c r="D29" s="26" t="s">
        <v>63</v>
      </c>
      <c r="E29" s="27">
        <v>78513265</v>
      </c>
      <c r="F29" s="27">
        <v>11071384</v>
      </c>
      <c r="G29" s="6">
        <v>72986149.512171745</v>
      </c>
      <c r="H29">
        <v>0.83297983804257525</v>
      </c>
      <c r="I29">
        <v>276667.18953681475</v>
      </c>
    </row>
    <row r="30" spans="1:9">
      <c r="A30" s="26" t="s">
        <v>115</v>
      </c>
      <c r="B30" s="26" t="s">
        <v>116</v>
      </c>
      <c r="C30" s="26" t="s">
        <v>7</v>
      </c>
      <c r="D30" s="26" t="s">
        <v>70</v>
      </c>
      <c r="E30" s="27">
        <v>115029636</v>
      </c>
      <c r="F30" s="27">
        <v>14990179</v>
      </c>
      <c r="G30" s="6">
        <v>57744678.241610035</v>
      </c>
      <c r="H30">
        <v>1.01132588800051</v>
      </c>
      <c r="I30">
        <v>454798.68265384791</v>
      </c>
    </row>
    <row r="31" spans="1:9">
      <c r="A31" s="26" t="s">
        <v>117</v>
      </c>
      <c r="B31" s="26" t="s">
        <v>118</v>
      </c>
      <c r="C31" s="26" t="s">
        <v>13</v>
      </c>
      <c r="D31" s="26" t="s">
        <v>76</v>
      </c>
      <c r="E31" s="27">
        <v>136862592</v>
      </c>
      <c r="F31" s="27">
        <v>17451628</v>
      </c>
      <c r="G31" s="6">
        <v>87301962.528556302</v>
      </c>
      <c r="H31">
        <v>1.1197977819573381</v>
      </c>
      <c r="I31">
        <v>586268.82977833727</v>
      </c>
    </row>
    <row r="32" spans="1:9">
      <c r="A32" s="26" t="s">
        <v>119</v>
      </c>
      <c r="B32" s="26" t="s">
        <v>120</v>
      </c>
      <c r="C32" s="26" t="s">
        <v>8</v>
      </c>
      <c r="D32" s="26" t="s">
        <v>71</v>
      </c>
      <c r="E32" s="27">
        <v>89389761</v>
      </c>
      <c r="F32" s="27">
        <v>10767001</v>
      </c>
      <c r="G32" s="6">
        <v>26052395.170570899</v>
      </c>
      <c r="H32">
        <v>1.1197535508348706</v>
      </c>
      <c r="I32">
        <v>361691.62804777804</v>
      </c>
    </row>
    <row r="33" spans="1:9">
      <c r="A33" s="26" t="s">
        <v>121</v>
      </c>
      <c r="B33" s="26" t="s">
        <v>122</v>
      </c>
      <c r="C33" s="26" t="s">
        <v>5</v>
      </c>
      <c r="D33" s="26" t="s">
        <v>68</v>
      </c>
      <c r="E33" s="27">
        <v>100905128</v>
      </c>
      <c r="F33" s="27">
        <v>12976000</v>
      </c>
      <c r="G33" s="6">
        <v>55795426.154436417</v>
      </c>
      <c r="H33">
        <v>1.0904992970496756</v>
      </c>
      <c r="I33">
        <v>424509.56635549775</v>
      </c>
    </row>
    <row r="34" spans="1:9">
      <c r="A34" s="26" t="s">
        <v>123</v>
      </c>
      <c r="B34" s="26" t="s">
        <v>124</v>
      </c>
      <c r="C34" s="26" t="s">
        <v>13</v>
      </c>
      <c r="D34" s="26" t="s">
        <v>76</v>
      </c>
      <c r="E34" s="27">
        <v>122539317</v>
      </c>
      <c r="F34" s="27">
        <v>14696019</v>
      </c>
      <c r="G34" s="6">
        <v>87301962.528556302</v>
      </c>
      <c r="H34">
        <v>1.1197977819573381</v>
      </c>
      <c r="I34">
        <v>493697.08439408697</v>
      </c>
    </row>
    <row r="35" spans="1:9">
      <c r="A35" s="26" t="s">
        <v>125</v>
      </c>
      <c r="B35" s="26" t="s">
        <v>126</v>
      </c>
      <c r="C35" s="26" t="s">
        <v>4</v>
      </c>
      <c r="D35" s="26" t="s">
        <v>67</v>
      </c>
      <c r="E35" s="27">
        <v>44921103</v>
      </c>
      <c r="F35" s="27">
        <v>6785996</v>
      </c>
      <c r="G35" s="6">
        <v>33864471.888990559</v>
      </c>
      <c r="H35">
        <v>0.78253158906090114</v>
      </c>
      <c r="I35">
        <v>0</v>
      </c>
    </row>
    <row r="36" spans="1:9">
      <c r="A36" s="26" t="s">
        <v>127</v>
      </c>
      <c r="B36" s="26" t="s">
        <v>128</v>
      </c>
      <c r="C36" s="26" t="s">
        <v>1</v>
      </c>
      <c r="D36" s="26" t="s">
        <v>64</v>
      </c>
      <c r="E36" s="27">
        <v>65146180</v>
      </c>
      <c r="F36" s="27">
        <v>7981746</v>
      </c>
      <c r="G36" s="6">
        <v>38297651.209154978</v>
      </c>
      <c r="H36">
        <v>0.8872716975362982</v>
      </c>
      <c r="I36">
        <v>212459.31968170675</v>
      </c>
    </row>
    <row r="37" spans="1:9">
      <c r="A37" s="26" t="s">
        <v>129</v>
      </c>
      <c r="B37" s="26" t="s">
        <v>130</v>
      </c>
      <c r="C37" s="26" t="s">
        <v>2</v>
      </c>
      <c r="D37" s="26" t="s">
        <v>65</v>
      </c>
      <c r="E37" s="27">
        <v>55758749</v>
      </c>
      <c r="F37" s="27">
        <v>6420835</v>
      </c>
      <c r="G37" s="6">
        <v>21643788.410051506</v>
      </c>
      <c r="H37">
        <v>0.9066751914321316</v>
      </c>
      <c r="I37">
        <v>174648.35408337391</v>
      </c>
    </row>
    <row r="38" spans="1:9">
      <c r="A38" s="26" t="s">
        <v>131</v>
      </c>
      <c r="B38" s="26" t="s">
        <v>132</v>
      </c>
      <c r="C38" s="26" t="s">
        <v>9</v>
      </c>
      <c r="D38" s="26" t="s">
        <v>72</v>
      </c>
      <c r="E38" s="27">
        <v>112778494</v>
      </c>
      <c r="F38" s="27">
        <v>14784657</v>
      </c>
      <c r="G38" s="6">
        <v>56982086.869893089</v>
      </c>
      <c r="H38">
        <v>0.93348146622731443</v>
      </c>
      <c r="I38">
        <v>414036.0988208378</v>
      </c>
    </row>
    <row r="39" spans="1:9">
      <c r="A39" s="26" t="s">
        <v>133</v>
      </c>
      <c r="B39" s="26" t="s">
        <v>134</v>
      </c>
      <c r="C39" s="26" t="s">
        <v>6</v>
      </c>
      <c r="D39" s="26" t="s">
        <v>69</v>
      </c>
      <c r="E39" s="27">
        <v>76037244</v>
      </c>
      <c r="F39" s="27">
        <v>9140611</v>
      </c>
      <c r="G39" s="6">
        <v>30353518.130827777</v>
      </c>
      <c r="H39">
        <v>1.0017735956978755</v>
      </c>
      <c r="I39">
        <v>274704.68245036661</v>
      </c>
    </row>
    <row r="40" spans="1:9">
      <c r="A40" s="26" t="s">
        <v>135</v>
      </c>
      <c r="B40" s="26" t="s">
        <v>136</v>
      </c>
      <c r="C40" s="26" t="s">
        <v>5</v>
      </c>
      <c r="D40" s="26" t="s">
        <v>68</v>
      </c>
      <c r="E40" s="27">
        <v>119898644</v>
      </c>
      <c r="F40" s="27">
        <v>14858667</v>
      </c>
      <c r="G40" s="6">
        <v>55795426.154436417</v>
      </c>
      <c r="H40">
        <v>1.0904992970496756</v>
      </c>
      <c r="I40">
        <v>486100.97755785641</v>
      </c>
    </row>
    <row r="41" spans="1:9">
      <c r="A41" s="26" t="s">
        <v>137</v>
      </c>
      <c r="B41" s="26" t="s">
        <v>138</v>
      </c>
      <c r="C41" s="26" t="s">
        <v>6</v>
      </c>
      <c r="D41" s="26" t="s">
        <v>69</v>
      </c>
      <c r="E41" s="27">
        <v>45189628</v>
      </c>
      <c r="F41" s="27">
        <v>5690928</v>
      </c>
      <c r="G41" s="6">
        <v>30353518.130827777</v>
      </c>
      <c r="H41">
        <v>1.0017735956978755</v>
      </c>
      <c r="I41">
        <v>171030.64216253159</v>
      </c>
    </row>
    <row r="42" spans="1:9">
      <c r="A42" s="26" t="s">
        <v>139</v>
      </c>
      <c r="B42" s="26" t="s">
        <v>140</v>
      </c>
      <c r="C42" s="26" t="s">
        <v>4</v>
      </c>
      <c r="D42" s="26" t="s">
        <v>67</v>
      </c>
      <c r="E42" s="27">
        <v>49065014</v>
      </c>
      <c r="F42" s="27">
        <v>6358271</v>
      </c>
      <c r="G42" s="6">
        <v>33864471.888990559</v>
      </c>
      <c r="H42">
        <v>0.78253158906090114</v>
      </c>
      <c r="I42">
        <v>0</v>
      </c>
    </row>
    <row r="43" spans="1:9">
      <c r="A43" s="26" t="s">
        <v>141</v>
      </c>
      <c r="B43" s="26" t="s">
        <v>142</v>
      </c>
      <c r="C43" s="26" t="s">
        <v>6</v>
      </c>
      <c r="D43" s="26" t="s">
        <v>69</v>
      </c>
      <c r="E43" s="27">
        <v>68525127</v>
      </c>
      <c r="F43" s="27">
        <v>8532003</v>
      </c>
      <c r="G43" s="6">
        <v>30353518.130827777</v>
      </c>
      <c r="H43">
        <v>1.0017735956978755</v>
      </c>
      <c r="I43">
        <v>256414.05971445181</v>
      </c>
    </row>
    <row r="44" spans="1:9">
      <c r="A44" s="26" t="s">
        <v>143</v>
      </c>
      <c r="B44" s="26" t="s">
        <v>144</v>
      </c>
      <c r="C44" s="26" t="s">
        <v>10</v>
      </c>
      <c r="D44" s="26" t="s">
        <v>73</v>
      </c>
      <c r="E44" s="27">
        <v>78855281</v>
      </c>
      <c r="F44" s="27">
        <v>9341451</v>
      </c>
      <c r="G44" s="6">
        <v>22490620.400274407</v>
      </c>
      <c r="H44">
        <v>1.0547499614421738</v>
      </c>
      <c r="I44">
        <v>295586.85246191866</v>
      </c>
    </row>
    <row r="45" spans="1:9">
      <c r="A45" s="26" t="s">
        <v>145</v>
      </c>
      <c r="B45" s="26" t="s">
        <v>146</v>
      </c>
      <c r="C45" s="26" t="s">
        <v>9</v>
      </c>
      <c r="D45" s="26" t="s">
        <v>72</v>
      </c>
      <c r="E45" s="27">
        <v>103530372</v>
      </c>
      <c r="F45" s="27">
        <v>13670419</v>
      </c>
      <c r="G45" s="6">
        <v>56982086.869893089</v>
      </c>
      <c r="H45">
        <v>0.93348146622731443</v>
      </c>
      <c r="I45">
        <v>382832.48316185211</v>
      </c>
    </row>
    <row r="46" spans="1:9">
      <c r="A46" s="26" t="s">
        <v>147</v>
      </c>
      <c r="B46" s="26" t="s">
        <v>148</v>
      </c>
      <c r="C46" s="26" t="s">
        <v>10</v>
      </c>
      <c r="D46" s="26" t="s">
        <v>73</v>
      </c>
      <c r="E46" s="27">
        <v>39241055</v>
      </c>
      <c r="F46" s="27">
        <v>5239451</v>
      </c>
      <c r="G46" s="6">
        <v>22490620.400274407</v>
      </c>
      <c r="H46">
        <v>1.0547499614421738</v>
      </c>
      <c r="I46">
        <v>165789.32220684478</v>
      </c>
    </row>
    <row r="47" spans="1:9">
      <c r="A47" s="26" t="s">
        <v>149</v>
      </c>
      <c r="B47" s="26" t="s">
        <v>150</v>
      </c>
      <c r="C47" s="26" t="s">
        <v>4</v>
      </c>
      <c r="D47" s="26" t="s">
        <v>67</v>
      </c>
      <c r="E47" s="27">
        <v>50662288</v>
      </c>
      <c r="F47" s="27">
        <v>6823653</v>
      </c>
      <c r="G47" s="6">
        <v>33864471.888990559</v>
      </c>
      <c r="H47">
        <v>0.78253158906090114</v>
      </c>
      <c r="I47">
        <v>0</v>
      </c>
    </row>
    <row r="48" spans="1:9">
      <c r="A48" s="26" t="s">
        <v>151</v>
      </c>
      <c r="B48" s="26" t="s">
        <v>152</v>
      </c>
      <c r="C48" s="26" t="s">
        <v>11</v>
      </c>
      <c r="D48" s="26" t="s">
        <v>74</v>
      </c>
      <c r="E48" s="27">
        <v>76639633</v>
      </c>
      <c r="F48" s="27">
        <v>9633295</v>
      </c>
      <c r="G48" s="6">
        <v>25549302.1310887</v>
      </c>
      <c r="H48">
        <v>1.1697310105247292</v>
      </c>
      <c r="I48">
        <v>338050.91685098462</v>
      </c>
    </row>
    <row r="49" spans="1:9">
      <c r="A49" s="26" t="s">
        <v>153</v>
      </c>
      <c r="B49" s="26" t="s">
        <v>154</v>
      </c>
      <c r="C49" s="26" t="s">
        <v>0</v>
      </c>
      <c r="D49" s="26" t="s">
        <v>63</v>
      </c>
      <c r="E49" s="27">
        <v>80371664</v>
      </c>
      <c r="F49" s="27">
        <v>10919103</v>
      </c>
      <c r="G49" s="6">
        <v>72986149.512171745</v>
      </c>
      <c r="H49">
        <v>0.83297983804257525</v>
      </c>
      <c r="I49">
        <v>272861.77945530589</v>
      </c>
    </row>
    <row r="50" spans="1:9">
      <c r="A50" s="26" t="s">
        <v>155</v>
      </c>
      <c r="B50" s="26" t="s">
        <v>156</v>
      </c>
      <c r="C50" s="26" t="s">
        <v>6</v>
      </c>
      <c r="D50" s="26" t="s">
        <v>69</v>
      </c>
      <c r="E50" s="27">
        <v>55147481</v>
      </c>
      <c r="F50" s="27">
        <v>7043811</v>
      </c>
      <c r="G50" s="6">
        <v>30353518.130827777</v>
      </c>
      <c r="H50">
        <v>1.0017735956978755</v>
      </c>
      <c r="I50">
        <v>211689.11618658743</v>
      </c>
    </row>
    <row r="51" spans="1:9">
      <c r="A51" s="26" t="s">
        <v>157</v>
      </c>
      <c r="B51" s="26" t="s">
        <v>158</v>
      </c>
      <c r="C51" s="26" t="s">
        <v>4</v>
      </c>
      <c r="D51" s="26" t="s">
        <v>67</v>
      </c>
      <c r="E51" s="27">
        <v>48447140</v>
      </c>
      <c r="F51" s="27">
        <v>6532098</v>
      </c>
      <c r="G51" s="6">
        <v>33864471.888990559</v>
      </c>
      <c r="H51">
        <v>0.78253158906090114</v>
      </c>
      <c r="I51">
        <v>0</v>
      </c>
    </row>
    <row r="52" spans="1:9">
      <c r="A52" s="26" t="s">
        <v>159</v>
      </c>
      <c r="B52" s="26" t="s">
        <v>160</v>
      </c>
      <c r="C52" s="26" t="s">
        <v>9</v>
      </c>
      <c r="D52" s="26" t="s">
        <v>72</v>
      </c>
      <c r="E52" s="27">
        <v>98049157</v>
      </c>
      <c r="F52" s="27">
        <v>13038054</v>
      </c>
      <c r="G52" s="6">
        <v>56982086.869893089</v>
      </c>
      <c r="H52">
        <v>0.93348146622731443</v>
      </c>
      <c r="I52">
        <v>365123.45294012706</v>
      </c>
    </row>
    <row r="53" spans="1:9">
      <c r="A53" s="26" t="s">
        <v>161</v>
      </c>
      <c r="B53" s="26" t="s">
        <v>162</v>
      </c>
      <c r="C53" s="26" t="s">
        <v>5</v>
      </c>
      <c r="D53" s="26" t="s">
        <v>68</v>
      </c>
      <c r="E53" s="27">
        <v>125372250</v>
      </c>
      <c r="F53" s="27">
        <v>16025565</v>
      </c>
      <c r="G53" s="6">
        <v>55795426.154436417</v>
      </c>
      <c r="H53">
        <v>1.0904992970496756</v>
      </c>
      <c r="I53">
        <v>524276.02101971651</v>
      </c>
    </row>
    <row r="54" spans="1:9">
      <c r="A54" s="26" t="s">
        <v>163</v>
      </c>
      <c r="B54" s="26" t="s">
        <v>164</v>
      </c>
      <c r="C54" s="26" t="s">
        <v>1</v>
      </c>
      <c r="D54" s="26" t="s">
        <v>64</v>
      </c>
      <c r="E54" s="27">
        <v>68802226</v>
      </c>
      <c r="F54" s="27">
        <v>8837284</v>
      </c>
      <c r="G54" s="6">
        <v>38297651.209154978</v>
      </c>
      <c r="H54">
        <v>0.8872716975362982</v>
      </c>
      <c r="I54">
        <v>235232.15928871103</v>
      </c>
    </row>
    <row r="55" spans="1:9">
      <c r="A55" s="26" t="s">
        <v>165</v>
      </c>
      <c r="B55" s="26" t="s">
        <v>166</v>
      </c>
      <c r="C55" s="26" t="s">
        <v>1</v>
      </c>
      <c r="D55" s="26" t="s">
        <v>64</v>
      </c>
      <c r="E55" s="27">
        <v>71265426</v>
      </c>
      <c r="F55" s="27">
        <v>9767462</v>
      </c>
      <c r="G55" s="6">
        <v>38297651.209154978</v>
      </c>
      <c r="H55">
        <v>0.8872716975362982</v>
      </c>
      <c r="I55">
        <v>259991.77768083857</v>
      </c>
    </row>
    <row r="56" spans="1:9">
      <c r="A56" s="26" t="s">
        <v>167</v>
      </c>
      <c r="B56" s="26" t="s">
        <v>168</v>
      </c>
      <c r="C56" s="26" t="s">
        <v>5</v>
      </c>
      <c r="D56" s="26" t="s">
        <v>68</v>
      </c>
      <c r="E56" s="27">
        <v>125166475</v>
      </c>
      <c r="F56" s="27">
        <v>16469092</v>
      </c>
      <c r="G56" s="6">
        <v>55795426.154436417</v>
      </c>
      <c r="H56">
        <v>1.0904992970496756</v>
      </c>
      <c r="I56">
        <v>538785.99747139309</v>
      </c>
    </row>
    <row r="57" spans="1:9">
      <c r="A57" s="26" t="s">
        <v>169</v>
      </c>
      <c r="B57" s="26" t="s">
        <v>170</v>
      </c>
      <c r="C57" s="26" t="s">
        <v>10</v>
      </c>
      <c r="D57" s="26" t="s">
        <v>73</v>
      </c>
      <c r="E57" s="27">
        <v>72830603</v>
      </c>
      <c r="F57" s="27">
        <v>9141080</v>
      </c>
      <c r="G57" s="6">
        <v>22490620.400274407</v>
      </c>
      <c r="H57">
        <v>1.0547499614421738</v>
      </c>
      <c r="I57">
        <v>289246.61332619475</v>
      </c>
    </row>
    <row r="58" spans="1:9">
      <c r="A58" s="26" t="s">
        <v>171</v>
      </c>
      <c r="B58" s="26" t="s">
        <v>172</v>
      </c>
      <c r="C58" s="26" t="s">
        <v>2</v>
      </c>
      <c r="D58" s="26" t="s">
        <v>65</v>
      </c>
      <c r="E58" s="27">
        <v>57402089</v>
      </c>
      <c r="F58" s="27">
        <v>6767375</v>
      </c>
      <c r="G58" s="6">
        <v>21643788.410051506</v>
      </c>
      <c r="H58">
        <v>0.9066751914321316</v>
      </c>
      <c r="I58">
        <v>184074.33070854066</v>
      </c>
    </row>
    <row r="59" spans="1:9">
      <c r="A59" s="26" t="s">
        <v>173</v>
      </c>
      <c r="B59" s="26" t="s">
        <v>174</v>
      </c>
      <c r="C59" s="26" t="s">
        <v>0</v>
      </c>
      <c r="D59" s="26" t="s">
        <v>63</v>
      </c>
      <c r="E59" s="27">
        <v>85514017</v>
      </c>
      <c r="F59" s="27">
        <v>11797707</v>
      </c>
      <c r="G59" s="6">
        <v>72986149.512171745</v>
      </c>
      <c r="H59">
        <v>0.83297983804257525</v>
      </c>
      <c r="I59">
        <v>294817.56198401266</v>
      </c>
    </row>
    <row r="60" spans="1:9">
      <c r="A60" s="26" t="s">
        <v>175</v>
      </c>
      <c r="B60" s="26" t="s">
        <v>176</v>
      </c>
      <c r="C60" s="26" t="s">
        <v>0</v>
      </c>
      <c r="D60" s="26" t="s">
        <v>63</v>
      </c>
      <c r="E60" s="27">
        <v>94595266</v>
      </c>
      <c r="F60" s="27">
        <v>12545848</v>
      </c>
      <c r="G60" s="6">
        <v>72986149.512171745</v>
      </c>
      <c r="H60">
        <v>0.83297983804257525</v>
      </c>
      <c r="I60">
        <v>313513.15305440302</v>
      </c>
    </row>
    <row r="61" spans="1:9">
      <c r="A61" s="26" t="s">
        <v>177</v>
      </c>
      <c r="B61" s="26" t="s">
        <v>178</v>
      </c>
      <c r="C61" s="26" t="s">
        <v>0</v>
      </c>
      <c r="D61" s="26" t="s">
        <v>63</v>
      </c>
      <c r="E61" s="27">
        <v>25585086</v>
      </c>
      <c r="F61" s="27">
        <v>3790623</v>
      </c>
      <c r="G61" s="6">
        <v>72986149.512171745</v>
      </c>
      <c r="H61">
        <v>0.83297983804257525</v>
      </c>
      <c r="I61">
        <v>94725.375978613825</v>
      </c>
    </row>
    <row r="62" spans="1:9">
      <c r="A62" s="26" t="s">
        <v>179</v>
      </c>
      <c r="B62" s="26" t="s">
        <v>180</v>
      </c>
      <c r="C62" s="26" t="s">
        <v>8</v>
      </c>
      <c r="D62" s="26" t="s">
        <v>71</v>
      </c>
      <c r="E62" s="27">
        <v>68847384</v>
      </c>
      <c r="F62" s="27">
        <v>8817260</v>
      </c>
      <c r="G62" s="6">
        <v>26052395.170570899</v>
      </c>
      <c r="H62">
        <v>1.1197535508348706</v>
      </c>
      <c r="I62">
        <v>296194.7458090281</v>
      </c>
    </row>
    <row r="63" spans="1:9">
      <c r="A63" s="26" t="s">
        <v>181</v>
      </c>
      <c r="B63" s="26" t="s">
        <v>182</v>
      </c>
      <c r="C63" s="26" t="s">
        <v>8</v>
      </c>
      <c r="D63" s="26" t="s">
        <v>71</v>
      </c>
      <c r="E63" s="27">
        <v>77085828</v>
      </c>
      <c r="F63" s="27">
        <v>9588001</v>
      </c>
      <c r="G63" s="6">
        <v>26052395.170570899</v>
      </c>
      <c r="H63">
        <v>1.1197535508348706</v>
      </c>
      <c r="I63">
        <v>322085.94495474867</v>
      </c>
    </row>
    <row r="64" spans="1:9">
      <c r="A64" s="26" t="s">
        <v>183</v>
      </c>
      <c r="B64" s="26" t="s">
        <v>184</v>
      </c>
      <c r="C64" s="26" t="s">
        <v>11</v>
      </c>
      <c r="D64" s="26" t="s">
        <v>74</v>
      </c>
      <c r="E64" s="27">
        <v>80056027</v>
      </c>
      <c r="F64" s="27">
        <v>9032323</v>
      </c>
      <c r="G64" s="6">
        <v>25549302.1310887</v>
      </c>
      <c r="H64">
        <v>1.1697310105247292</v>
      </c>
      <c r="I64">
        <v>316961.64930527261</v>
      </c>
    </row>
    <row r="65" spans="1:9">
      <c r="A65" s="26" t="s">
        <v>185</v>
      </c>
      <c r="B65" s="26" t="s">
        <v>186</v>
      </c>
      <c r="C65" s="26" t="s">
        <v>9</v>
      </c>
      <c r="D65" s="26" t="s">
        <v>72</v>
      </c>
      <c r="E65" s="27">
        <v>81467468</v>
      </c>
      <c r="F65" s="27">
        <v>11698593</v>
      </c>
      <c r="G65" s="6">
        <v>56982086.869893089</v>
      </c>
      <c r="H65">
        <v>0.93348146622731443</v>
      </c>
      <c r="I65">
        <v>327612.59239309788</v>
      </c>
    </row>
    <row r="66" spans="1:9">
      <c r="A66" s="26" t="s">
        <v>187</v>
      </c>
      <c r="B66" s="26" t="s">
        <v>188</v>
      </c>
      <c r="C66" s="26" t="s">
        <v>1</v>
      </c>
      <c r="D66" s="26" t="s">
        <v>64</v>
      </c>
      <c r="E66" s="27">
        <v>53713176</v>
      </c>
      <c r="F66" s="27">
        <v>7253581</v>
      </c>
      <c r="G66" s="6">
        <v>38297651.209154978</v>
      </c>
      <c r="H66">
        <v>0.8872716975362982</v>
      </c>
      <c r="I66">
        <v>193076.91381261116</v>
      </c>
    </row>
    <row r="67" spans="1:9">
      <c r="A67" s="26" t="s">
        <v>189</v>
      </c>
      <c r="B67" s="26" t="s">
        <v>190</v>
      </c>
      <c r="C67" s="26" t="s">
        <v>3</v>
      </c>
      <c r="D67" s="26" t="s">
        <v>66</v>
      </c>
      <c r="E67" s="27">
        <v>36408272</v>
      </c>
      <c r="F67" s="27">
        <v>4546878</v>
      </c>
      <c r="G67" s="6">
        <v>16320468.22410278</v>
      </c>
      <c r="H67">
        <v>0.85057718990553988</v>
      </c>
      <c r="I67">
        <v>116024.12136249963</v>
      </c>
    </row>
    <row r="68" spans="1:9">
      <c r="A68" s="26" t="s">
        <v>191</v>
      </c>
      <c r="B68" s="26" t="s">
        <v>192</v>
      </c>
      <c r="C68" s="26" t="s">
        <v>11</v>
      </c>
      <c r="D68" s="26" t="s">
        <v>74</v>
      </c>
      <c r="E68" s="27">
        <v>25320263</v>
      </c>
      <c r="F68" s="27">
        <v>3296851</v>
      </c>
      <c r="G68" s="6">
        <v>25549302.1310887</v>
      </c>
      <c r="H68">
        <v>1.1697310105247292</v>
      </c>
      <c r="I68">
        <v>115692.86555338392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ECK_TYPE">
                <anchor moveWithCells="1" sizeWithCells="1">
                  <from>
                    <xdr:col>1</xdr:col>
                    <xdr:colOff>444500</xdr:colOff>
                    <xdr:row>2</xdr:row>
                    <xdr:rowOff>152400</xdr:rowOff>
                  </from>
                  <to>
                    <xdr:col>3</xdr:col>
                    <xdr:colOff>317500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toreTempForA_GP" altText="Clear">
                <anchor moveWithCells="1" sizeWithCells="1">
                  <from>
                    <xdr:col>3</xdr:col>
                    <xdr:colOff>749300</xdr:colOff>
                    <xdr:row>2</xdr:row>
                    <xdr:rowOff>152400</xdr:rowOff>
                  </from>
                  <to>
                    <xdr:col>5</xdr:col>
                    <xdr:colOff>774700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Q65"/>
  <sheetViews>
    <sheetView workbookViewId="0">
      <selection activeCell="J26" sqref="J26"/>
    </sheetView>
  </sheetViews>
  <sheetFormatPr baseColWidth="10" defaultColWidth="11" defaultRowHeight="15"/>
  <cols>
    <col min="7" max="7" width="12.1640625" customWidth="1"/>
    <col min="8" max="8" width="10.83203125" style="6"/>
    <col min="12" max="12" width="10.83203125" style="8"/>
  </cols>
  <sheetData>
    <row r="1" spans="1:17">
      <c r="C1" s="2"/>
      <c r="D1" s="2"/>
      <c r="E1" s="2"/>
      <c r="F1" s="2"/>
      <c r="G1" s="2"/>
      <c r="H1" s="5"/>
      <c r="I1" s="2"/>
    </row>
    <row r="3" spans="1:17">
      <c r="H3" t="s">
        <v>38</v>
      </c>
    </row>
    <row r="4" spans="1:17">
      <c r="F4" s="6"/>
      <c r="H4" t="s">
        <v>39</v>
      </c>
      <c r="J4" s="8"/>
      <c r="L4"/>
    </row>
    <row r="5" spans="1:17">
      <c r="F5" s="6"/>
      <c r="H5" t="s">
        <v>46</v>
      </c>
      <c r="J5" s="8"/>
      <c r="L5"/>
    </row>
    <row r="6" spans="1:17">
      <c r="H6" t="s">
        <v>40</v>
      </c>
      <c r="K6" s="3"/>
      <c r="M6" s="3"/>
      <c r="N6" s="3"/>
      <c r="O6" s="3"/>
      <c r="P6" s="3"/>
      <c r="Q6" s="3"/>
    </row>
    <row r="7" spans="1:17">
      <c r="H7" t="s">
        <v>41</v>
      </c>
    </row>
    <row r="8" spans="1:17">
      <c r="H8" t="s">
        <v>47</v>
      </c>
    </row>
    <row r="10" spans="1:17">
      <c r="A10" s="4" t="s">
        <v>14</v>
      </c>
      <c r="B10" s="4" t="s">
        <v>15</v>
      </c>
      <c r="C10" s="1" t="s">
        <v>16</v>
      </c>
      <c r="D10" s="1" t="s">
        <v>17</v>
      </c>
      <c r="E10" s="1" t="s">
        <v>24</v>
      </c>
      <c r="F10" s="1" t="s">
        <v>25</v>
      </c>
      <c r="G10" s="7" t="s">
        <v>26</v>
      </c>
      <c r="H10" s="1" t="s">
        <v>27</v>
      </c>
      <c r="I10" s="1" t="s">
        <v>28</v>
      </c>
      <c r="J10" s="10" t="s">
        <v>29</v>
      </c>
      <c r="K10" s="1" t="s">
        <v>30</v>
      </c>
      <c r="L10" s="9" t="s">
        <v>31</v>
      </c>
      <c r="M10" s="1" t="s">
        <v>32</v>
      </c>
    </row>
    <row r="11" spans="1:17">
      <c r="A11" s="26" t="s">
        <v>79</v>
      </c>
      <c r="B11" s="26" t="s">
        <v>80</v>
      </c>
      <c r="C11" s="26" t="s">
        <v>12</v>
      </c>
      <c r="D11" s="26" t="s">
        <v>75</v>
      </c>
      <c r="E11" s="27">
        <v>433273</v>
      </c>
      <c r="F11" s="27">
        <v>3</v>
      </c>
    </row>
    <row r="12" spans="1:17">
      <c r="A12" s="26" t="s">
        <v>83</v>
      </c>
      <c r="B12" s="26" t="s">
        <v>84</v>
      </c>
      <c r="C12" s="26" t="s">
        <v>5</v>
      </c>
      <c r="D12" s="26" t="s">
        <v>68</v>
      </c>
      <c r="E12" s="27">
        <v>335545</v>
      </c>
      <c r="F12" s="27">
        <v>1</v>
      </c>
    </row>
    <row r="13" spans="1:17">
      <c r="A13" s="26" t="s">
        <v>85</v>
      </c>
      <c r="B13" s="26" t="s">
        <v>86</v>
      </c>
      <c r="C13" s="26" t="s">
        <v>13</v>
      </c>
      <c r="D13" s="26" t="s">
        <v>76</v>
      </c>
      <c r="E13" s="27">
        <v>1701091</v>
      </c>
      <c r="F13" s="27">
        <v>9</v>
      </c>
    </row>
    <row r="14" spans="1:17">
      <c r="A14" s="26" t="s">
        <v>87</v>
      </c>
      <c r="B14" s="26" t="s">
        <v>88</v>
      </c>
      <c r="C14" s="26" t="s">
        <v>13</v>
      </c>
      <c r="D14" s="26" t="s">
        <v>76</v>
      </c>
      <c r="E14" s="27">
        <v>2638000</v>
      </c>
      <c r="F14" s="27">
        <v>17</v>
      </c>
    </row>
    <row r="15" spans="1:17">
      <c r="A15" s="26" t="s">
        <v>89</v>
      </c>
      <c r="B15" s="26" t="s">
        <v>90</v>
      </c>
      <c r="C15" s="26" t="s">
        <v>7</v>
      </c>
      <c r="D15" s="26" t="s">
        <v>70</v>
      </c>
      <c r="E15" s="27">
        <v>446636</v>
      </c>
      <c r="F15" s="27">
        <v>2</v>
      </c>
    </row>
    <row r="16" spans="1:17">
      <c r="A16" s="26" t="s">
        <v>91</v>
      </c>
      <c r="B16" s="26" t="s">
        <v>92</v>
      </c>
      <c r="C16" s="26" t="s">
        <v>13</v>
      </c>
      <c r="D16" s="26" t="s">
        <v>76</v>
      </c>
      <c r="E16" s="27">
        <v>2693455</v>
      </c>
      <c r="F16" s="27">
        <v>15</v>
      </c>
    </row>
    <row r="17" spans="1:6">
      <c r="A17" s="26" t="s">
        <v>93</v>
      </c>
      <c r="B17" s="26" t="s">
        <v>94</v>
      </c>
      <c r="C17" s="26" t="s">
        <v>7</v>
      </c>
      <c r="D17" s="26" t="s">
        <v>70</v>
      </c>
      <c r="E17" s="27">
        <v>979909</v>
      </c>
      <c r="F17" s="27">
        <v>6</v>
      </c>
    </row>
    <row r="18" spans="1:6">
      <c r="A18" s="26" t="s">
        <v>95</v>
      </c>
      <c r="B18" s="26" t="s">
        <v>96</v>
      </c>
      <c r="C18" s="26" t="s">
        <v>13</v>
      </c>
      <c r="D18" s="26" t="s">
        <v>76</v>
      </c>
      <c r="E18" s="27">
        <v>2360364</v>
      </c>
      <c r="F18" s="27">
        <v>15</v>
      </c>
    </row>
    <row r="19" spans="1:6">
      <c r="A19" s="26" t="s">
        <v>97</v>
      </c>
      <c r="B19" s="26" t="s">
        <v>98</v>
      </c>
      <c r="C19" s="26" t="s">
        <v>7</v>
      </c>
      <c r="D19" s="26" t="s">
        <v>70</v>
      </c>
      <c r="E19" s="27">
        <v>898909</v>
      </c>
      <c r="F19" s="27">
        <v>4</v>
      </c>
    </row>
    <row r="20" spans="1:6">
      <c r="A20" s="26" t="s">
        <v>99</v>
      </c>
      <c r="B20" s="26" t="s">
        <v>100</v>
      </c>
      <c r="C20" s="26" t="s">
        <v>3</v>
      </c>
      <c r="D20" s="26" t="s">
        <v>66</v>
      </c>
      <c r="E20" s="27">
        <v>302000</v>
      </c>
      <c r="F20" s="27">
        <v>2</v>
      </c>
    </row>
    <row r="21" spans="1:6">
      <c r="A21" s="26" t="s">
        <v>101</v>
      </c>
      <c r="B21" s="26" t="s">
        <v>102</v>
      </c>
      <c r="C21" s="26" t="s">
        <v>12</v>
      </c>
      <c r="D21" s="26" t="s">
        <v>75</v>
      </c>
      <c r="E21" s="27">
        <v>156636</v>
      </c>
      <c r="F21" s="27">
        <v>1</v>
      </c>
    </row>
    <row r="22" spans="1:6">
      <c r="A22" s="26" t="s">
        <v>103</v>
      </c>
      <c r="B22" s="26" t="s">
        <v>104</v>
      </c>
      <c r="C22" s="26" t="s">
        <v>2</v>
      </c>
      <c r="D22" s="26" t="s">
        <v>65</v>
      </c>
      <c r="E22" s="27">
        <v>120000</v>
      </c>
      <c r="F22" s="27">
        <v>1</v>
      </c>
    </row>
    <row r="23" spans="1:6">
      <c r="A23" s="26" t="s">
        <v>105</v>
      </c>
      <c r="B23" s="26" t="s">
        <v>106</v>
      </c>
      <c r="C23" s="26" t="s">
        <v>0</v>
      </c>
      <c r="D23" s="26" t="s">
        <v>63</v>
      </c>
      <c r="E23" s="27">
        <v>598000</v>
      </c>
      <c r="F23" s="27">
        <v>4</v>
      </c>
    </row>
    <row r="24" spans="1:6">
      <c r="A24" s="26" t="s">
        <v>107</v>
      </c>
      <c r="B24" s="26" t="s">
        <v>108</v>
      </c>
      <c r="C24" s="26" t="s">
        <v>11</v>
      </c>
      <c r="D24" s="26" t="s">
        <v>74</v>
      </c>
      <c r="E24" s="27">
        <v>1327545</v>
      </c>
      <c r="F24" s="27">
        <v>7</v>
      </c>
    </row>
    <row r="25" spans="1:6">
      <c r="A25" s="26" t="s">
        <v>109</v>
      </c>
      <c r="B25" s="26" t="s">
        <v>110</v>
      </c>
      <c r="C25" s="26" t="s">
        <v>7</v>
      </c>
      <c r="D25" s="26" t="s">
        <v>70</v>
      </c>
      <c r="E25" s="27">
        <v>516636</v>
      </c>
      <c r="F25" s="27">
        <v>4</v>
      </c>
    </row>
    <row r="26" spans="1:6">
      <c r="A26" s="26" t="s">
        <v>111</v>
      </c>
      <c r="B26" s="26" t="s">
        <v>112</v>
      </c>
      <c r="C26" s="26" t="s">
        <v>3</v>
      </c>
      <c r="D26" s="26" t="s">
        <v>66</v>
      </c>
      <c r="E26" s="27">
        <v>0</v>
      </c>
      <c r="F26" s="27">
        <v>0</v>
      </c>
    </row>
    <row r="27" spans="1:6">
      <c r="A27" s="26" t="s">
        <v>113</v>
      </c>
      <c r="B27" s="26" t="s">
        <v>114</v>
      </c>
      <c r="C27" s="26" t="s">
        <v>0</v>
      </c>
      <c r="D27" s="26" t="s">
        <v>63</v>
      </c>
      <c r="E27" s="27">
        <v>1338364</v>
      </c>
      <c r="F27" s="27">
        <v>4</v>
      </c>
    </row>
    <row r="28" spans="1:6">
      <c r="A28" s="26" t="s">
        <v>115</v>
      </c>
      <c r="B28" s="26" t="s">
        <v>116</v>
      </c>
      <c r="C28" s="26" t="s">
        <v>7</v>
      </c>
      <c r="D28" s="26" t="s">
        <v>70</v>
      </c>
      <c r="E28" s="27">
        <v>1471000</v>
      </c>
      <c r="F28" s="27">
        <v>9</v>
      </c>
    </row>
    <row r="29" spans="1:6">
      <c r="A29" s="26" t="s">
        <v>117</v>
      </c>
      <c r="B29" s="26" t="s">
        <v>118</v>
      </c>
      <c r="C29" s="26" t="s">
        <v>13</v>
      </c>
      <c r="D29" s="26" t="s">
        <v>76</v>
      </c>
      <c r="E29" s="27">
        <v>1380909</v>
      </c>
      <c r="F29" s="27">
        <v>7</v>
      </c>
    </row>
    <row r="30" spans="1:6">
      <c r="A30" s="26" t="s">
        <v>119</v>
      </c>
      <c r="B30" s="26" t="s">
        <v>120</v>
      </c>
      <c r="C30" s="26" t="s">
        <v>8</v>
      </c>
      <c r="D30" s="26" t="s">
        <v>71</v>
      </c>
      <c r="E30" s="27">
        <v>2746000</v>
      </c>
      <c r="F30" s="27">
        <v>14</v>
      </c>
    </row>
    <row r="31" spans="1:6">
      <c r="A31" s="26" t="s">
        <v>121</v>
      </c>
      <c r="B31" s="26" t="s">
        <v>122</v>
      </c>
      <c r="C31" s="26" t="s">
        <v>5</v>
      </c>
      <c r="D31" s="26" t="s">
        <v>68</v>
      </c>
      <c r="E31" s="27">
        <v>1387091</v>
      </c>
      <c r="F31" s="27">
        <v>7</v>
      </c>
    </row>
    <row r="32" spans="1:6">
      <c r="A32" s="26" t="s">
        <v>123</v>
      </c>
      <c r="B32" s="26" t="s">
        <v>124</v>
      </c>
      <c r="C32" s="26" t="s">
        <v>13</v>
      </c>
      <c r="D32" s="26" t="s">
        <v>76</v>
      </c>
      <c r="E32" s="27">
        <v>1207818</v>
      </c>
      <c r="F32" s="27">
        <v>6</v>
      </c>
    </row>
    <row r="33" spans="1:6">
      <c r="A33" s="26" t="s">
        <v>125</v>
      </c>
      <c r="B33" s="26" t="s">
        <v>126</v>
      </c>
      <c r="C33" s="26" t="s">
        <v>4</v>
      </c>
      <c r="D33" s="26" t="s">
        <v>67</v>
      </c>
      <c r="E33" s="27">
        <v>821091</v>
      </c>
      <c r="F33" s="27">
        <v>5</v>
      </c>
    </row>
    <row r="34" spans="1:6">
      <c r="A34" s="26" t="s">
        <v>127</v>
      </c>
      <c r="B34" s="26" t="s">
        <v>128</v>
      </c>
      <c r="C34" s="26" t="s">
        <v>1</v>
      </c>
      <c r="D34" s="26" t="s">
        <v>64</v>
      </c>
      <c r="E34" s="27">
        <v>563364</v>
      </c>
      <c r="F34" s="27">
        <v>3</v>
      </c>
    </row>
    <row r="35" spans="1:6">
      <c r="A35" s="26" t="s">
        <v>129</v>
      </c>
      <c r="B35" s="26" t="s">
        <v>130</v>
      </c>
      <c r="C35" s="26" t="s">
        <v>2</v>
      </c>
      <c r="D35" s="26" t="s">
        <v>65</v>
      </c>
      <c r="E35" s="27">
        <v>198364</v>
      </c>
      <c r="F35" s="27">
        <v>1</v>
      </c>
    </row>
    <row r="36" spans="1:6">
      <c r="A36" s="26" t="s">
        <v>131</v>
      </c>
      <c r="B36" s="26" t="s">
        <v>132</v>
      </c>
      <c r="C36" s="26" t="s">
        <v>9</v>
      </c>
      <c r="D36" s="26" t="s">
        <v>72</v>
      </c>
      <c r="E36" s="27">
        <v>1175000</v>
      </c>
      <c r="F36" s="27">
        <v>6</v>
      </c>
    </row>
    <row r="37" spans="1:6">
      <c r="A37" s="26" t="s">
        <v>133</v>
      </c>
      <c r="B37" s="26" t="s">
        <v>134</v>
      </c>
      <c r="C37" s="26" t="s">
        <v>6</v>
      </c>
      <c r="D37" s="26" t="s">
        <v>69</v>
      </c>
      <c r="E37" s="27">
        <v>1022182</v>
      </c>
      <c r="F37" s="27">
        <v>3</v>
      </c>
    </row>
    <row r="38" spans="1:6">
      <c r="A38" s="26" t="s">
        <v>135</v>
      </c>
      <c r="B38" s="26" t="s">
        <v>136</v>
      </c>
      <c r="C38" s="26" t="s">
        <v>5</v>
      </c>
      <c r="D38" s="26" t="s">
        <v>68</v>
      </c>
      <c r="E38" s="27">
        <v>1286727</v>
      </c>
      <c r="F38" s="27">
        <v>6</v>
      </c>
    </row>
    <row r="39" spans="1:6">
      <c r="A39" s="26" t="s">
        <v>137</v>
      </c>
      <c r="B39" s="26" t="s">
        <v>138</v>
      </c>
      <c r="C39" s="26" t="s">
        <v>6</v>
      </c>
      <c r="D39" s="26" t="s">
        <v>69</v>
      </c>
      <c r="E39" s="27">
        <v>745545</v>
      </c>
      <c r="F39" s="27">
        <v>3</v>
      </c>
    </row>
    <row r="40" spans="1:6">
      <c r="A40" s="26" t="s">
        <v>139</v>
      </c>
      <c r="B40" s="26" t="s">
        <v>140</v>
      </c>
      <c r="C40" s="26" t="s">
        <v>4</v>
      </c>
      <c r="D40" s="26" t="s">
        <v>67</v>
      </c>
      <c r="E40" s="27">
        <v>530000</v>
      </c>
      <c r="F40" s="27">
        <v>3</v>
      </c>
    </row>
    <row r="41" spans="1:6">
      <c r="A41" s="26" t="s">
        <v>141</v>
      </c>
      <c r="B41" s="26" t="s">
        <v>142</v>
      </c>
      <c r="C41" s="26" t="s">
        <v>6</v>
      </c>
      <c r="D41" s="26" t="s">
        <v>69</v>
      </c>
      <c r="E41" s="27">
        <v>313273</v>
      </c>
      <c r="F41" s="27">
        <v>2</v>
      </c>
    </row>
    <row r="42" spans="1:6">
      <c r="A42" s="26" t="s">
        <v>143</v>
      </c>
      <c r="B42" s="26" t="s">
        <v>144</v>
      </c>
      <c r="C42" s="26" t="s">
        <v>10</v>
      </c>
      <c r="D42" s="26" t="s">
        <v>73</v>
      </c>
      <c r="E42" s="27">
        <v>2235455</v>
      </c>
      <c r="F42" s="27">
        <v>11</v>
      </c>
    </row>
    <row r="43" spans="1:6">
      <c r="A43" s="26" t="s">
        <v>145</v>
      </c>
      <c r="B43" s="26" t="s">
        <v>146</v>
      </c>
      <c r="C43" s="26" t="s">
        <v>9</v>
      </c>
      <c r="D43" s="26" t="s">
        <v>72</v>
      </c>
      <c r="E43" s="27">
        <v>1293182</v>
      </c>
      <c r="F43" s="27">
        <v>6</v>
      </c>
    </row>
    <row r="44" spans="1:6">
      <c r="A44" s="26" t="s">
        <v>147</v>
      </c>
      <c r="B44" s="26" t="s">
        <v>148</v>
      </c>
      <c r="C44" s="26" t="s">
        <v>10</v>
      </c>
      <c r="D44" s="26" t="s">
        <v>73</v>
      </c>
      <c r="E44" s="27">
        <v>120000</v>
      </c>
      <c r="F44" s="27">
        <v>1</v>
      </c>
    </row>
    <row r="45" spans="1:6">
      <c r="A45" s="26" t="s">
        <v>149</v>
      </c>
      <c r="B45" s="26" t="s">
        <v>150</v>
      </c>
      <c r="C45" s="26" t="s">
        <v>4</v>
      </c>
      <c r="D45" s="26" t="s">
        <v>67</v>
      </c>
      <c r="E45" s="27">
        <v>396636</v>
      </c>
      <c r="F45" s="27">
        <v>3</v>
      </c>
    </row>
    <row r="46" spans="1:6">
      <c r="A46" s="26" t="s">
        <v>151</v>
      </c>
      <c r="B46" s="26" t="s">
        <v>152</v>
      </c>
      <c r="C46" s="26" t="s">
        <v>11</v>
      </c>
      <c r="D46" s="26" t="s">
        <v>74</v>
      </c>
      <c r="E46" s="27">
        <v>1257727</v>
      </c>
      <c r="F46" s="27">
        <v>5</v>
      </c>
    </row>
    <row r="47" spans="1:6">
      <c r="A47" s="26" t="s">
        <v>153</v>
      </c>
      <c r="B47" s="26" t="s">
        <v>154</v>
      </c>
      <c r="C47" s="26" t="s">
        <v>0</v>
      </c>
      <c r="D47" s="26" t="s">
        <v>63</v>
      </c>
      <c r="E47" s="27">
        <v>662818</v>
      </c>
      <c r="F47" s="27">
        <v>6</v>
      </c>
    </row>
    <row r="48" spans="1:6">
      <c r="A48" s="26" t="s">
        <v>155</v>
      </c>
      <c r="B48" s="26" t="s">
        <v>156</v>
      </c>
      <c r="C48" s="26" t="s">
        <v>6</v>
      </c>
      <c r="D48" s="26" t="s">
        <v>69</v>
      </c>
      <c r="E48" s="27">
        <v>271000</v>
      </c>
      <c r="F48" s="27">
        <v>2</v>
      </c>
    </row>
    <row r="49" spans="1:6">
      <c r="A49" s="26" t="s">
        <v>157</v>
      </c>
      <c r="B49" s="26" t="s">
        <v>158</v>
      </c>
      <c r="C49" s="26" t="s">
        <v>4</v>
      </c>
      <c r="D49" s="26" t="s">
        <v>67</v>
      </c>
      <c r="E49" s="27">
        <v>421636</v>
      </c>
      <c r="F49" s="27">
        <v>1</v>
      </c>
    </row>
    <row r="50" spans="1:6">
      <c r="A50" s="26" t="s">
        <v>159</v>
      </c>
      <c r="B50" s="26" t="s">
        <v>160</v>
      </c>
      <c r="C50" s="26" t="s">
        <v>9</v>
      </c>
      <c r="D50" s="26" t="s">
        <v>72</v>
      </c>
      <c r="E50" s="27">
        <v>1645909</v>
      </c>
      <c r="F50" s="27">
        <v>8</v>
      </c>
    </row>
    <row r="51" spans="1:6">
      <c r="A51" s="26" t="s">
        <v>161</v>
      </c>
      <c r="B51" s="26" t="s">
        <v>162</v>
      </c>
      <c r="C51" s="26" t="s">
        <v>5</v>
      </c>
      <c r="D51" s="26" t="s">
        <v>68</v>
      </c>
      <c r="E51" s="27">
        <v>1241091</v>
      </c>
      <c r="F51" s="27">
        <v>5</v>
      </c>
    </row>
    <row r="52" spans="1:6">
      <c r="A52" s="26" t="s">
        <v>163</v>
      </c>
      <c r="B52" s="26" t="s">
        <v>164</v>
      </c>
      <c r="C52" s="26" t="s">
        <v>1</v>
      </c>
      <c r="D52" s="26" t="s">
        <v>64</v>
      </c>
      <c r="E52" s="27">
        <v>1125636</v>
      </c>
      <c r="F52" s="27">
        <v>3</v>
      </c>
    </row>
    <row r="53" spans="1:6">
      <c r="A53" s="26" t="s">
        <v>165</v>
      </c>
      <c r="B53" s="26" t="s">
        <v>166</v>
      </c>
      <c r="C53" s="26" t="s">
        <v>1</v>
      </c>
      <c r="D53" s="26" t="s">
        <v>64</v>
      </c>
      <c r="E53" s="27">
        <v>707636</v>
      </c>
      <c r="F53" s="27">
        <v>4</v>
      </c>
    </row>
    <row r="54" spans="1:6">
      <c r="A54" s="26" t="s">
        <v>167</v>
      </c>
      <c r="B54" s="26" t="s">
        <v>168</v>
      </c>
      <c r="C54" s="26" t="s">
        <v>5</v>
      </c>
      <c r="D54" s="26" t="s">
        <v>68</v>
      </c>
      <c r="E54" s="27">
        <v>2360818</v>
      </c>
      <c r="F54" s="27">
        <v>11</v>
      </c>
    </row>
    <row r="55" spans="1:6">
      <c r="A55" s="26" t="s">
        <v>169</v>
      </c>
      <c r="B55" s="26" t="s">
        <v>170</v>
      </c>
      <c r="C55" s="26" t="s">
        <v>10</v>
      </c>
      <c r="D55" s="26" t="s">
        <v>73</v>
      </c>
      <c r="E55" s="27">
        <v>516636</v>
      </c>
      <c r="F55" s="27">
        <v>2</v>
      </c>
    </row>
    <row r="56" spans="1:6">
      <c r="A56" s="26" t="s">
        <v>171</v>
      </c>
      <c r="B56" s="26" t="s">
        <v>172</v>
      </c>
      <c r="C56" s="26" t="s">
        <v>2</v>
      </c>
      <c r="D56" s="26" t="s">
        <v>65</v>
      </c>
      <c r="E56" s="27">
        <v>935545</v>
      </c>
      <c r="F56" s="27">
        <v>6</v>
      </c>
    </row>
    <row r="57" spans="1:6">
      <c r="A57" s="26" t="s">
        <v>173</v>
      </c>
      <c r="B57" s="26" t="s">
        <v>174</v>
      </c>
      <c r="C57" s="26" t="s">
        <v>0</v>
      </c>
      <c r="D57" s="26" t="s">
        <v>63</v>
      </c>
      <c r="E57" s="27">
        <v>703545</v>
      </c>
      <c r="F57" s="27">
        <v>6</v>
      </c>
    </row>
    <row r="58" spans="1:6">
      <c r="A58" s="26" t="s">
        <v>175</v>
      </c>
      <c r="B58" s="26" t="s">
        <v>176</v>
      </c>
      <c r="C58" s="26" t="s">
        <v>0</v>
      </c>
      <c r="D58" s="26" t="s">
        <v>63</v>
      </c>
      <c r="E58" s="27">
        <v>1701091</v>
      </c>
      <c r="F58" s="27">
        <v>6</v>
      </c>
    </row>
    <row r="59" spans="1:6">
      <c r="A59" s="26" t="s">
        <v>179</v>
      </c>
      <c r="B59" s="26" t="s">
        <v>180</v>
      </c>
      <c r="C59" s="26" t="s">
        <v>8</v>
      </c>
      <c r="D59" s="26" t="s">
        <v>71</v>
      </c>
      <c r="E59" s="27">
        <v>2534364</v>
      </c>
      <c r="F59" s="27">
        <v>9</v>
      </c>
    </row>
    <row r="60" spans="1:6">
      <c r="A60" s="26" t="s">
        <v>181</v>
      </c>
      <c r="B60" s="26" t="s">
        <v>182</v>
      </c>
      <c r="C60" s="26" t="s">
        <v>8</v>
      </c>
      <c r="D60" s="26" t="s">
        <v>71</v>
      </c>
      <c r="E60" s="27">
        <v>1530545</v>
      </c>
      <c r="F60" s="27">
        <v>6</v>
      </c>
    </row>
    <row r="61" spans="1:6">
      <c r="A61" s="26" t="s">
        <v>183</v>
      </c>
      <c r="B61" s="26" t="s">
        <v>184</v>
      </c>
      <c r="C61" s="26" t="s">
        <v>11</v>
      </c>
      <c r="D61" s="26" t="s">
        <v>74</v>
      </c>
      <c r="E61" s="27">
        <v>588818</v>
      </c>
      <c r="F61" s="27">
        <v>5</v>
      </c>
    </row>
    <row r="62" spans="1:6">
      <c r="A62" s="26" t="s">
        <v>185</v>
      </c>
      <c r="B62" s="26" t="s">
        <v>186</v>
      </c>
      <c r="C62" s="26" t="s">
        <v>9</v>
      </c>
      <c r="D62" s="26" t="s">
        <v>72</v>
      </c>
      <c r="E62" s="27">
        <v>535455</v>
      </c>
      <c r="F62" s="27">
        <v>4</v>
      </c>
    </row>
    <row r="63" spans="1:6">
      <c r="A63" s="26" t="s">
        <v>187</v>
      </c>
      <c r="B63" s="26" t="s">
        <v>188</v>
      </c>
      <c r="C63" s="26" t="s">
        <v>1</v>
      </c>
      <c r="D63" s="26" t="s">
        <v>64</v>
      </c>
      <c r="E63" s="27">
        <v>360000</v>
      </c>
      <c r="F63" s="27">
        <v>3</v>
      </c>
    </row>
    <row r="64" spans="1:6">
      <c r="A64" s="26" t="s">
        <v>189</v>
      </c>
      <c r="B64" s="26" t="s">
        <v>190</v>
      </c>
      <c r="C64" s="26" t="s">
        <v>3</v>
      </c>
      <c r="D64" s="26" t="s">
        <v>66</v>
      </c>
      <c r="E64" s="27">
        <v>290000</v>
      </c>
      <c r="F64" s="27">
        <v>1</v>
      </c>
    </row>
    <row r="65" spans="1:6">
      <c r="A65" s="26" t="s">
        <v>191</v>
      </c>
      <c r="B65" s="26" t="s">
        <v>192</v>
      </c>
      <c r="C65" s="26" t="s">
        <v>11</v>
      </c>
      <c r="D65" s="26" t="s">
        <v>74</v>
      </c>
      <c r="E65" s="27">
        <v>156636</v>
      </c>
      <c r="F65" s="27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ECK_TYPE_CPUStock">
                <anchor moveWithCells="1" sizeWithCells="1">
                  <from>
                    <xdr:col>3</xdr:col>
                    <xdr:colOff>368300</xdr:colOff>
                    <xdr:row>3</xdr:row>
                    <xdr:rowOff>25400</xdr:rowOff>
                  </from>
                  <to>
                    <xdr:col>5</xdr:col>
                    <xdr:colOff>241300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">
                <anchor moveWithCells="1" sizeWithCells="1">
                  <from>
                    <xdr:col>6</xdr:col>
                    <xdr:colOff>12700</xdr:colOff>
                    <xdr:row>3</xdr:row>
                    <xdr:rowOff>12700</xdr:rowOff>
                  </from>
                  <to>
                    <xdr:col>7</xdr:col>
                    <xdr:colOff>609600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Q99"/>
  <sheetViews>
    <sheetView workbookViewId="0">
      <selection activeCell="A9" sqref="A9:XFD9"/>
    </sheetView>
  </sheetViews>
  <sheetFormatPr baseColWidth="10" defaultColWidth="11" defaultRowHeight="15"/>
  <cols>
    <col min="3" max="3" width="15.5" bestFit="1" customWidth="1"/>
    <col min="4" max="4" width="14.33203125" bestFit="1" customWidth="1"/>
    <col min="5" max="5" width="13" customWidth="1"/>
    <col min="6" max="7" width="11" bestFit="1" customWidth="1"/>
    <col min="8" max="11" width="11" style="17"/>
    <col min="12" max="12" width="11.33203125" bestFit="1" customWidth="1"/>
    <col min="13" max="16" width="11" bestFit="1" customWidth="1"/>
  </cols>
  <sheetData>
    <row r="1" spans="1:17">
      <c r="A1" t="s">
        <v>16</v>
      </c>
      <c r="B1" t="s">
        <v>17</v>
      </c>
      <c r="C1" t="s">
        <v>19</v>
      </c>
      <c r="D1" t="s">
        <v>33</v>
      </c>
      <c r="E1" t="s">
        <v>34</v>
      </c>
      <c r="F1" t="s">
        <v>35</v>
      </c>
      <c r="G1" t="s">
        <v>36</v>
      </c>
      <c r="H1" s="16" t="s">
        <v>20</v>
      </c>
      <c r="I1" s="16" t="s">
        <v>48</v>
      </c>
      <c r="J1" s="16" t="s">
        <v>49</v>
      </c>
      <c r="K1" s="16" t="s">
        <v>50</v>
      </c>
    </row>
    <row r="2" spans="1:17" ht="16">
      <c r="A2" s="15" t="s">
        <v>0</v>
      </c>
      <c r="B2" s="11" t="s">
        <v>63</v>
      </c>
      <c r="C2" s="12">
        <v>72986149.512171745</v>
      </c>
      <c r="D2" s="13">
        <v>6.7160116498153982E-2</v>
      </c>
      <c r="E2" s="14">
        <v>8</v>
      </c>
      <c r="F2" s="14">
        <v>8</v>
      </c>
      <c r="G2" s="13">
        <v>45</v>
      </c>
      <c r="H2">
        <v>0.83297983804257525</v>
      </c>
      <c r="I2">
        <v>1.2175660421756072</v>
      </c>
      <c r="J2">
        <v>1</v>
      </c>
      <c r="K2">
        <v>0.57777777777777772</v>
      </c>
      <c r="L2" s="15"/>
      <c r="M2" s="13"/>
      <c r="N2" s="12"/>
      <c r="O2" s="13"/>
      <c r="P2" s="13"/>
      <c r="Q2" s="13"/>
    </row>
    <row r="3" spans="1:17" ht="16">
      <c r="A3" s="15" t="s">
        <v>1</v>
      </c>
      <c r="B3" s="11" t="s">
        <v>64</v>
      </c>
      <c r="C3" s="12">
        <v>38297651.209154978</v>
      </c>
      <c r="D3" s="13">
        <v>6.7160116498153996E-2</v>
      </c>
      <c r="E3" s="14">
        <v>7</v>
      </c>
      <c r="F3" s="14">
        <v>4</v>
      </c>
      <c r="G3" s="13">
        <v>25</v>
      </c>
      <c r="H3">
        <v>0.8872716975362982</v>
      </c>
      <c r="I3">
        <v>0.86369759742180185</v>
      </c>
      <c r="J3">
        <v>0.5714285714285714</v>
      </c>
      <c r="K3">
        <v>0.52</v>
      </c>
      <c r="L3" s="15"/>
      <c r="M3" s="13"/>
      <c r="N3" s="12"/>
      <c r="O3" s="13"/>
      <c r="P3" s="13"/>
      <c r="Q3" s="13"/>
    </row>
    <row r="4" spans="1:17" ht="16">
      <c r="A4" s="15" t="s">
        <v>2</v>
      </c>
      <c r="B4" s="11" t="s">
        <v>65</v>
      </c>
      <c r="C4" s="12">
        <v>21643788.410051506</v>
      </c>
      <c r="D4" s="13">
        <v>6.7160116498153982E-2</v>
      </c>
      <c r="E4" s="14">
        <v>7</v>
      </c>
      <c r="F4" s="14">
        <v>4</v>
      </c>
      <c r="G4" s="13">
        <v>9</v>
      </c>
      <c r="H4">
        <v>0.9066751914321316</v>
      </c>
      <c r="I4">
        <v>0.59098396835374933</v>
      </c>
      <c r="J4">
        <v>0.5714285714285714</v>
      </c>
      <c r="K4">
        <v>0.88888888888888884</v>
      </c>
      <c r="L4" s="15"/>
      <c r="M4" s="13"/>
      <c r="N4" s="12"/>
      <c r="O4" s="13"/>
      <c r="P4" s="13"/>
      <c r="Q4" s="13"/>
    </row>
    <row r="5" spans="1:17" ht="16">
      <c r="A5" s="15" t="s">
        <v>3</v>
      </c>
      <c r="B5" s="11" t="s">
        <v>66</v>
      </c>
      <c r="C5" s="12">
        <v>16320468.22410278</v>
      </c>
      <c r="D5" s="13">
        <v>6.7160116498153982E-2</v>
      </c>
      <c r="E5" s="14">
        <v>6</v>
      </c>
      <c r="F5" s="14">
        <v>0</v>
      </c>
      <c r="G5" s="13">
        <v>10</v>
      </c>
      <c r="H5">
        <v>0.85057718990553988</v>
      </c>
      <c r="I5">
        <v>0.92478402298843354</v>
      </c>
      <c r="J5">
        <v>0</v>
      </c>
      <c r="K5">
        <v>0.3</v>
      </c>
      <c r="L5" s="15"/>
      <c r="M5" s="13"/>
      <c r="N5" s="12"/>
      <c r="O5" s="13"/>
      <c r="P5" s="13"/>
      <c r="Q5" s="13"/>
    </row>
    <row r="6" spans="1:17" ht="16">
      <c r="A6" s="15" t="s">
        <v>4</v>
      </c>
      <c r="B6" s="11" t="s">
        <v>67</v>
      </c>
      <c r="C6" s="12">
        <v>33864471.888990559</v>
      </c>
      <c r="D6" s="13">
        <v>6.7160116498153996E-2</v>
      </c>
      <c r="E6" s="14">
        <v>7</v>
      </c>
      <c r="F6" s="14">
        <v>5</v>
      </c>
      <c r="G6" s="13">
        <v>24</v>
      </c>
      <c r="H6">
        <v>0.78253158906090114</v>
      </c>
      <c r="I6">
        <v>1.059063837414508</v>
      </c>
      <c r="J6">
        <v>0.7142857142857143</v>
      </c>
      <c r="K6">
        <v>0.5</v>
      </c>
      <c r="L6" s="15"/>
      <c r="M6" s="13"/>
      <c r="N6" s="12"/>
      <c r="O6" s="13"/>
      <c r="P6" s="13"/>
      <c r="Q6" s="13"/>
    </row>
    <row r="7" spans="1:17" ht="16">
      <c r="A7" s="15" t="s">
        <v>5</v>
      </c>
      <c r="B7" s="11" t="s">
        <v>68</v>
      </c>
      <c r="C7" s="12">
        <v>55795426.154436417</v>
      </c>
      <c r="D7" s="13">
        <v>6.6978560215830485E-2</v>
      </c>
      <c r="E7" s="14">
        <v>12</v>
      </c>
      <c r="F7" s="14">
        <v>14</v>
      </c>
      <c r="G7" s="13">
        <v>33</v>
      </c>
      <c r="H7">
        <v>1.0904992970496756</v>
      </c>
      <c r="I7">
        <v>0.85616251036890245</v>
      </c>
      <c r="J7">
        <v>1.1666666666666667</v>
      </c>
      <c r="K7">
        <v>0.90909090909090906</v>
      </c>
      <c r="L7" s="15"/>
      <c r="M7" s="13"/>
      <c r="N7" s="12"/>
      <c r="O7" s="13"/>
      <c r="P7" s="13"/>
      <c r="Q7" s="13"/>
    </row>
    <row r="8" spans="1:17" ht="16">
      <c r="A8" s="15" t="s">
        <v>6</v>
      </c>
      <c r="B8" s="11" t="s">
        <v>69</v>
      </c>
      <c r="C8" s="12">
        <v>30353518.130827777</v>
      </c>
      <c r="D8" s="13">
        <v>6.7160116498153982E-2</v>
      </c>
      <c r="E8" s="14">
        <v>7</v>
      </c>
      <c r="F8" s="14">
        <v>4</v>
      </c>
      <c r="G8" s="13">
        <v>19</v>
      </c>
      <c r="H8">
        <v>1.0017735956978755</v>
      </c>
      <c r="I8">
        <v>0.92603804448352367</v>
      </c>
      <c r="J8">
        <v>0.5714285714285714</v>
      </c>
      <c r="K8">
        <v>0.52631578947368418</v>
      </c>
      <c r="L8" s="15"/>
      <c r="M8" s="13"/>
      <c r="N8" s="12"/>
      <c r="O8" s="13"/>
      <c r="P8" s="13"/>
      <c r="Q8" s="13"/>
    </row>
    <row r="9" spans="1:17" ht="16">
      <c r="A9" s="15" t="s">
        <v>7</v>
      </c>
      <c r="B9" s="11" t="s">
        <v>70</v>
      </c>
      <c r="C9" s="12">
        <v>57744678.241610035</v>
      </c>
      <c r="D9" s="13">
        <v>6.7160116498153996E-2</v>
      </c>
      <c r="E9" s="14">
        <v>10</v>
      </c>
      <c r="F9" s="14">
        <v>8</v>
      </c>
      <c r="G9" s="13">
        <v>31</v>
      </c>
      <c r="H9">
        <v>1.01132588800051</v>
      </c>
      <c r="I9">
        <v>0.81101657811058137</v>
      </c>
      <c r="J9">
        <v>0.8</v>
      </c>
      <c r="K9">
        <v>0.80645161290322576</v>
      </c>
      <c r="L9" s="15"/>
      <c r="M9" s="13"/>
      <c r="N9" s="12"/>
      <c r="O9" s="13"/>
      <c r="P9" s="13"/>
      <c r="Q9" s="13"/>
    </row>
    <row r="10" spans="1:17" ht="16">
      <c r="A10" s="15" t="s">
        <v>8</v>
      </c>
      <c r="B10" s="11" t="s">
        <v>71</v>
      </c>
      <c r="C10" s="12">
        <v>26052395.170570899</v>
      </c>
      <c r="D10" s="13">
        <v>6.7160116498153996E-2</v>
      </c>
      <c r="E10" s="14">
        <v>7</v>
      </c>
      <c r="F10" s="14">
        <v>2</v>
      </c>
      <c r="G10" s="13">
        <v>12</v>
      </c>
      <c r="H10">
        <v>1.1197535508348706</v>
      </c>
      <c r="I10">
        <v>0.78506018286306867</v>
      </c>
      <c r="J10">
        <v>0.2857142857142857</v>
      </c>
      <c r="K10">
        <v>2.4166666666666665</v>
      </c>
      <c r="L10" s="15"/>
      <c r="M10" s="13"/>
      <c r="N10" s="12"/>
      <c r="O10" s="13"/>
      <c r="P10" s="13"/>
      <c r="Q10" s="13"/>
    </row>
    <row r="11" spans="1:17" ht="16">
      <c r="A11" s="15" t="s">
        <v>9</v>
      </c>
      <c r="B11" s="11" t="s">
        <v>72</v>
      </c>
      <c r="C11" s="12">
        <v>56982086.869893089</v>
      </c>
      <c r="D11" s="13">
        <v>6.7160116498153982E-2</v>
      </c>
      <c r="E11" s="14">
        <v>10</v>
      </c>
      <c r="F11" s="14">
        <v>11</v>
      </c>
      <c r="G11" s="13">
        <v>34</v>
      </c>
      <c r="H11">
        <v>0.93348146622731443</v>
      </c>
      <c r="I11">
        <v>1.2294326261300423</v>
      </c>
      <c r="J11">
        <v>1.1000000000000001</v>
      </c>
      <c r="K11">
        <v>0.70588235294117652</v>
      </c>
      <c r="L11" s="15"/>
      <c r="M11" s="13"/>
      <c r="N11" s="12"/>
      <c r="O11" s="13"/>
      <c r="P11" s="13"/>
      <c r="Q11" s="13"/>
    </row>
    <row r="12" spans="1:17" ht="16">
      <c r="A12" s="15" t="s">
        <v>10</v>
      </c>
      <c r="B12" s="11" t="s">
        <v>73</v>
      </c>
      <c r="C12" s="12">
        <v>22490620.400274407</v>
      </c>
      <c r="D12" s="13">
        <v>6.7160116498153982E-2</v>
      </c>
      <c r="E12" s="14">
        <v>7</v>
      </c>
      <c r="F12" s="14">
        <v>2</v>
      </c>
      <c r="G12" s="13">
        <v>13</v>
      </c>
      <c r="H12">
        <v>1.0547499614421738</v>
      </c>
      <c r="I12">
        <v>0.84087482590462992</v>
      </c>
      <c r="J12">
        <v>0.2857142857142857</v>
      </c>
      <c r="K12">
        <v>1.0769230769230769</v>
      </c>
      <c r="L12" s="15"/>
      <c r="M12" s="13"/>
      <c r="N12" s="12"/>
      <c r="O12" s="13"/>
      <c r="P12" s="13"/>
      <c r="Q12" s="13"/>
    </row>
    <row r="13" spans="1:17" ht="16">
      <c r="A13" s="15" t="s">
        <v>11</v>
      </c>
      <c r="B13" s="11" t="s">
        <v>74</v>
      </c>
      <c r="C13" s="12">
        <v>25549302.1310887</v>
      </c>
      <c r="D13" s="13">
        <v>6.7160116498153982E-2</v>
      </c>
      <c r="E13" s="14">
        <v>7</v>
      </c>
      <c r="F13" s="14">
        <v>6</v>
      </c>
      <c r="G13" s="13">
        <v>15</v>
      </c>
      <c r="H13">
        <v>1.1697310105247292</v>
      </c>
      <c r="I13">
        <v>0.80402708699665915</v>
      </c>
      <c r="J13">
        <v>0.8571428571428571</v>
      </c>
      <c r="K13">
        <v>1.2</v>
      </c>
      <c r="L13" s="15"/>
      <c r="M13" s="13"/>
      <c r="N13" s="12"/>
      <c r="O13" s="13"/>
      <c r="P13" s="13"/>
      <c r="Q13" s="13"/>
    </row>
    <row r="14" spans="1:17" ht="16">
      <c r="A14" s="15" t="s">
        <v>12</v>
      </c>
      <c r="B14" s="11" t="s">
        <v>75</v>
      </c>
      <c r="C14" s="12">
        <v>15898858.846055923</v>
      </c>
      <c r="D14" s="13">
        <v>6.7160116498153982E-2</v>
      </c>
      <c r="E14" s="14">
        <v>6</v>
      </c>
      <c r="F14" s="14">
        <v>0</v>
      </c>
      <c r="G14" s="13">
        <v>11</v>
      </c>
      <c r="H14">
        <v>0.96890935061175498</v>
      </c>
      <c r="I14">
        <v>0.7476877362444454</v>
      </c>
      <c r="J14">
        <v>0</v>
      </c>
      <c r="K14">
        <v>0.36363636363636365</v>
      </c>
      <c r="L14" s="15"/>
      <c r="M14" s="13"/>
      <c r="N14" s="12"/>
      <c r="O14" s="13"/>
      <c r="P14" s="13"/>
      <c r="Q14" s="13"/>
    </row>
    <row r="15" spans="1:17" ht="16">
      <c r="A15" s="15" t="s">
        <v>13</v>
      </c>
      <c r="B15" s="11" t="s">
        <v>76</v>
      </c>
      <c r="C15" s="12">
        <v>87301962.528556302</v>
      </c>
      <c r="D15" s="13">
        <v>6.7214715973378886E-2</v>
      </c>
      <c r="E15" s="14">
        <v>12</v>
      </c>
      <c r="F15" s="14">
        <v>15</v>
      </c>
      <c r="G15" s="13">
        <v>49</v>
      </c>
      <c r="H15">
        <v>1.1197977819573381</v>
      </c>
      <c r="I15">
        <v>0.95937474988088511</v>
      </c>
      <c r="J15">
        <v>1.25</v>
      </c>
      <c r="K15">
        <v>1.4081632653061225</v>
      </c>
      <c r="L15" s="15"/>
      <c r="M15" s="13"/>
      <c r="N15" s="12"/>
      <c r="O15" s="13"/>
      <c r="P15" s="13"/>
      <c r="Q15" s="13"/>
    </row>
    <row r="16" spans="1:17" ht="16">
      <c r="A16" s="15"/>
      <c r="B16" s="11"/>
      <c r="C16" s="12"/>
      <c r="D16" s="13"/>
      <c r="E16" s="14"/>
      <c r="F16" s="12"/>
      <c r="G16" s="13"/>
      <c r="H16"/>
      <c r="I16"/>
      <c r="J16"/>
      <c r="K16"/>
      <c r="L16" s="15"/>
      <c r="M16" s="13"/>
      <c r="N16" s="12"/>
      <c r="O16" s="13"/>
      <c r="P16" s="13"/>
      <c r="Q16" s="13"/>
    </row>
    <row r="17" spans="1:17" ht="16">
      <c r="A17" s="13"/>
      <c r="B17" s="13"/>
      <c r="C17" s="13"/>
      <c r="D17" s="13"/>
      <c r="E17" s="13"/>
      <c r="F17" s="13"/>
      <c r="G17" s="13"/>
      <c r="H17"/>
      <c r="I17"/>
      <c r="J17"/>
      <c r="K17"/>
      <c r="L17" s="15"/>
      <c r="M17" s="13"/>
      <c r="N17" s="12"/>
      <c r="O17" s="13"/>
      <c r="P17" s="13"/>
      <c r="Q17" s="13"/>
    </row>
    <row r="18" spans="1:17" ht="16">
      <c r="A18" s="13"/>
      <c r="B18" s="13"/>
      <c r="C18" s="13"/>
      <c r="D18" s="13"/>
      <c r="E18" s="13"/>
      <c r="F18" s="13"/>
      <c r="G18" s="13"/>
      <c r="H18"/>
      <c r="I18"/>
      <c r="J18"/>
      <c r="K18"/>
      <c r="L18" s="15"/>
      <c r="M18" s="13"/>
      <c r="N18" s="12"/>
      <c r="O18" s="13"/>
      <c r="P18" s="13"/>
      <c r="Q18" s="13"/>
    </row>
    <row r="19" spans="1:17" ht="16">
      <c r="A19" s="13"/>
      <c r="B19" s="17"/>
      <c r="C19" s="18"/>
      <c r="D19" s="19"/>
      <c r="E19" s="19"/>
      <c r="F19" s="13"/>
      <c r="G19" s="13"/>
      <c r="H19"/>
      <c r="I19"/>
      <c r="J19"/>
      <c r="K19"/>
      <c r="L19" s="15"/>
      <c r="M19" s="13"/>
      <c r="N19" s="12"/>
      <c r="O19" s="13"/>
      <c r="P19" s="13"/>
      <c r="Q19" s="13"/>
    </row>
    <row r="20" spans="1:17" ht="16">
      <c r="A20" s="13"/>
      <c r="B20" s="17"/>
      <c r="C20" s="18"/>
      <c r="D20" s="19"/>
      <c r="E20" s="19"/>
      <c r="F20" s="13"/>
      <c r="G20" s="13"/>
      <c r="H20"/>
      <c r="I20"/>
      <c r="J20"/>
      <c r="K20"/>
      <c r="L20" s="15"/>
      <c r="M20" s="13"/>
      <c r="N20" s="12"/>
      <c r="O20" s="13"/>
      <c r="P20" s="13"/>
      <c r="Q20" s="13"/>
    </row>
    <row r="21" spans="1:17" ht="16">
      <c r="A21" s="13"/>
      <c r="B21" s="17"/>
      <c r="C21" s="18"/>
      <c r="D21" s="19"/>
      <c r="E21" s="19"/>
      <c r="F21" s="13"/>
      <c r="G21" s="13"/>
      <c r="H21"/>
      <c r="I21"/>
      <c r="J21"/>
      <c r="K21"/>
      <c r="L21" s="15"/>
      <c r="M21" s="13"/>
      <c r="N21" s="12"/>
      <c r="O21" s="13"/>
      <c r="P21" s="13"/>
      <c r="Q21" s="13"/>
    </row>
    <row r="22" spans="1:17" ht="16">
      <c r="A22" s="13"/>
      <c r="B22" s="17"/>
      <c r="G22" s="13"/>
      <c r="H22"/>
      <c r="I22"/>
      <c r="J22"/>
      <c r="K22"/>
      <c r="L22" s="15"/>
      <c r="M22" s="13"/>
      <c r="N22" s="12"/>
      <c r="O22" s="13"/>
      <c r="P22" s="13"/>
      <c r="Q22" s="13"/>
    </row>
    <row r="23" spans="1:17" ht="16">
      <c r="A23" s="13"/>
      <c r="B23" s="17"/>
      <c r="G23" s="13"/>
      <c r="H23"/>
      <c r="I23"/>
      <c r="J23"/>
      <c r="K23"/>
      <c r="L23" s="15"/>
      <c r="M23" s="13"/>
      <c r="N23" s="12"/>
      <c r="O23" s="13"/>
      <c r="P23" s="13"/>
      <c r="Q23" s="13"/>
    </row>
    <row r="24" spans="1:17" ht="16">
      <c r="A24" s="13"/>
      <c r="B24" s="17"/>
      <c r="G24" s="13"/>
      <c r="H24"/>
      <c r="I24"/>
      <c r="J24"/>
      <c r="K24"/>
      <c r="L24" s="15"/>
      <c r="M24" s="13"/>
      <c r="N24" s="12"/>
      <c r="O24" s="13"/>
      <c r="P24" s="13"/>
      <c r="Q24" s="13"/>
    </row>
    <row r="25" spans="1:17" ht="16">
      <c r="A25" s="13"/>
      <c r="B25" s="17"/>
      <c r="G25" s="13"/>
      <c r="H25"/>
      <c r="I25"/>
      <c r="J25"/>
      <c r="K25"/>
      <c r="L25" s="15"/>
      <c r="M25" s="13"/>
      <c r="N25" s="12"/>
      <c r="O25" s="13"/>
      <c r="P25" s="13"/>
      <c r="Q25" s="13"/>
    </row>
    <row r="26" spans="1:17" ht="16">
      <c r="A26" s="13"/>
      <c r="B26" s="17"/>
      <c r="G26" s="13"/>
      <c r="H26"/>
      <c r="I26"/>
      <c r="J26"/>
      <c r="K26"/>
      <c r="L26" s="15"/>
      <c r="M26" s="13"/>
      <c r="N26" s="12"/>
      <c r="O26" s="13"/>
      <c r="P26" s="13"/>
      <c r="Q26" s="13"/>
    </row>
    <row r="27" spans="1:17" ht="16">
      <c r="A27" s="13"/>
      <c r="B27" s="17"/>
      <c r="G27" s="13"/>
      <c r="H27"/>
      <c r="I27"/>
      <c r="J27"/>
      <c r="K27"/>
      <c r="L27" s="15"/>
      <c r="M27" s="13"/>
      <c r="N27" s="12"/>
      <c r="O27" s="13"/>
      <c r="P27" s="13"/>
      <c r="Q27" s="13"/>
    </row>
    <row r="28" spans="1:17" ht="16">
      <c r="A28" s="13"/>
      <c r="B28" s="17"/>
      <c r="G28" s="13"/>
      <c r="H28"/>
      <c r="I28"/>
      <c r="J28"/>
      <c r="K28"/>
      <c r="L28" s="15"/>
      <c r="M28" s="13"/>
      <c r="N28" s="12"/>
      <c r="O28" s="13"/>
      <c r="P28" s="13"/>
      <c r="Q28" s="13"/>
    </row>
    <row r="29" spans="1:17" ht="16">
      <c r="A29" s="13"/>
      <c r="B29" s="17"/>
      <c r="G29" s="13"/>
      <c r="H29"/>
      <c r="I29"/>
      <c r="J29"/>
      <c r="K29"/>
      <c r="L29" s="15"/>
      <c r="M29" s="13"/>
      <c r="N29" s="12"/>
      <c r="O29" s="13"/>
      <c r="P29" s="13"/>
      <c r="Q29" s="13"/>
    </row>
    <row r="30" spans="1:17" ht="16">
      <c r="A30" s="13"/>
      <c r="B30" s="17"/>
      <c r="G30" s="13"/>
      <c r="H30"/>
      <c r="I30"/>
      <c r="J30"/>
      <c r="K30"/>
      <c r="L30" s="15"/>
      <c r="M30" s="13"/>
      <c r="N30" s="12"/>
      <c r="O30" s="13"/>
      <c r="P30" s="13"/>
      <c r="Q30" s="13"/>
    </row>
    <row r="31" spans="1:17" ht="16">
      <c r="A31" s="13"/>
      <c r="B31" s="17"/>
      <c r="G31" s="13"/>
      <c r="H31"/>
      <c r="I31"/>
      <c r="J31"/>
      <c r="K31"/>
      <c r="L31" s="15"/>
      <c r="M31" s="13"/>
      <c r="N31" s="12"/>
      <c r="O31" s="13"/>
      <c r="P31" s="13"/>
      <c r="Q31" s="13"/>
    </row>
    <row r="32" spans="1:17" ht="16">
      <c r="A32" s="13"/>
      <c r="B32" s="17"/>
      <c r="G32" s="13"/>
      <c r="H32"/>
      <c r="I32"/>
      <c r="J32"/>
      <c r="K32"/>
      <c r="L32" s="15"/>
      <c r="M32" s="13"/>
      <c r="N32" s="12"/>
      <c r="O32" s="13"/>
      <c r="P32" s="13"/>
      <c r="Q32" s="13"/>
    </row>
    <row r="33" spans="1:17" ht="16">
      <c r="A33" s="13"/>
      <c r="B33" s="13"/>
      <c r="G33" s="13"/>
      <c r="H33"/>
      <c r="I33"/>
      <c r="J33"/>
      <c r="K33"/>
      <c r="L33" s="15"/>
      <c r="M33" s="13"/>
      <c r="N33" s="12"/>
      <c r="O33" s="13"/>
      <c r="P33" s="13"/>
      <c r="Q33" s="13"/>
    </row>
    <row r="34" spans="1:17" ht="16">
      <c r="A34" s="13"/>
      <c r="B34" s="13"/>
      <c r="G34" s="13"/>
      <c r="H34"/>
      <c r="I34"/>
      <c r="J34"/>
      <c r="K34"/>
      <c r="L34" s="15"/>
      <c r="M34" s="13"/>
      <c r="N34" s="12"/>
      <c r="O34" s="13"/>
      <c r="P34" s="13"/>
      <c r="Q34" s="13"/>
    </row>
    <row r="35" spans="1:17" ht="16">
      <c r="A35" s="13"/>
      <c r="B35" s="13"/>
      <c r="G35" s="13"/>
      <c r="H35"/>
      <c r="I35"/>
      <c r="J35"/>
      <c r="K35"/>
      <c r="L35" s="15"/>
      <c r="M35" s="13"/>
      <c r="N35" s="12"/>
      <c r="O35" s="13"/>
      <c r="P35" s="13"/>
      <c r="Q35" s="13"/>
    </row>
    <row r="36" spans="1:17" ht="16">
      <c r="A36" s="13"/>
      <c r="B36" s="13"/>
      <c r="C36" s="13"/>
      <c r="D36" s="13"/>
      <c r="E36" s="13"/>
      <c r="F36" s="13"/>
      <c r="G36" s="13"/>
      <c r="H36"/>
      <c r="I36"/>
      <c r="J36"/>
      <c r="K36"/>
      <c r="L36" s="15"/>
      <c r="M36" s="13"/>
      <c r="N36" s="12"/>
      <c r="O36" s="13"/>
      <c r="P36" s="13"/>
      <c r="Q36" s="13"/>
    </row>
    <row r="37" spans="1:17" ht="16">
      <c r="A37" s="13"/>
      <c r="B37" s="13"/>
      <c r="C37" s="13"/>
      <c r="D37" s="13"/>
      <c r="E37" s="13"/>
      <c r="F37" s="13"/>
      <c r="G37" s="13"/>
      <c r="H37"/>
      <c r="I37"/>
      <c r="J37"/>
      <c r="K37"/>
      <c r="L37" s="15"/>
      <c r="M37" s="13"/>
      <c r="N37" s="12"/>
      <c r="O37" s="13"/>
      <c r="P37" s="13"/>
      <c r="Q37" s="13"/>
    </row>
    <row r="38" spans="1:17" ht="16">
      <c r="A38" s="13"/>
      <c r="B38" s="13"/>
      <c r="C38" s="13"/>
      <c r="D38" s="13"/>
      <c r="E38" s="13"/>
      <c r="F38" s="13"/>
      <c r="G38" s="13"/>
      <c r="H38"/>
      <c r="I38"/>
      <c r="J38"/>
      <c r="K38"/>
      <c r="L38" s="15"/>
      <c r="M38" s="13"/>
      <c r="N38" s="12"/>
      <c r="O38" s="13"/>
      <c r="P38" s="13"/>
      <c r="Q38" s="13"/>
    </row>
    <row r="39" spans="1:17" ht="16">
      <c r="A39" s="13"/>
      <c r="B39" s="13"/>
      <c r="C39" s="13"/>
      <c r="D39" s="13"/>
      <c r="E39" s="13"/>
      <c r="F39" s="13"/>
      <c r="G39" s="13"/>
      <c r="H39"/>
      <c r="I39"/>
      <c r="J39"/>
      <c r="K39"/>
      <c r="L39" s="15"/>
      <c r="M39" s="13"/>
      <c r="N39" s="12"/>
      <c r="O39" s="13"/>
      <c r="P39" s="13"/>
      <c r="Q39" s="13"/>
    </row>
    <row r="40" spans="1:17" ht="16">
      <c r="A40" s="13"/>
      <c r="B40" s="13"/>
      <c r="C40" s="13"/>
      <c r="D40" s="13"/>
      <c r="E40" s="13"/>
      <c r="F40" s="13"/>
      <c r="G40" s="13"/>
      <c r="H40"/>
      <c r="I40"/>
      <c r="J40"/>
      <c r="K40"/>
      <c r="L40" s="15"/>
      <c r="M40" s="13"/>
      <c r="N40" s="12"/>
      <c r="O40" s="13"/>
      <c r="P40" s="13"/>
      <c r="Q40" s="13"/>
    </row>
    <row r="41" spans="1:17" ht="16">
      <c r="A41" s="13"/>
      <c r="B41" s="13"/>
      <c r="C41" s="13"/>
      <c r="D41" s="13"/>
      <c r="E41" s="13"/>
      <c r="F41" s="13"/>
      <c r="G41" s="13"/>
      <c r="H41"/>
      <c r="I41"/>
      <c r="J41"/>
      <c r="K41"/>
      <c r="L41" s="15"/>
      <c r="M41" s="13"/>
      <c r="N41" s="12"/>
      <c r="O41" s="13"/>
      <c r="P41" s="13"/>
      <c r="Q41" s="13"/>
    </row>
    <row r="42" spans="1:17" ht="16">
      <c r="A42" s="13"/>
      <c r="B42" s="13"/>
      <c r="C42" s="13"/>
      <c r="D42" s="13"/>
      <c r="E42" s="13"/>
      <c r="F42" s="13"/>
      <c r="G42" s="13"/>
      <c r="H42"/>
      <c r="I42"/>
      <c r="J42"/>
      <c r="K42"/>
      <c r="L42" s="15"/>
      <c r="M42" s="13"/>
      <c r="N42" s="12"/>
      <c r="O42" s="13"/>
      <c r="P42" s="13"/>
      <c r="Q42" s="13"/>
    </row>
    <row r="43" spans="1:17" ht="16">
      <c r="A43" s="13"/>
      <c r="B43" s="13"/>
      <c r="C43" s="13"/>
      <c r="D43" s="13"/>
      <c r="E43" s="13"/>
      <c r="F43" s="13"/>
      <c r="G43" s="13"/>
      <c r="H43"/>
      <c r="I43"/>
      <c r="J43"/>
      <c r="K43"/>
      <c r="L43" s="15"/>
      <c r="M43" s="13"/>
      <c r="N43" s="12"/>
      <c r="O43" s="13"/>
      <c r="P43" s="13"/>
      <c r="Q43" s="13"/>
    </row>
    <row r="44" spans="1:17" ht="16">
      <c r="A44" s="13"/>
      <c r="B44" s="13"/>
      <c r="C44" s="13"/>
      <c r="D44" s="13"/>
      <c r="E44" s="13"/>
      <c r="F44" s="13"/>
      <c r="G44" s="13"/>
      <c r="H44"/>
      <c r="I44"/>
      <c r="J44"/>
      <c r="K44"/>
      <c r="L44" s="15"/>
      <c r="M44" s="13"/>
      <c r="N44" s="12"/>
      <c r="O44" s="13"/>
      <c r="P44" s="13"/>
      <c r="Q44" s="13"/>
    </row>
    <row r="45" spans="1:17" ht="16">
      <c r="A45" s="13"/>
      <c r="B45" s="13"/>
      <c r="C45" s="13"/>
      <c r="D45" s="13"/>
      <c r="E45" s="13"/>
      <c r="F45" s="13"/>
      <c r="G45" s="13"/>
      <c r="H45"/>
      <c r="I45"/>
      <c r="J45"/>
      <c r="K45"/>
      <c r="L45" s="15"/>
      <c r="M45" s="13"/>
      <c r="N45" s="12"/>
      <c r="O45" s="13"/>
      <c r="P45" s="13"/>
      <c r="Q45" s="13"/>
    </row>
    <row r="46" spans="1:17" ht="16">
      <c r="A46" s="13"/>
      <c r="B46" s="13"/>
      <c r="C46" s="13"/>
      <c r="D46" s="13"/>
      <c r="E46" s="13"/>
      <c r="F46" s="13"/>
      <c r="G46" s="13"/>
      <c r="H46"/>
      <c r="I46"/>
      <c r="J46"/>
      <c r="K46"/>
      <c r="L46" s="15"/>
      <c r="M46" s="13"/>
      <c r="N46" s="12"/>
      <c r="O46" s="13"/>
      <c r="P46" s="13"/>
      <c r="Q46" s="13"/>
    </row>
    <row r="47" spans="1:17" ht="16">
      <c r="A47" s="13"/>
      <c r="B47" s="13"/>
      <c r="C47" s="13"/>
      <c r="D47" s="13"/>
      <c r="E47" s="13"/>
      <c r="F47" s="13"/>
      <c r="G47" s="13"/>
      <c r="H47"/>
      <c r="I47"/>
      <c r="J47"/>
      <c r="K47"/>
      <c r="L47" s="15"/>
      <c r="M47" s="13"/>
      <c r="N47" s="12"/>
      <c r="O47" s="13"/>
      <c r="P47" s="13"/>
      <c r="Q47" s="13"/>
    </row>
    <row r="48" spans="1:17" ht="16">
      <c r="A48" s="13"/>
      <c r="B48" s="13"/>
      <c r="C48" s="13"/>
      <c r="D48" s="13"/>
      <c r="E48" s="13"/>
      <c r="F48" s="13"/>
      <c r="G48" s="13"/>
      <c r="H48"/>
      <c r="I48"/>
      <c r="J48"/>
      <c r="K48"/>
      <c r="L48" s="15"/>
      <c r="M48" s="13"/>
      <c r="N48" s="12"/>
      <c r="O48" s="13"/>
      <c r="P48" s="13"/>
      <c r="Q48" s="13"/>
    </row>
    <row r="49" spans="1:17" ht="16">
      <c r="A49" s="13"/>
      <c r="B49" s="13"/>
      <c r="C49" s="13"/>
      <c r="D49" s="13"/>
      <c r="E49" s="13"/>
      <c r="F49" s="13"/>
      <c r="G49" s="13"/>
      <c r="H49"/>
      <c r="I49"/>
      <c r="J49"/>
      <c r="K49"/>
      <c r="L49" s="15"/>
      <c r="M49" s="13"/>
      <c r="N49" s="12"/>
      <c r="O49" s="13"/>
      <c r="P49" s="13"/>
      <c r="Q49" s="13"/>
    </row>
    <row r="50" spans="1:17" ht="16">
      <c r="A50" s="13"/>
      <c r="B50" s="13"/>
      <c r="C50" s="13"/>
      <c r="D50" s="13"/>
      <c r="E50" s="13"/>
      <c r="F50" s="13"/>
      <c r="G50" s="13"/>
      <c r="H50"/>
      <c r="I50"/>
      <c r="J50"/>
      <c r="K50"/>
      <c r="N50" s="12"/>
      <c r="O50" s="13"/>
      <c r="P50" s="13"/>
      <c r="Q50" s="13"/>
    </row>
    <row r="51" spans="1:17" ht="16">
      <c r="A51" s="13"/>
      <c r="B51" s="13"/>
      <c r="C51" s="13"/>
      <c r="D51" s="13"/>
      <c r="E51" s="13"/>
      <c r="F51" s="13"/>
      <c r="G51" s="13"/>
      <c r="H51"/>
      <c r="I51"/>
      <c r="J51"/>
      <c r="K51"/>
      <c r="N51" s="12"/>
      <c r="O51" s="13"/>
      <c r="P51" s="13"/>
      <c r="Q51" s="13"/>
    </row>
    <row r="52" spans="1:17" ht="16">
      <c r="A52" s="13"/>
      <c r="B52" s="13"/>
      <c r="C52" s="13"/>
      <c r="D52" s="13"/>
      <c r="E52" s="13"/>
      <c r="F52" s="13"/>
      <c r="G52" s="13"/>
      <c r="H52"/>
      <c r="I52"/>
      <c r="J52"/>
      <c r="K52"/>
      <c r="N52" s="12"/>
      <c r="O52" s="13"/>
      <c r="P52" s="13"/>
      <c r="Q52" s="13"/>
    </row>
    <row r="53" spans="1:17" ht="16">
      <c r="A53" s="13"/>
      <c r="B53" s="13"/>
      <c r="C53" s="13"/>
      <c r="D53" s="13"/>
      <c r="E53" s="13"/>
      <c r="F53" s="13"/>
      <c r="G53" s="13"/>
      <c r="H53"/>
      <c r="I53"/>
      <c r="J53"/>
      <c r="K53"/>
      <c r="N53" s="12"/>
      <c r="O53" s="13"/>
      <c r="P53" s="13"/>
      <c r="Q53" s="13"/>
    </row>
    <row r="54" spans="1:17" ht="16">
      <c r="A54" s="13"/>
      <c r="B54" s="13"/>
      <c r="C54" s="13"/>
      <c r="D54" s="13"/>
      <c r="E54" s="13"/>
      <c r="F54" s="13"/>
      <c r="G54" s="13"/>
      <c r="H54"/>
      <c r="I54"/>
      <c r="J54"/>
      <c r="K54"/>
      <c r="N54" s="12"/>
      <c r="O54" s="13"/>
      <c r="P54" s="13"/>
      <c r="Q54" s="13"/>
    </row>
    <row r="55" spans="1:17" ht="16">
      <c r="A55" s="13"/>
      <c r="B55" s="13"/>
      <c r="C55" s="13"/>
      <c r="D55" s="13"/>
      <c r="E55" s="13"/>
      <c r="F55" s="13"/>
      <c r="G55" s="13"/>
      <c r="H55"/>
      <c r="I55"/>
      <c r="J55"/>
      <c r="K55"/>
      <c r="N55" s="12"/>
      <c r="O55" s="13"/>
      <c r="P55" s="13"/>
      <c r="Q55" s="13"/>
    </row>
    <row r="56" spans="1:17" ht="16">
      <c r="A56" s="13"/>
      <c r="B56" s="13"/>
      <c r="C56" s="13"/>
      <c r="D56" s="13"/>
      <c r="E56" s="13"/>
      <c r="F56" s="13"/>
      <c r="G56" s="13"/>
      <c r="H56"/>
      <c r="I56"/>
      <c r="J56"/>
      <c r="K56"/>
      <c r="N56" s="12"/>
      <c r="O56" s="13"/>
      <c r="P56" s="13"/>
      <c r="Q56" s="13"/>
    </row>
    <row r="57" spans="1:17" ht="16">
      <c r="A57" s="13"/>
      <c r="B57" s="13"/>
      <c r="C57" s="13"/>
      <c r="D57" s="13"/>
      <c r="E57" s="13"/>
      <c r="F57" s="13"/>
      <c r="G57" s="13"/>
      <c r="H57"/>
      <c r="I57"/>
      <c r="J57"/>
      <c r="K57"/>
      <c r="N57" s="12"/>
      <c r="O57" s="13"/>
      <c r="P57" s="13"/>
      <c r="Q57" s="13"/>
    </row>
    <row r="58" spans="1:17" ht="16">
      <c r="A58" s="13"/>
      <c r="B58" s="13"/>
      <c r="C58" s="13"/>
      <c r="D58" s="13"/>
      <c r="E58" s="13"/>
      <c r="F58" s="13"/>
      <c r="G58" s="13"/>
      <c r="H58"/>
      <c r="I58"/>
      <c r="J58"/>
      <c r="K58"/>
      <c r="N58" s="12"/>
      <c r="O58" s="13"/>
      <c r="P58" s="13"/>
      <c r="Q58" s="13"/>
    </row>
    <row r="59" spans="1:17" ht="16">
      <c r="A59" s="13"/>
      <c r="B59" s="13"/>
      <c r="C59" s="13"/>
      <c r="D59" s="13"/>
      <c r="E59" s="13"/>
      <c r="F59" s="13"/>
      <c r="G59" s="13"/>
      <c r="H59"/>
      <c r="I59"/>
      <c r="J59"/>
      <c r="K59"/>
      <c r="N59" s="12"/>
      <c r="O59" s="13"/>
      <c r="P59" s="13"/>
      <c r="Q59" s="13"/>
    </row>
    <row r="60" spans="1:17" ht="16">
      <c r="A60" s="13"/>
      <c r="B60" s="13"/>
      <c r="C60" s="13"/>
      <c r="D60" s="13"/>
      <c r="E60" s="13"/>
      <c r="F60" s="13"/>
      <c r="G60" s="13"/>
      <c r="H60"/>
      <c r="I60"/>
      <c r="J60"/>
      <c r="K60"/>
      <c r="N60" s="12"/>
      <c r="O60" s="13"/>
      <c r="P60" s="13"/>
      <c r="Q60" s="13"/>
    </row>
    <row r="61" spans="1:17" ht="16">
      <c r="A61" s="13"/>
      <c r="B61" s="13"/>
      <c r="C61" s="13"/>
      <c r="D61" s="13"/>
      <c r="E61" s="13"/>
      <c r="F61" s="13"/>
      <c r="G61" s="13"/>
      <c r="H61"/>
      <c r="I61"/>
      <c r="J61"/>
      <c r="K61"/>
      <c r="N61" s="12"/>
      <c r="O61" s="13"/>
      <c r="P61" s="13"/>
      <c r="Q61" s="13"/>
    </row>
    <row r="62" spans="1:17" ht="16">
      <c r="A62" s="13"/>
      <c r="B62" s="13"/>
      <c r="C62" s="13"/>
      <c r="D62" s="13"/>
      <c r="E62" s="13"/>
      <c r="F62" s="13"/>
      <c r="G62" s="13"/>
      <c r="H62"/>
      <c r="I62"/>
      <c r="J62"/>
      <c r="K62"/>
      <c r="N62" s="12"/>
      <c r="O62" s="13"/>
      <c r="P62" s="13"/>
      <c r="Q62" s="13"/>
    </row>
    <row r="63" spans="1:17" ht="16">
      <c r="A63" s="13"/>
      <c r="B63" s="13"/>
      <c r="C63" s="13"/>
      <c r="D63" s="13"/>
      <c r="E63" s="13"/>
      <c r="F63" s="13"/>
      <c r="G63" s="13"/>
      <c r="H63"/>
      <c r="I63"/>
      <c r="J63"/>
      <c r="K63"/>
      <c r="N63" s="12"/>
      <c r="O63" s="13"/>
      <c r="P63" s="13"/>
      <c r="Q63" s="13"/>
    </row>
    <row r="64" spans="1:17" ht="16">
      <c r="A64" s="13"/>
      <c r="B64" s="13"/>
      <c r="C64" s="13"/>
      <c r="D64" s="13"/>
      <c r="E64" s="13"/>
      <c r="F64" s="13"/>
      <c r="G64" s="13"/>
      <c r="H64"/>
      <c r="I64"/>
      <c r="J64"/>
      <c r="K64"/>
      <c r="N64" s="12"/>
      <c r="O64" s="13"/>
      <c r="P64" s="13"/>
      <c r="Q64" s="13"/>
    </row>
    <row r="65" spans="8:11">
      <c r="H65"/>
      <c r="I65"/>
      <c r="J65"/>
      <c r="K65"/>
    </row>
    <row r="66" spans="8:11">
      <c r="H66"/>
      <c r="I66"/>
      <c r="J66"/>
      <c r="K66"/>
    </row>
    <row r="67" spans="8:11">
      <c r="H67"/>
      <c r="I67"/>
      <c r="J67"/>
      <c r="K67"/>
    </row>
    <row r="68" spans="8:11">
      <c r="H68"/>
      <c r="I68"/>
      <c r="J68"/>
      <c r="K68"/>
    </row>
    <row r="69" spans="8:11">
      <c r="H69"/>
      <c r="I69"/>
      <c r="J69"/>
      <c r="K69"/>
    </row>
    <row r="70" spans="8:11">
      <c r="H70"/>
      <c r="I70"/>
      <c r="J70"/>
      <c r="K70"/>
    </row>
    <row r="71" spans="8:11">
      <c r="H71"/>
      <c r="I71"/>
      <c r="J71"/>
      <c r="K71"/>
    </row>
    <row r="72" spans="8:11">
      <c r="H72"/>
      <c r="I72"/>
      <c r="J72"/>
      <c r="K72"/>
    </row>
    <row r="73" spans="8:11">
      <c r="H73"/>
      <c r="I73"/>
      <c r="J73"/>
      <c r="K73"/>
    </row>
    <row r="74" spans="8:11">
      <c r="H74"/>
      <c r="I74"/>
      <c r="J74"/>
      <c r="K74"/>
    </row>
    <row r="75" spans="8:11">
      <c r="H75"/>
      <c r="I75"/>
      <c r="J75"/>
      <c r="K75"/>
    </row>
    <row r="76" spans="8:11">
      <c r="H76"/>
      <c r="I76"/>
      <c r="J76"/>
      <c r="K76"/>
    </row>
    <row r="77" spans="8:11">
      <c r="H77"/>
      <c r="I77"/>
      <c r="J77"/>
      <c r="K77"/>
    </row>
    <row r="78" spans="8:11">
      <c r="H78"/>
      <c r="I78"/>
      <c r="J78"/>
      <c r="K78"/>
    </row>
    <row r="79" spans="8:11">
      <c r="H79"/>
      <c r="I79"/>
      <c r="J79"/>
      <c r="K79"/>
    </row>
    <row r="80" spans="8:11">
      <c r="H80"/>
      <c r="I80"/>
      <c r="J80"/>
      <c r="K80"/>
    </row>
    <row r="81" spans="8:11">
      <c r="H81"/>
      <c r="I81"/>
      <c r="J81"/>
      <c r="K81"/>
    </row>
    <row r="82" spans="8:11">
      <c r="H82"/>
      <c r="I82"/>
      <c r="J82"/>
      <c r="K82"/>
    </row>
    <row r="83" spans="8:11">
      <c r="H83"/>
      <c r="I83"/>
      <c r="J83"/>
      <c r="K83"/>
    </row>
    <row r="84" spans="8:11">
      <c r="H84"/>
      <c r="I84"/>
      <c r="J84"/>
      <c r="K84"/>
    </row>
    <row r="85" spans="8:11">
      <c r="H85"/>
      <c r="I85"/>
      <c r="J85"/>
      <c r="K85"/>
    </row>
    <row r="86" spans="8:11">
      <c r="H86"/>
      <c r="I86"/>
      <c r="J86"/>
      <c r="K86"/>
    </row>
    <row r="87" spans="8:11">
      <c r="H87"/>
      <c r="I87"/>
      <c r="J87"/>
      <c r="K87"/>
    </row>
    <row r="88" spans="8:11">
      <c r="H88"/>
      <c r="I88"/>
      <c r="J88"/>
      <c r="K88"/>
    </row>
    <row r="89" spans="8:11">
      <c r="H89"/>
      <c r="I89"/>
      <c r="J89"/>
      <c r="K89"/>
    </row>
    <row r="90" spans="8:11">
      <c r="H90"/>
      <c r="I90"/>
      <c r="J90"/>
      <c r="K90"/>
    </row>
    <row r="91" spans="8:11">
      <c r="H91"/>
      <c r="I91"/>
      <c r="J91"/>
      <c r="K91"/>
    </row>
    <row r="92" spans="8:11">
      <c r="H92"/>
      <c r="I92"/>
      <c r="J92"/>
      <c r="K92"/>
    </row>
    <row r="93" spans="8:11">
      <c r="H93"/>
      <c r="I93"/>
      <c r="J93"/>
      <c r="K93"/>
    </row>
    <row r="94" spans="8:11">
      <c r="H94"/>
      <c r="I94"/>
      <c r="J94"/>
      <c r="K94"/>
    </row>
    <row r="95" spans="8:11">
      <c r="H95"/>
      <c r="I95"/>
      <c r="J95"/>
      <c r="K95"/>
    </row>
    <row r="96" spans="8:11">
      <c r="H96"/>
      <c r="I96"/>
      <c r="J96"/>
      <c r="K96"/>
    </row>
    <row r="97" spans="8:11">
      <c r="H97"/>
      <c r="I97"/>
      <c r="J97"/>
      <c r="K97"/>
    </row>
    <row r="98" spans="8:11">
      <c r="H98"/>
      <c r="I98"/>
      <c r="J98"/>
      <c r="K98"/>
    </row>
    <row r="99" spans="8:11">
      <c r="H99"/>
      <c r="I99"/>
      <c r="J99"/>
      <c r="K9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P10"/>
  <sheetViews>
    <sheetView workbookViewId="0">
      <selection activeCell="F20" sqref="F20"/>
    </sheetView>
  </sheetViews>
  <sheetFormatPr baseColWidth="10" defaultColWidth="11" defaultRowHeight="15"/>
  <cols>
    <col min="7" max="7" width="10.83203125" style="6"/>
  </cols>
  <sheetData>
    <row r="2" spans="1:16">
      <c r="H2" t="s">
        <v>38</v>
      </c>
    </row>
    <row r="3" spans="1:16">
      <c r="H3" t="s">
        <v>39</v>
      </c>
    </row>
    <row r="4" spans="1:16">
      <c r="E4" s="6"/>
      <c r="G4"/>
      <c r="H4" t="s">
        <v>44</v>
      </c>
    </row>
    <row r="5" spans="1:16">
      <c r="E5" s="6"/>
      <c r="G5"/>
      <c r="H5" t="s">
        <v>40</v>
      </c>
    </row>
    <row r="6" spans="1:16">
      <c r="H6" t="s">
        <v>41</v>
      </c>
      <c r="I6" s="3"/>
      <c r="K6" s="3"/>
      <c r="L6" s="3"/>
      <c r="M6" s="3"/>
      <c r="N6" s="3"/>
      <c r="O6" s="3"/>
      <c r="P6" s="3"/>
    </row>
    <row r="7" spans="1:16">
      <c r="H7" t="s">
        <v>42</v>
      </c>
    </row>
    <row r="10" spans="1:16">
      <c r="A10" s="4" t="s">
        <v>14</v>
      </c>
      <c r="B10" s="4" t="s">
        <v>15</v>
      </c>
      <c r="C10" s="1" t="s">
        <v>16</v>
      </c>
      <c r="D10" s="1" t="s">
        <v>17</v>
      </c>
      <c r="E10" s="1" t="s">
        <v>22</v>
      </c>
      <c r="F10" s="1" t="s">
        <v>23</v>
      </c>
      <c r="G10" s="7"/>
      <c r="H10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_TYPE_3pp">
                <anchor moveWithCells="1" sizeWithCells="1">
                  <from>
                    <xdr:col>3</xdr:col>
                    <xdr:colOff>279400</xdr:colOff>
                    <xdr:row>3</xdr:row>
                    <xdr:rowOff>25400</xdr:rowOff>
                  </from>
                  <to>
                    <xdr:col>5</xdr:col>
                    <xdr:colOff>152400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">
                <anchor moveWithCells="1" sizeWithCells="1">
                  <from>
                    <xdr:col>5</xdr:col>
                    <xdr:colOff>774700</xdr:colOff>
                    <xdr:row>3</xdr:row>
                    <xdr:rowOff>25400</xdr:rowOff>
                  </from>
                  <to>
                    <xdr:col>7</xdr:col>
                    <xdr:colOff>647700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2:F78"/>
  <sheetViews>
    <sheetView workbookViewId="0">
      <selection activeCell="F31" sqref="F31"/>
    </sheetView>
  </sheetViews>
  <sheetFormatPr baseColWidth="10" defaultColWidth="11" defaultRowHeight="15"/>
  <cols>
    <col min="1" max="1" width="24.83203125" customWidth="1"/>
    <col min="2" max="2" width="19.6640625" customWidth="1"/>
    <col min="5" max="5" width="22.83203125" customWidth="1"/>
    <col min="6" max="6" width="19.6640625" customWidth="1"/>
  </cols>
  <sheetData>
    <row r="2" spans="1:6">
      <c r="A2" s="4" t="s">
        <v>14</v>
      </c>
      <c r="E2" s="21" t="s">
        <v>16</v>
      </c>
    </row>
    <row r="3" spans="1:6">
      <c r="A3" s="22" t="s">
        <v>194</v>
      </c>
      <c r="B3" t="s">
        <v>193</v>
      </c>
      <c r="E3" s="22" t="s">
        <v>194</v>
      </c>
      <c r="F3" t="s">
        <v>193</v>
      </c>
    </row>
    <row r="4" spans="1:6">
      <c r="A4" s="23" t="s">
        <v>75</v>
      </c>
      <c r="B4" s="25">
        <v>100747.89770479883</v>
      </c>
      <c r="E4" s="23" t="s">
        <v>75</v>
      </c>
      <c r="F4" s="25">
        <v>100747.89770479883</v>
      </c>
    </row>
    <row r="5" spans="1:6">
      <c r="A5" s="24" t="s">
        <v>80</v>
      </c>
      <c r="B5" s="25">
        <v>62127.191820965316</v>
      </c>
      <c r="E5" s="23" t="s">
        <v>63</v>
      </c>
      <c r="F5" s="25">
        <v>1111133.1590699474</v>
      </c>
    </row>
    <row r="6" spans="1:6">
      <c r="A6" s="24" t="s">
        <v>102</v>
      </c>
      <c r="B6" s="25">
        <v>38620.705883833514</v>
      </c>
      <c r="E6" s="23" t="s">
        <v>76</v>
      </c>
      <c r="F6" s="25">
        <v>6995155.9335964937</v>
      </c>
    </row>
    <row r="7" spans="1:6">
      <c r="A7" s="23" t="s">
        <v>63</v>
      </c>
      <c r="B7" s="25">
        <v>1111133.1590699474</v>
      </c>
      <c r="E7" s="23" t="s">
        <v>64</v>
      </c>
      <c r="F7" s="25">
        <v>402409.80137220002</v>
      </c>
    </row>
    <row r="8" spans="1:6">
      <c r="A8" s="24" t="s">
        <v>106</v>
      </c>
      <c r="B8" s="25">
        <v>208002.60552612907</v>
      </c>
      <c r="E8" s="23" t="s">
        <v>68</v>
      </c>
      <c r="F8" s="25">
        <v>3308108.7878726395</v>
      </c>
    </row>
    <row r="9" spans="1:6">
      <c r="A9" s="24" t="s">
        <v>114</v>
      </c>
      <c r="B9" s="25">
        <v>215800.40783871553</v>
      </c>
      <c r="E9" s="23" t="s">
        <v>65</v>
      </c>
      <c r="F9" s="25">
        <v>315394.65058100945</v>
      </c>
    </row>
    <row r="10" spans="1:6">
      <c r="A10" s="24" t="s">
        <v>154</v>
      </c>
      <c r="B10" s="25">
        <v>212832.18797513857</v>
      </c>
      <c r="E10" s="23" t="s">
        <v>67</v>
      </c>
      <c r="F10" s="25">
        <v>0</v>
      </c>
    </row>
    <row r="11" spans="1:6">
      <c r="A11" s="24" t="s">
        <v>174</v>
      </c>
      <c r="B11" s="25">
        <v>229957.69834752989</v>
      </c>
      <c r="E11" s="23" t="s">
        <v>71</v>
      </c>
      <c r="F11" s="25">
        <v>950283.80650475959</v>
      </c>
    </row>
    <row r="12" spans="1:6">
      <c r="A12" s="24" t="s">
        <v>176</v>
      </c>
      <c r="B12" s="25">
        <v>244540.25938243433</v>
      </c>
      <c r="E12" s="23" t="s">
        <v>70</v>
      </c>
      <c r="F12" s="25">
        <v>2170329.9576612869</v>
      </c>
    </row>
    <row r="13" spans="1:6">
      <c r="A13" s="24" t="s">
        <v>178</v>
      </c>
      <c r="B13" s="25"/>
      <c r="E13" s="23" t="s">
        <v>73</v>
      </c>
      <c r="F13" s="25">
        <v>686180.73964558414</v>
      </c>
    </row>
    <row r="14" spans="1:6">
      <c r="A14" s="23" t="s">
        <v>76</v>
      </c>
      <c r="B14" s="25">
        <v>6995155.9335964937</v>
      </c>
      <c r="E14" s="23" t="s">
        <v>69</v>
      </c>
      <c r="F14" s="25">
        <v>351827.82269786589</v>
      </c>
    </row>
    <row r="15" spans="1:6">
      <c r="A15" s="24" t="s">
        <v>78</v>
      </c>
      <c r="B15" s="25"/>
      <c r="E15" s="23" t="s">
        <v>66</v>
      </c>
      <c r="F15" s="25">
        <v>97412.358415327995</v>
      </c>
    </row>
    <row r="16" spans="1:6">
      <c r="A16" s="24" t="s">
        <v>86</v>
      </c>
      <c r="B16" s="25">
        <v>1023905.0809553131</v>
      </c>
      <c r="E16" s="23" t="s">
        <v>72</v>
      </c>
      <c r="F16" s="25">
        <v>2133945.4561311174</v>
      </c>
    </row>
    <row r="17" spans="1:6">
      <c r="A17" s="24" t="s">
        <v>88</v>
      </c>
      <c r="B17" s="25">
        <v>1364781.8131315717</v>
      </c>
      <c r="E17" s="23" t="s">
        <v>74</v>
      </c>
      <c r="F17" s="25">
        <v>1767542.0251267706</v>
      </c>
    </row>
    <row r="18" spans="1:6">
      <c r="A18" s="24" t="s">
        <v>92</v>
      </c>
      <c r="B18" s="25">
        <v>1257817.8050395146</v>
      </c>
      <c r="E18" s="23" t="s">
        <v>195</v>
      </c>
      <c r="F18" s="25"/>
    </row>
    <row r="19" spans="1:6">
      <c r="A19" s="24" t="s">
        <v>96</v>
      </c>
      <c r="B19" s="25">
        <v>1171994.6000235579</v>
      </c>
      <c r="E19" s="23" t="s">
        <v>196</v>
      </c>
      <c r="F19" s="25">
        <v>20390472.396379802</v>
      </c>
    </row>
    <row r="20" spans="1:6">
      <c r="A20" s="24" t="s">
        <v>118</v>
      </c>
      <c r="B20" s="25">
        <v>1180873.754557929</v>
      </c>
    </row>
    <row r="21" spans="1:6">
      <c r="A21" s="24" t="s">
        <v>124</v>
      </c>
      <c r="B21" s="25">
        <v>995782.87988860777</v>
      </c>
    </row>
    <row r="22" spans="1:6">
      <c r="A22" s="23" t="s">
        <v>64</v>
      </c>
      <c r="B22" s="25">
        <v>402409.80137220002</v>
      </c>
    </row>
    <row r="23" spans="1:6">
      <c r="A23" s="24" t="s">
        <v>82</v>
      </c>
      <c r="B23" s="25"/>
    </row>
    <row r="24" spans="1:6">
      <c r="A24" s="24" t="s">
        <v>128</v>
      </c>
      <c r="B24" s="25">
        <v>89232.914266316831</v>
      </c>
    </row>
    <row r="25" spans="1:6">
      <c r="A25" s="24" t="s">
        <v>164</v>
      </c>
      <c r="B25" s="25">
        <v>107030.63247636352</v>
      </c>
    </row>
    <row r="26" spans="1:6">
      <c r="A26" s="24" t="s">
        <v>166</v>
      </c>
      <c r="B26" s="25">
        <v>118296.25884478155</v>
      </c>
    </row>
    <row r="27" spans="1:6">
      <c r="A27" s="24" t="s">
        <v>188</v>
      </c>
      <c r="B27" s="25">
        <v>87849.995784738087</v>
      </c>
    </row>
    <row r="28" spans="1:6">
      <c r="A28" s="23" t="s">
        <v>68</v>
      </c>
      <c r="B28" s="25">
        <v>3308108.7878726395</v>
      </c>
    </row>
    <row r="29" spans="1:6">
      <c r="A29" s="24" t="s">
        <v>84</v>
      </c>
      <c r="B29" s="25">
        <v>29733.386078997351</v>
      </c>
    </row>
    <row r="30" spans="1:6">
      <c r="A30" s="24" t="s">
        <v>122</v>
      </c>
      <c r="B30" s="25">
        <v>566676.19263593236</v>
      </c>
    </row>
    <row r="31" spans="1:6">
      <c r="A31" s="24" t="s">
        <v>136</v>
      </c>
      <c r="B31" s="25">
        <v>755124.39790773485</v>
      </c>
    </row>
    <row r="32" spans="1:6">
      <c r="A32" s="24" t="s">
        <v>162</v>
      </c>
      <c r="B32" s="25">
        <v>936026.47552332096</v>
      </c>
    </row>
    <row r="33" spans="1:2">
      <c r="A33" s="24" t="s">
        <v>168</v>
      </c>
      <c r="B33" s="25">
        <v>1020548.3357266543</v>
      </c>
    </row>
    <row r="34" spans="1:2">
      <c r="A34" s="23" t="s">
        <v>65</v>
      </c>
      <c r="B34" s="25">
        <v>315394.65058100945</v>
      </c>
    </row>
    <row r="35" spans="1:2">
      <c r="A35" s="24" t="s">
        <v>104</v>
      </c>
      <c r="B35" s="25">
        <v>87197.946587775165</v>
      </c>
    </row>
    <row r="36" spans="1:2">
      <c r="A36" s="24" t="s">
        <v>130</v>
      </c>
      <c r="B36" s="25">
        <v>87019.924150767882</v>
      </c>
    </row>
    <row r="37" spans="1:2">
      <c r="A37" s="24" t="s">
        <v>172</v>
      </c>
      <c r="B37" s="25">
        <v>141176.77984246641</v>
      </c>
    </row>
    <row r="38" spans="1:2">
      <c r="A38" s="23" t="s">
        <v>67</v>
      </c>
      <c r="B38" s="25">
        <v>0</v>
      </c>
    </row>
    <row r="39" spans="1:2">
      <c r="A39" s="24" t="s">
        <v>126</v>
      </c>
      <c r="B39" s="25">
        <v>0</v>
      </c>
    </row>
    <row r="40" spans="1:2">
      <c r="A40" s="24" t="s">
        <v>140</v>
      </c>
      <c r="B40" s="25">
        <v>0</v>
      </c>
    </row>
    <row r="41" spans="1:2">
      <c r="A41" s="24" t="s">
        <v>150</v>
      </c>
      <c r="B41" s="25">
        <v>0</v>
      </c>
    </row>
    <row r="42" spans="1:2">
      <c r="A42" s="24" t="s">
        <v>158</v>
      </c>
      <c r="B42" s="25">
        <v>0</v>
      </c>
    </row>
    <row r="43" spans="1:2">
      <c r="A43" s="23" t="s">
        <v>71</v>
      </c>
      <c r="B43" s="25">
        <v>950283.80650475959</v>
      </c>
    </row>
    <row r="44" spans="1:2">
      <c r="A44" s="24" t="s">
        <v>120</v>
      </c>
      <c r="B44" s="25">
        <v>393589.60240795021</v>
      </c>
    </row>
    <row r="45" spans="1:2">
      <c r="A45" s="24" t="s">
        <v>180</v>
      </c>
      <c r="B45" s="25">
        <v>290273.92629828147</v>
      </c>
    </row>
    <row r="46" spans="1:2">
      <c r="A46" s="24" t="s">
        <v>182</v>
      </c>
      <c r="B46" s="25">
        <v>266420.27779852797</v>
      </c>
    </row>
    <row r="47" spans="1:2">
      <c r="A47" s="23" t="s">
        <v>70</v>
      </c>
      <c r="B47" s="25">
        <v>2170329.9576612869</v>
      </c>
    </row>
    <row r="48" spans="1:2">
      <c r="A48" s="24" t="s">
        <v>90</v>
      </c>
      <c r="B48" s="25">
        <v>29309.865741013637</v>
      </c>
    </row>
    <row r="49" spans="1:2">
      <c r="A49" s="24" t="s">
        <v>94</v>
      </c>
      <c r="B49" s="25">
        <v>560805.31558241649</v>
      </c>
    </row>
    <row r="50" spans="1:2">
      <c r="A50" s="24" t="s">
        <v>98</v>
      </c>
      <c r="B50" s="25">
        <v>369623.12648830627</v>
      </c>
    </row>
    <row r="51" spans="1:2">
      <c r="A51" s="24" t="s">
        <v>110</v>
      </c>
      <c r="B51" s="25">
        <v>588477.19114454836</v>
      </c>
    </row>
    <row r="52" spans="1:2">
      <c r="A52" s="24" t="s">
        <v>116</v>
      </c>
      <c r="B52" s="25">
        <v>622114.45870500209</v>
      </c>
    </row>
    <row r="53" spans="1:2">
      <c r="A53" s="23" t="s">
        <v>73</v>
      </c>
      <c r="B53" s="25">
        <v>686180.73964558414</v>
      </c>
    </row>
    <row r="54" spans="1:2">
      <c r="A54" s="24" t="s">
        <v>144</v>
      </c>
      <c r="B54" s="25">
        <v>321830.04573946085</v>
      </c>
    </row>
    <row r="55" spans="1:2">
      <c r="A55" s="24" t="s">
        <v>148</v>
      </c>
      <c r="B55" s="25">
        <v>131539.36537789402</v>
      </c>
    </row>
    <row r="56" spans="1:2">
      <c r="A56" s="24" t="s">
        <v>170</v>
      </c>
      <c r="B56" s="25">
        <v>232811.32852822926</v>
      </c>
    </row>
    <row r="57" spans="1:2">
      <c r="A57" s="23" t="s">
        <v>69</v>
      </c>
      <c r="B57" s="25">
        <v>351827.82269786589</v>
      </c>
    </row>
    <row r="58" spans="1:2">
      <c r="A58" s="24" t="s">
        <v>134</v>
      </c>
      <c r="B58" s="25">
        <v>105761.30274339115</v>
      </c>
    </row>
    <row r="59" spans="1:2">
      <c r="A59" s="24" t="s">
        <v>138</v>
      </c>
      <c r="B59" s="25">
        <v>65846.797232574667</v>
      </c>
    </row>
    <row r="60" spans="1:2">
      <c r="A60" s="24" t="s">
        <v>142</v>
      </c>
      <c r="B60" s="25">
        <v>98719.412990063953</v>
      </c>
    </row>
    <row r="61" spans="1:2">
      <c r="A61" s="24" t="s">
        <v>156</v>
      </c>
      <c r="B61" s="25">
        <v>81500.309731836154</v>
      </c>
    </row>
    <row r="62" spans="1:2">
      <c r="A62" s="23" t="s">
        <v>66</v>
      </c>
      <c r="B62" s="25">
        <v>97412.358415327995</v>
      </c>
    </row>
    <row r="63" spans="1:2">
      <c r="A63" s="24" t="s">
        <v>100</v>
      </c>
      <c r="B63" s="25">
        <v>33279.953615790546</v>
      </c>
    </row>
    <row r="64" spans="1:2">
      <c r="A64" s="24" t="s">
        <v>112</v>
      </c>
      <c r="B64" s="25">
        <v>32225.771424850045</v>
      </c>
    </row>
    <row r="65" spans="1:2">
      <c r="A65" s="24" t="s">
        <v>190</v>
      </c>
      <c r="B65" s="25">
        <v>31906.633374687401</v>
      </c>
    </row>
    <row r="66" spans="1:2">
      <c r="A66" s="23" t="s">
        <v>72</v>
      </c>
      <c r="B66" s="25">
        <v>2133945.4561311174</v>
      </c>
    </row>
    <row r="67" spans="1:2">
      <c r="A67" s="24" t="s">
        <v>132</v>
      </c>
      <c r="B67" s="25">
        <v>589776.80560577277</v>
      </c>
    </row>
    <row r="68" spans="1:2">
      <c r="A68" s="24" t="s">
        <v>146</v>
      </c>
      <c r="B68" s="25">
        <v>547589.51723482413</v>
      </c>
    </row>
    <row r="69" spans="1:2">
      <c r="A69" s="24" t="s">
        <v>160</v>
      </c>
      <c r="B69" s="25">
        <v>533646.9083750518</v>
      </c>
    </row>
    <row r="70" spans="1:2">
      <c r="A70" s="24" t="s">
        <v>186</v>
      </c>
      <c r="B70" s="25">
        <v>462932.22491546843</v>
      </c>
    </row>
    <row r="71" spans="1:2">
      <c r="A71" s="23" t="s">
        <v>74</v>
      </c>
      <c r="B71" s="25">
        <v>1767542.0251267706</v>
      </c>
    </row>
    <row r="72" spans="1:2">
      <c r="A72" s="24" t="s">
        <v>108</v>
      </c>
      <c r="B72" s="25">
        <v>560896.66741072654</v>
      </c>
    </row>
    <row r="73" spans="1:2">
      <c r="A73" s="24" t="s">
        <v>152</v>
      </c>
      <c r="B73" s="25">
        <v>592359.430287536</v>
      </c>
    </row>
    <row r="74" spans="1:2">
      <c r="A74" s="24" t="s">
        <v>184</v>
      </c>
      <c r="B74" s="25">
        <v>435845.12968716898</v>
      </c>
    </row>
    <row r="75" spans="1:2">
      <c r="A75" s="24" t="s">
        <v>192</v>
      </c>
      <c r="B75" s="25">
        <v>178440.79774133902</v>
      </c>
    </row>
    <row r="76" spans="1:2">
      <c r="A76" s="23" t="s">
        <v>195</v>
      </c>
      <c r="B76" s="25"/>
    </row>
    <row r="77" spans="1:2">
      <c r="A77" s="24" t="s">
        <v>195</v>
      </c>
      <c r="B77" s="25"/>
    </row>
    <row r="78" spans="1:2">
      <c r="A78" s="23" t="s">
        <v>196</v>
      </c>
      <c r="B78" s="25">
        <v>20390472.396379799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Y59"/>
  <sheetViews>
    <sheetView tabSelected="1" topLeftCell="G1" workbookViewId="0">
      <selection activeCell="U20" sqref="U20"/>
    </sheetView>
  </sheetViews>
  <sheetFormatPr baseColWidth="10" defaultColWidth="11" defaultRowHeight="15"/>
  <cols>
    <col min="4" max="4" width="22.83203125" bestFit="1" customWidth="1"/>
    <col min="11" max="11" width="10.83203125" style="6"/>
    <col min="12" max="12" width="14.5" style="6" bestFit="1" customWidth="1"/>
    <col min="13" max="13" width="24.83203125" style="6" customWidth="1"/>
    <col min="14" max="14" width="10.83203125" style="6"/>
    <col min="16" max="16" width="10.83203125" style="6"/>
    <col min="19" max="19" width="10.83203125" style="6"/>
    <col min="21" max="21" width="10.83203125" style="6"/>
  </cols>
  <sheetData>
    <row r="1" spans="1:25" ht="17" customHeight="1">
      <c r="A1" s="4" t="s">
        <v>14</v>
      </c>
      <c r="B1" s="4" t="s">
        <v>15</v>
      </c>
      <c r="C1" s="1" t="s">
        <v>16</v>
      </c>
      <c r="D1" s="1" t="s">
        <v>17</v>
      </c>
      <c r="E1" s="20" t="s">
        <v>51</v>
      </c>
      <c r="F1" s="1" t="s">
        <v>18</v>
      </c>
      <c r="G1" s="1" t="s">
        <v>19</v>
      </c>
      <c r="H1" s="7" t="s">
        <v>20</v>
      </c>
      <c r="I1" s="1" t="s">
        <v>21</v>
      </c>
      <c r="J1" s="1" t="s">
        <v>22</v>
      </c>
      <c r="K1" s="1" t="s">
        <v>23</v>
      </c>
      <c r="L1" s="7" t="s">
        <v>52</v>
      </c>
      <c r="M1" s="7" t="s">
        <v>53</v>
      </c>
      <c r="N1" s="1" t="s">
        <v>54</v>
      </c>
      <c r="O1" s="1" t="s">
        <v>55</v>
      </c>
      <c r="P1" s="7" t="s">
        <v>56</v>
      </c>
      <c r="Q1" s="1" t="s">
        <v>32</v>
      </c>
      <c r="R1" s="1" t="s">
        <v>57</v>
      </c>
      <c r="S1" s="1" t="s">
        <v>25</v>
      </c>
      <c r="T1" s="1" t="s">
        <v>26</v>
      </c>
      <c r="U1" s="7" t="s">
        <v>58</v>
      </c>
      <c r="V1" s="1" t="s">
        <v>59</v>
      </c>
      <c r="W1" s="1" t="s">
        <v>60</v>
      </c>
      <c r="X1" s="1" t="s">
        <v>61</v>
      </c>
      <c r="Y1" s="1" t="s">
        <v>62</v>
      </c>
    </row>
    <row r="2" spans="1:25">
      <c r="A2" t="s">
        <v>77</v>
      </c>
      <c r="B2" t="s">
        <v>78</v>
      </c>
      <c r="C2" t="s">
        <v>13</v>
      </c>
      <c r="D2" t="s">
        <v>76</v>
      </c>
      <c r="E2">
        <v>377182</v>
      </c>
      <c r="F2">
        <v>113682</v>
      </c>
      <c r="G2">
        <v>87301962.528556302</v>
      </c>
      <c r="H2">
        <v>1.1197977819573381</v>
      </c>
      <c r="I2">
        <v>3819.0255434542237</v>
      </c>
      <c r="M2" s="6">
        <v>0.95937474988088511</v>
      </c>
      <c r="N2" s="6">
        <v>1.1000000000000001</v>
      </c>
      <c r="O2">
        <v>4200.9280977996468</v>
      </c>
      <c r="P2" s="6">
        <v>1.25</v>
      </c>
      <c r="Q2">
        <v>1.3</v>
      </c>
      <c r="U2" s="6">
        <v>1.4081632653061225</v>
      </c>
      <c r="V2">
        <v>1.3</v>
      </c>
    </row>
    <row r="3" spans="1:25">
      <c r="A3" t="s">
        <v>79</v>
      </c>
      <c r="B3" t="s">
        <v>80</v>
      </c>
      <c r="C3" t="s">
        <v>12</v>
      </c>
      <c r="D3" t="s">
        <v>75</v>
      </c>
      <c r="E3">
        <v>81515744</v>
      </c>
      <c r="F3">
        <v>9499370</v>
      </c>
      <c r="G3">
        <v>15898858.846055923</v>
      </c>
      <c r="H3">
        <v>0.96890935061175498</v>
      </c>
      <c r="I3">
        <v>276120.85253762361</v>
      </c>
      <c r="M3" s="6">
        <v>0.7476877362444454</v>
      </c>
      <c r="N3" s="6">
        <v>0.9</v>
      </c>
      <c r="O3">
        <v>248508.76728386126</v>
      </c>
      <c r="P3" s="6">
        <v>0</v>
      </c>
      <c r="Q3">
        <v>0.5</v>
      </c>
      <c r="R3">
        <v>124254.38364193063</v>
      </c>
      <c r="S3" s="6">
        <v>3</v>
      </c>
      <c r="U3" s="6">
        <v>0.36363636363636365</v>
      </c>
      <c r="V3">
        <v>0.5</v>
      </c>
      <c r="W3">
        <v>62127.191820965316</v>
      </c>
      <c r="X3">
        <v>0</v>
      </c>
      <c r="Y3">
        <v>62127.191820965316</v>
      </c>
    </row>
    <row r="4" spans="1:25">
      <c r="A4" t="s">
        <v>81</v>
      </c>
      <c r="B4" t="s">
        <v>82</v>
      </c>
      <c r="C4" t="s">
        <v>1</v>
      </c>
      <c r="D4" t="s">
        <v>64</v>
      </c>
      <c r="E4">
        <v>1020909</v>
      </c>
      <c r="F4">
        <v>140349</v>
      </c>
      <c r="G4">
        <v>38297651.209154978</v>
      </c>
      <c r="H4">
        <v>0.8872716975362982</v>
      </c>
      <c r="I4">
        <v>3735.8308643256578</v>
      </c>
      <c r="M4" s="6">
        <v>0.86369759742180185</v>
      </c>
      <c r="N4" s="6">
        <v>1</v>
      </c>
      <c r="O4">
        <v>3735.8308643256578</v>
      </c>
      <c r="P4" s="6">
        <v>0.5714285714285714</v>
      </c>
      <c r="Q4">
        <v>0.7</v>
      </c>
      <c r="U4" s="6">
        <v>0.52</v>
      </c>
      <c r="V4">
        <v>0.5</v>
      </c>
    </row>
    <row r="5" spans="1:25">
      <c r="A5" t="s">
        <v>83</v>
      </c>
      <c r="B5" t="s">
        <v>84</v>
      </c>
      <c r="C5" t="s">
        <v>5</v>
      </c>
      <c r="D5" t="s">
        <v>68</v>
      </c>
      <c r="E5">
        <v>7432635</v>
      </c>
      <c r="F5">
        <v>515548</v>
      </c>
      <c r="G5">
        <v>55795426.154436417</v>
      </c>
      <c r="H5">
        <v>1.0904992970496756</v>
      </c>
      <c r="I5">
        <v>16866.141947860982</v>
      </c>
      <c r="M5" s="28">
        <v>0.85616251036890245</v>
      </c>
      <c r="N5" s="28">
        <v>1</v>
      </c>
      <c r="O5">
        <v>16866.141947860982</v>
      </c>
      <c r="P5" s="6">
        <v>1.1666666666666667</v>
      </c>
      <c r="Q5">
        <v>1.3</v>
      </c>
      <c r="R5">
        <v>19733.386078997351</v>
      </c>
      <c r="S5" s="6">
        <v>1</v>
      </c>
      <c r="U5" s="6">
        <v>0.90909090909090906</v>
      </c>
      <c r="V5">
        <v>1</v>
      </c>
      <c r="W5">
        <v>19733.386078997351</v>
      </c>
      <c r="X5">
        <v>10000</v>
      </c>
      <c r="Y5">
        <v>29733.386078997351</v>
      </c>
    </row>
    <row r="6" spans="1:25">
      <c r="A6" t="s">
        <v>85</v>
      </c>
      <c r="B6" t="s">
        <v>86</v>
      </c>
      <c r="C6" t="s">
        <v>13</v>
      </c>
      <c r="D6" t="s">
        <v>76</v>
      </c>
      <c r="E6">
        <v>116264044</v>
      </c>
      <c r="F6">
        <v>14521838</v>
      </c>
      <c r="G6">
        <v>87301962.528556302</v>
      </c>
      <c r="H6">
        <v>1.1197977819573381</v>
      </c>
      <c r="I6">
        <v>487845.65947031358</v>
      </c>
      <c r="M6" s="6">
        <v>0.95937474988088511</v>
      </c>
      <c r="N6" s="6">
        <v>1.1000000000000001</v>
      </c>
      <c r="O6">
        <v>536630.22541734495</v>
      </c>
      <c r="P6" s="6">
        <v>1.25</v>
      </c>
      <c r="Q6">
        <v>1.3</v>
      </c>
      <c r="R6">
        <v>697619.29304254847</v>
      </c>
      <c r="S6" s="6">
        <v>9</v>
      </c>
      <c r="U6" s="6">
        <v>1.4081632653061225</v>
      </c>
      <c r="V6">
        <v>1.3</v>
      </c>
      <c r="W6">
        <v>906905.08095531305</v>
      </c>
      <c r="X6">
        <v>117000</v>
      </c>
      <c r="Y6">
        <v>1023905.0809553131</v>
      </c>
    </row>
    <row r="7" spans="1:25">
      <c r="A7" t="s">
        <v>87</v>
      </c>
      <c r="B7" t="s">
        <v>88</v>
      </c>
      <c r="C7" t="s">
        <v>13</v>
      </c>
      <c r="D7" t="s">
        <v>76</v>
      </c>
      <c r="E7">
        <v>154412542</v>
      </c>
      <c r="F7">
        <v>18314832</v>
      </c>
      <c r="G7">
        <v>87301962.528556302</v>
      </c>
      <c r="H7">
        <v>1.1197977819573381</v>
      </c>
      <c r="I7">
        <v>615267.24751563836</v>
      </c>
      <c r="M7" s="6">
        <v>0.95937474988088511</v>
      </c>
      <c r="N7" s="6">
        <v>1.1000000000000001</v>
      </c>
      <c r="O7">
        <v>676793.97226720222</v>
      </c>
      <c r="P7" s="6">
        <v>1.25</v>
      </c>
      <c r="Q7">
        <v>1.3</v>
      </c>
      <c r="R7">
        <v>879832.16394736292</v>
      </c>
      <c r="S7" s="6">
        <v>17</v>
      </c>
      <c r="U7" s="6">
        <v>1.4081632653061225</v>
      </c>
      <c r="V7">
        <v>1.3</v>
      </c>
      <c r="W7">
        <v>1143781.8131315717</v>
      </c>
      <c r="X7">
        <v>221000</v>
      </c>
      <c r="Y7">
        <v>1364781.8131315717</v>
      </c>
    </row>
    <row r="8" spans="1:25">
      <c r="A8" t="s">
        <v>89</v>
      </c>
      <c r="B8" t="s">
        <v>90</v>
      </c>
      <c r="C8" t="s">
        <v>7</v>
      </c>
      <c r="D8" t="s">
        <v>70</v>
      </c>
      <c r="E8">
        <v>4845600</v>
      </c>
      <c r="F8">
        <v>309953</v>
      </c>
      <c r="G8">
        <v>57744678.241610035</v>
      </c>
      <c r="H8">
        <v>1.01132588800051</v>
      </c>
      <c r="I8">
        <v>9403.9047889026624</v>
      </c>
      <c r="M8" s="28">
        <v>0.81101657811058137</v>
      </c>
      <c r="N8" s="28">
        <v>1</v>
      </c>
      <c r="O8">
        <v>9403.9047889026624</v>
      </c>
      <c r="P8" s="6">
        <v>0.8</v>
      </c>
      <c r="Q8">
        <v>1</v>
      </c>
      <c r="R8">
        <v>10344.29526779293</v>
      </c>
      <c r="S8" s="6">
        <v>2</v>
      </c>
      <c r="U8" s="6">
        <v>0.80645161290322576</v>
      </c>
      <c r="V8">
        <v>0.9</v>
      </c>
      <c r="W8">
        <v>9309.8657410136366</v>
      </c>
      <c r="X8">
        <v>20000</v>
      </c>
      <c r="Y8">
        <v>29309.865741013637</v>
      </c>
    </row>
    <row r="9" spans="1:25">
      <c r="A9" t="s">
        <v>91</v>
      </c>
      <c r="B9" t="s">
        <v>92</v>
      </c>
      <c r="C9" t="s">
        <v>13</v>
      </c>
      <c r="D9" t="s">
        <v>76</v>
      </c>
      <c r="E9">
        <v>141396350</v>
      </c>
      <c r="F9">
        <v>17018394</v>
      </c>
      <c r="G9">
        <v>87301962.528556302</v>
      </c>
      <c r="H9">
        <v>1.1197977819573381</v>
      </c>
      <c r="I9">
        <v>571714.7956102821</v>
      </c>
      <c r="M9" s="6">
        <v>0.95937474988088511</v>
      </c>
      <c r="N9" s="6">
        <v>1.1000000000000001</v>
      </c>
      <c r="O9">
        <v>628886.27517131041</v>
      </c>
      <c r="P9" s="6">
        <v>1.25</v>
      </c>
      <c r="Q9">
        <v>1.3</v>
      </c>
      <c r="R9">
        <v>817552.15772270353</v>
      </c>
      <c r="S9" s="6">
        <v>15</v>
      </c>
      <c r="U9" s="6">
        <v>1.4081632653061225</v>
      </c>
      <c r="V9">
        <v>1.3</v>
      </c>
      <c r="W9">
        <v>1062817.8050395146</v>
      </c>
      <c r="X9">
        <v>195000</v>
      </c>
      <c r="Y9">
        <v>1257817.8050395146</v>
      </c>
    </row>
    <row r="10" spans="1:25">
      <c r="A10" t="s">
        <v>93</v>
      </c>
      <c r="B10" t="s">
        <v>94</v>
      </c>
      <c r="C10" t="s">
        <v>7</v>
      </c>
      <c r="D10" t="s">
        <v>70</v>
      </c>
      <c r="E10">
        <v>137476715</v>
      </c>
      <c r="F10">
        <v>16673292</v>
      </c>
      <c r="G10">
        <v>57744678.241610035</v>
      </c>
      <c r="H10">
        <v>1.01132588800051</v>
      </c>
      <c r="I10">
        <v>505863.955133754</v>
      </c>
      <c r="M10" s="6">
        <v>0.81101657811058137</v>
      </c>
      <c r="N10" s="6">
        <v>1</v>
      </c>
      <c r="O10">
        <v>505863.955133754</v>
      </c>
      <c r="P10" s="6">
        <v>0.8</v>
      </c>
      <c r="Q10">
        <v>1</v>
      </c>
      <c r="R10">
        <v>556450.35064712947</v>
      </c>
      <c r="S10" s="6">
        <v>6</v>
      </c>
      <c r="U10" s="6">
        <v>0.80645161290322576</v>
      </c>
      <c r="V10">
        <v>0.9</v>
      </c>
      <c r="W10">
        <v>500805.31558241654</v>
      </c>
      <c r="X10">
        <v>60000</v>
      </c>
      <c r="Y10">
        <v>560805.31558241649</v>
      </c>
    </row>
    <row r="11" spans="1:25">
      <c r="A11" t="s">
        <v>95</v>
      </c>
      <c r="B11" t="s">
        <v>96</v>
      </c>
      <c r="C11" t="s">
        <v>13</v>
      </c>
      <c r="D11" t="s">
        <v>76</v>
      </c>
      <c r="E11">
        <v>130262943</v>
      </c>
      <c r="F11">
        <v>15644148</v>
      </c>
      <c r="G11">
        <v>87301962.528556302</v>
      </c>
      <c r="H11">
        <v>1.1197977819573381</v>
      </c>
      <c r="I11">
        <v>525548.46693036985</v>
      </c>
      <c r="M11" s="6">
        <v>0.95937474988088511</v>
      </c>
      <c r="N11" s="6">
        <v>1.1000000000000001</v>
      </c>
      <c r="O11">
        <v>578103.31362340692</v>
      </c>
      <c r="P11" s="6">
        <v>1.25</v>
      </c>
      <c r="Q11">
        <v>1.3</v>
      </c>
      <c r="R11">
        <v>751534.30771042907</v>
      </c>
      <c r="S11" s="6">
        <v>15</v>
      </c>
      <c r="U11" s="6">
        <v>1.4081632653061225</v>
      </c>
      <c r="V11">
        <v>1.3</v>
      </c>
      <c r="W11">
        <v>976994.60002355778</v>
      </c>
      <c r="X11">
        <v>195000</v>
      </c>
      <c r="Y11">
        <v>1171994.6000235579</v>
      </c>
    </row>
    <row r="12" spans="1:25">
      <c r="A12" t="s">
        <v>97</v>
      </c>
      <c r="B12" t="s">
        <v>98</v>
      </c>
      <c r="C12" t="s">
        <v>7</v>
      </c>
      <c r="D12" t="s">
        <v>70</v>
      </c>
      <c r="E12">
        <v>83264287</v>
      </c>
      <c r="F12">
        <v>10974130</v>
      </c>
      <c r="G12">
        <v>57744678.241610035</v>
      </c>
      <c r="H12">
        <v>1.01132588800051</v>
      </c>
      <c r="I12">
        <v>332952.65301849111</v>
      </c>
      <c r="M12" s="28">
        <v>0.81101657811058137</v>
      </c>
      <c r="N12" s="28">
        <v>1</v>
      </c>
      <c r="O12">
        <v>332952.65301849111</v>
      </c>
      <c r="P12" s="6">
        <v>0.8</v>
      </c>
      <c r="Q12">
        <v>1</v>
      </c>
      <c r="R12">
        <v>366247.91832034028</v>
      </c>
      <c r="S12" s="6">
        <v>4</v>
      </c>
      <c r="U12" s="6">
        <v>0.80645161290322576</v>
      </c>
      <c r="V12">
        <v>0.9</v>
      </c>
      <c r="W12">
        <v>329623.12648830627</v>
      </c>
      <c r="X12">
        <v>40000</v>
      </c>
      <c r="Y12">
        <v>369623.12648830627</v>
      </c>
    </row>
    <row r="13" spans="1:25">
      <c r="A13" t="s">
        <v>99</v>
      </c>
      <c r="B13" t="s">
        <v>100</v>
      </c>
      <c r="C13" t="s">
        <v>3</v>
      </c>
      <c r="D13" t="s">
        <v>66</v>
      </c>
      <c r="E13">
        <v>34468177</v>
      </c>
      <c r="F13">
        <v>4742584</v>
      </c>
      <c r="G13">
        <v>16320468.22410278</v>
      </c>
      <c r="H13">
        <v>0.85057718990553988</v>
      </c>
      <c r="I13">
        <v>121018.01314832924</v>
      </c>
      <c r="M13" s="6">
        <v>0.92478402298843354</v>
      </c>
      <c r="N13" s="6">
        <v>1.1000000000000001</v>
      </c>
      <c r="O13">
        <v>133119.81446316218</v>
      </c>
      <c r="P13" s="6">
        <v>0</v>
      </c>
      <c r="Q13">
        <v>0.5</v>
      </c>
      <c r="R13">
        <v>66559.907231581092</v>
      </c>
      <c r="S13" s="6">
        <v>2</v>
      </c>
      <c r="U13" s="6">
        <v>0.3</v>
      </c>
      <c r="V13">
        <v>0.5</v>
      </c>
      <c r="W13">
        <v>33279.953615790546</v>
      </c>
      <c r="X13">
        <v>0</v>
      </c>
      <c r="Y13">
        <v>33279.953615790546</v>
      </c>
    </row>
    <row r="14" spans="1:25">
      <c r="A14" t="s">
        <v>101</v>
      </c>
      <c r="B14" t="s">
        <v>102</v>
      </c>
      <c r="C14" t="s">
        <v>12</v>
      </c>
      <c r="D14" t="s">
        <v>75</v>
      </c>
      <c r="E14">
        <v>49449541</v>
      </c>
      <c r="F14">
        <v>5905182</v>
      </c>
      <c r="G14">
        <v>15898858.846055923</v>
      </c>
      <c r="H14">
        <v>0.96890935061175498</v>
      </c>
      <c r="I14">
        <v>171647.58170592671</v>
      </c>
      <c r="M14" s="6">
        <v>0.7476877362444454</v>
      </c>
      <c r="N14" s="6">
        <v>0.9</v>
      </c>
      <c r="O14">
        <v>154482.82353533406</v>
      </c>
      <c r="P14" s="6">
        <v>0</v>
      </c>
      <c r="Q14">
        <v>0.5</v>
      </c>
      <c r="R14">
        <v>77241.411767667028</v>
      </c>
      <c r="S14" s="6">
        <v>1</v>
      </c>
      <c r="U14" s="6">
        <v>0.36363636363636365</v>
      </c>
      <c r="V14">
        <v>0.5</v>
      </c>
      <c r="W14">
        <v>38620.705883833514</v>
      </c>
      <c r="X14">
        <v>0</v>
      </c>
      <c r="Y14">
        <v>38620.705883833514</v>
      </c>
    </row>
    <row r="15" spans="1:25">
      <c r="A15" t="s">
        <v>103</v>
      </c>
      <c r="B15" t="s">
        <v>104</v>
      </c>
      <c r="C15" t="s">
        <v>2</v>
      </c>
      <c r="D15" t="s">
        <v>65</v>
      </c>
      <c r="E15">
        <v>47704271</v>
      </c>
      <c r="F15">
        <v>6435676</v>
      </c>
      <c r="G15">
        <v>21643788.410051506</v>
      </c>
      <c r="H15">
        <v>0.9066751914321316</v>
      </c>
      <c r="I15">
        <v>175052.03307885525</v>
      </c>
      <c r="M15" s="6">
        <v>0.59098396835374933</v>
      </c>
      <c r="N15" s="6">
        <v>0.7</v>
      </c>
      <c r="O15">
        <v>122536.42315519867</v>
      </c>
      <c r="P15" s="6">
        <v>0.5714285714285714</v>
      </c>
      <c r="Q15">
        <v>0.7</v>
      </c>
      <c r="R15">
        <v>85775.496208639073</v>
      </c>
      <c r="S15" s="6">
        <v>1</v>
      </c>
      <c r="U15" s="6">
        <v>0.88888888888888884</v>
      </c>
      <c r="V15">
        <v>0.9</v>
      </c>
      <c r="W15">
        <v>77197.946587775165</v>
      </c>
      <c r="X15">
        <v>10000</v>
      </c>
      <c r="Y15">
        <v>87197.946587775165</v>
      </c>
    </row>
    <row r="16" spans="1:25">
      <c r="A16" t="s">
        <v>105</v>
      </c>
      <c r="B16" t="s">
        <v>106</v>
      </c>
      <c r="C16" t="s">
        <v>0</v>
      </c>
      <c r="D16" t="s">
        <v>63</v>
      </c>
      <c r="E16">
        <v>80340352</v>
      </c>
      <c r="F16">
        <v>10671327</v>
      </c>
      <c r="G16">
        <v>72986149.512171745</v>
      </c>
      <c r="H16">
        <v>0.83297983804257525</v>
      </c>
      <c r="I16">
        <v>266670.00708478084</v>
      </c>
      <c r="M16" s="6">
        <v>1.2175660421756072</v>
      </c>
      <c r="N16" s="6">
        <v>1.3</v>
      </c>
      <c r="O16">
        <v>346671.00921021512</v>
      </c>
      <c r="P16" s="6">
        <v>1</v>
      </c>
      <c r="Q16">
        <v>1.2</v>
      </c>
      <c r="R16">
        <v>416005.21105225815</v>
      </c>
      <c r="S16" s="6">
        <v>4</v>
      </c>
      <c r="U16" s="6">
        <v>0.57777777777777772</v>
      </c>
      <c r="V16">
        <v>0.5</v>
      </c>
      <c r="W16">
        <v>208002.60552612907</v>
      </c>
      <c r="X16">
        <v>0</v>
      </c>
      <c r="Y16">
        <v>208002.60552612907</v>
      </c>
    </row>
    <row r="17" spans="1:25">
      <c r="A17" t="s">
        <v>107</v>
      </c>
      <c r="B17" t="s">
        <v>108</v>
      </c>
      <c r="C17" t="s">
        <v>11</v>
      </c>
      <c r="D17" t="s">
        <v>74</v>
      </c>
      <c r="E17">
        <v>70421657</v>
      </c>
      <c r="F17">
        <v>7923342</v>
      </c>
      <c r="G17">
        <v>25549302.1310887</v>
      </c>
      <c r="H17">
        <v>1.1697310105247292</v>
      </c>
      <c r="I17">
        <v>278045.36533179082</v>
      </c>
      <c r="M17" s="6">
        <v>0.80402708699665915</v>
      </c>
      <c r="N17" s="6">
        <v>1</v>
      </c>
      <c r="O17">
        <v>278045.36533179082</v>
      </c>
      <c r="P17" s="6">
        <v>0.8571428571428571</v>
      </c>
      <c r="Q17">
        <v>1</v>
      </c>
      <c r="R17">
        <v>361458.97493132809</v>
      </c>
      <c r="S17" s="6">
        <v>7</v>
      </c>
      <c r="U17" s="6">
        <v>1.2</v>
      </c>
      <c r="V17">
        <v>1.3</v>
      </c>
      <c r="W17">
        <v>469896.66741072654</v>
      </c>
      <c r="X17">
        <v>91000</v>
      </c>
      <c r="Y17">
        <v>560896.66741072654</v>
      </c>
    </row>
    <row r="18" spans="1:25">
      <c r="A18" t="s">
        <v>109</v>
      </c>
      <c r="B18" t="s">
        <v>110</v>
      </c>
      <c r="C18" t="s">
        <v>7</v>
      </c>
      <c r="D18" t="s">
        <v>70</v>
      </c>
      <c r="E18">
        <v>124883137</v>
      </c>
      <c r="F18">
        <v>15451133</v>
      </c>
      <c r="G18">
        <v>57744678.241610035</v>
      </c>
      <c r="H18">
        <v>1.01132588800051</v>
      </c>
      <c r="I18">
        <v>468783.92405516951</v>
      </c>
      <c r="M18" s="28">
        <v>0.81101657811058137</v>
      </c>
      <c r="N18" s="28">
        <v>1</v>
      </c>
      <c r="O18">
        <v>468783.92405516951</v>
      </c>
      <c r="P18" s="6">
        <v>0.8</v>
      </c>
      <c r="Q18">
        <v>1</v>
      </c>
      <c r="R18">
        <v>609419.10127172037</v>
      </c>
      <c r="S18" s="6">
        <v>4</v>
      </c>
      <c r="U18" s="6">
        <v>0.80645161290322576</v>
      </c>
      <c r="V18">
        <v>0.9</v>
      </c>
      <c r="W18">
        <v>548477.19114454836</v>
      </c>
      <c r="X18">
        <v>40000</v>
      </c>
      <c r="Y18">
        <v>588477.19114454836</v>
      </c>
    </row>
    <row r="19" spans="1:25">
      <c r="A19" t="s">
        <v>111</v>
      </c>
      <c r="B19" t="s">
        <v>112</v>
      </c>
      <c r="C19" t="s">
        <v>3</v>
      </c>
      <c r="D19" t="s">
        <v>66</v>
      </c>
      <c r="E19">
        <v>33663272</v>
      </c>
      <c r="F19">
        <v>4592357</v>
      </c>
      <c r="G19">
        <v>16320468.22410278</v>
      </c>
      <c r="H19">
        <v>0.85057718990553988</v>
      </c>
      <c r="I19">
        <v>117184.62336309106</v>
      </c>
      <c r="M19" s="6">
        <v>0.92478402298843354</v>
      </c>
      <c r="N19" s="6">
        <v>1.1000000000000001</v>
      </c>
      <c r="O19">
        <v>128903.08569940018</v>
      </c>
      <c r="P19" s="6">
        <v>0</v>
      </c>
      <c r="Q19">
        <v>0.5</v>
      </c>
      <c r="R19">
        <v>64451.54284970009</v>
      </c>
      <c r="S19" s="6">
        <v>0</v>
      </c>
      <c r="U19" s="6">
        <v>0.3</v>
      </c>
      <c r="V19">
        <v>0.5</v>
      </c>
      <c r="W19">
        <v>32225.771424850045</v>
      </c>
      <c r="X19">
        <v>0</v>
      </c>
      <c r="Y19">
        <v>32225.771424850045</v>
      </c>
    </row>
    <row r="20" spans="1:25">
      <c r="A20" t="s">
        <v>113</v>
      </c>
      <c r="B20" t="s">
        <v>114</v>
      </c>
      <c r="C20" t="s">
        <v>0</v>
      </c>
      <c r="D20" t="s">
        <v>63</v>
      </c>
      <c r="E20">
        <v>78513265</v>
      </c>
      <c r="F20">
        <v>11071384</v>
      </c>
      <c r="G20">
        <v>72986149.512171745</v>
      </c>
      <c r="H20">
        <v>0.83297983804257525</v>
      </c>
      <c r="I20">
        <v>276667.18953681475</v>
      </c>
      <c r="M20" s="6">
        <v>1.2175660421756072</v>
      </c>
      <c r="N20" s="6">
        <v>1.3</v>
      </c>
      <c r="O20">
        <v>359667.34639785922</v>
      </c>
      <c r="P20" s="6">
        <v>1</v>
      </c>
      <c r="Q20">
        <v>1.2</v>
      </c>
      <c r="R20">
        <v>431600.81567743106</v>
      </c>
      <c r="S20" s="6">
        <v>4</v>
      </c>
      <c r="U20" s="6">
        <v>0.57777777777777772</v>
      </c>
      <c r="V20">
        <v>0.5</v>
      </c>
      <c r="W20">
        <v>215800.40783871553</v>
      </c>
      <c r="X20">
        <v>0</v>
      </c>
      <c r="Y20">
        <v>215800.40783871553</v>
      </c>
    </row>
    <row r="21" spans="1:25">
      <c r="A21" t="s">
        <v>115</v>
      </c>
      <c r="B21" t="s">
        <v>116</v>
      </c>
      <c r="C21" t="s">
        <v>7</v>
      </c>
      <c r="D21" t="s">
        <v>70</v>
      </c>
      <c r="E21">
        <v>115029636</v>
      </c>
      <c r="F21">
        <v>14990179</v>
      </c>
      <c r="G21">
        <v>57744678.241610035</v>
      </c>
      <c r="H21">
        <v>1.01132588800051</v>
      </c>
      <c r="I21">
        <v>454798.68265384791</v>
      </c>
      <c r="M21" s="6">
        <v>0.81101657811058137</v>
      </c>
      <c r="N21" s="6">
        <v>1</v>
      </c>
      <c r="O21">
        <v>454798.68265384791</v>
      </c>
      <c r="P21" s="6">
        <v>0.8</v>
      </c>
      <c r="Q21">
        <v>1</v>
      </c>
      <c r="R21">
        <v>591238.28745000227</v>
      </c>
      <c r="S21" s="6">
        <v>9</v>
      </c>
      <c r="U21" s="6">
        <v>0.80645161290322576</v>
      </c>
      <c r="V21">
        <v>0.9</v>
      </c>
      <c r="W21">
        <v>532114.45870500209</v>
      </c>
      <c r="X21">
        <v>90000</v>
      </c>
      <c r="Y21">
        <v>622114.45870500209</v>
      </c>
    </row>
    <row r="22" spans="1:25">
      <c r="A22" t="s">
        <v>117</v>
      </c>
      <c r="B22" t="s">
        <v>118</v>
      </c>
      <c r="C22" t="s">
        <v>13</v>
      </c>
      <c r="D22" t="s">
        <v>76</v>
      </c>
      <c r="E22">
        <v>136862592</v>
      </c>
      <c r="F22">
        <v>17451628</v>
      </c>
      <c r="G22">
        <v>87301962.528556302</v>
      </c>
      <c r="H22">
        <v>1.1197977819573381</v>
      </c>
      <c r="I22">
        <v>586268.82977833727</v>
      </c>
      <c r="M22" s="6">
        <v>0.95937474988088511</v>
      </c>
      <c r="N22" s="6">
        <v>1.1000000000000001</v>
      </c>
      <c r="O22">
        <v>644895.71275617101</v>
      </c>
      <c r="P22" s="6">
        <v>1.25</v>
      </c>
      <c r="Q22">
        <v>1.3</v>
      </c>
      <c r="R22">
        <v>838364.42658302234</v>
      </c>
      <c r="S22" s="6">
        <v>7</v>
      </c>
      <c r="U22" s="6">
        <v>1.4081632653061225</v>
      </c>
      <c r="V22">
        <v>1.3</v>
      </c>
      <c r="W22">
        <v>1089873.754557929</v>
      </c>
      <c r="X22">
        <v>91000</v>
      </c>
      <c r="Y22">
        <v>1180873.754557929</v>
      </c>
    </row>
    <row r="23" spans="1:25">
      <c r="A23" t="s">
        <v>119</v>
      </c>
      <c r="B23" t="s">
        <v>120</v>
      </c>
      <c r="C23" t="s">
        <v>8</v>
      </c>
      <c r="D23" t="s">
        <v>71</v>
      </c>
      <c r="E23">
        <v>89389761</v>
      </c>
      <c r="F23">
        <v>10767001</v>
      </c>
      <c r="G23">
        <v>26052395.170570899</v>
      </c>
      <c r="H23">
        <v>1.1197535508348706</v>
      </c>
      <c r="I23">
        <v>361691.62804777804</v>
      </c>
      <c r="M23" s="6">
        <v>0.78506018286306867</v>
      </c>
      <c r="N23" s="6">
        <v>0.9</v>
      </c>
      <c r="O23">
        <v>325522.46524300025</v>
      </c>
      <c r="P23" s="6">
        <v>0.2857142857142857</v>
      </c>
      <c r="Q23">
        <v>0.5</v>
      </c>
      <c r="R23">
        <v>162761.23262150012</v>
      </c>
      <c r="S23" s="6">
        <v>14</v>
      </c>
      <c r="U23" s="6">
        <v>2.4166666666666665</v>
      </c>
      <c r="V23">
        <v>1.3</v>
      </c>
      <c r="W23">
        <v>211589.60240795018</v>
      </c>
      <c r="X23">
        <v>182000</v>
      </c>
      <c r="Y23">
        <v>393589.60240795021</v>
      </c>
    </row>
    <row r="24" spans="1:25">
      <c r="A24" t="s">
        <v>121</v>
      </c>
      <c r="B24" t="s">
        <v>122</v>
      </c>
      <c r="C24" t="s">
        <v>5</v>
      </c>
      <c r="D24" t="s">
        <v>68</v>
      </c>
      <c r="E24">
        <v>100905128</v>
      </c>
      <c r="F24">
        <v>12976000</v>
      </c>
      <c r="G24">
        <v>55795426.154436417</v>
      </c>
      <c r="H24">
        <v>1.0904992970496756</v>
      </c>
      <c r="I24">
        <v>424509.56635549775</v>
      </c>
      <c r="M24" s="6">
        <v>0.85616251036890245</v>
      </c>
      <c r="N24" s="6">
        <v>1</v>
      </c>
      <c r="O24">
        <v>424509.56635549775</v>
      </c>
      <c r="P24" s="6">
        <v>1.1666666666666667</v>
      </c>
      <c r="Q24">
        <v>1.3</v>
      </c>
      <c r="R24">
        <v>496676.19263593236</v>
      </c>
      <c r="S24" s="6">
        <v>7</v>
      </c>
      <c r="U24" s="6">
        <v>0.90909090909090906</v>
      </c>
      <c r="V24">
        <v>1</v>
      </c>
      <c r="W24">
        <v>496676.19263593236</v>
      </c>
      <c r="X24">
        <v>70000</v>
      </c>
      <c r="Y24">
        <v>566676.19263593236</v>
      </c>
    </row>
    <row r="25" spans="1:25">
      <c r="A25" t="s">
        <v>123</v>
      </c>
      <c r="B25" t="s">
        <v>124</v>
      </c>
      <c r="C25" t="s">
        <v>13</v>
      </c>
      <c r="D25" t="s">
        <v>76</v>
      </c>
      <c r="E25">
        <v>122539317</v>
      </c>
      <c r="F25">
        <v>14696019</v>
      </c>
      <c r="G25">
        <v>87301962.528556302</v>
      </c>
      <c r="H25">
        <v>1.1197977819573381</v>
      </c>
      <c r="I25">
        <v>493697.08439408697</v>
      </c>
      <c r="M25" s="6">
        <v>0.95937474988088511</v>
      </c>
      <c r="N25" s="6">
        <v>1.1000000000000001</v>
      </c>
      <c r="O25">
        <v>543066.79283349565</v>
      </c>
      <c r="P25" s="6">
        <v>1.25</v>
      </c>
      <c r="Q25">
        <v>1.3</v>
      </c>
      <c r="R25">
        <v>705986.83068354439</v>
      </c>
      <c r="S25" s="6">
        <v>6</v>
      </c>
      <c r="U25" s="6">
        <v>1.4081632653061225</v>
      </c>
      <c r="V25">
        <v>1.3</v>
      </c>
      <c r="W25">
        <v>917782.87988860777</v>
      </c>
      <c r="X25">
        <v>78000</v>
      </c>
      <c r="Y25">
        <v>995782.87988860777</v>
      </c>
    </row>
    <row r="26" spans="1:25">
      <c r="A26" t="s">
        <v>125</v>
      </c>
      <c r="B26" t="s">
        <v>126</v>
      </c>
      <c r="C26" t="s">
        <v>4</v>
      </c>
      <c r="D26" t="s">
        <v>67</v>
      </c>
      <c r="E26">
        <v>44921103</v>
      </c>
      <c r="F26">
        <v>6785996</v>
      </c>
      <c r="G26">
        <v>33864471.888990559</v>
      </c>
      <c r="H26">
        <v>0.78253158906090114</v>
      </c>
      <c r="I26">
        <v>0</v>
      </c>
      <c r="M26" s="6">
        <v>1.059063837414508</v>
      </c>
      <c r="N26" s="6">
        <v>1.2</v>
      </c>
      <c r="O26">
        <v>0</v>
      </c>
      <c r="P26" s="6">
        <v>0.7142857142857143</v>
      </c>
      <c r="Q26">
        <v>0.9</v>
      </c>
      <c r="R26">
        <v>0</v>
      </c>
      <c r="S26" s="6">
        <v>5</v>
      </c>
      <c r="U26" s="6">
        <v>0.5</v>
      </c>
      <c r="V26">
        <v>0.5</v>
      </c>
      <c r="W26">
        <v>0</v>
      </c>
      <c r="X26">
        <v>0</v>
      </c>
      <c r="Y26">
        <v>0</v>
      </c>
    </row>
    <row r="27" spans="1:25">
      <c r="A27" t="s">
        <v>127</v>
      </c>
      <c r="B27" t="s">
        <v>128</v>
      </c>
      <c r="C27" t="s">
        <v>1</v>
      </c>
      <c r="D27" t="s">
        <v>64</v>
      </c>
      <c r="E27">
        <v>65146180</v>
      </c>
      <c r="F27">
        <v>7981746</v>
      </c>
      <c r="G27">
        <v>38297651.209154978</v>
      </c>
      <c r="H27">
        <v>0.8872716975362982</v>
      </c>
      <c r="I27">
        <v>212459.31968170675</v>
      </c>
      <c r="M27" s="6">
        <v>0.86369759742180185</v>
      </c>
      <c r="N27" s="6">
        <v>1</v>
      </c>
      <c r="O27">
        <v>212459.31968170675</v>
      </c>
      <c r="P27" s="6">
        <v>0.5714285714285714</v>
      </c>
      <c r="Q27">
        <v>0.7</v>
      </c>
      <c r="R27">
        <v>178465.82853263366</v>
      </c>
      <c r="S27" s="6">
        <v>3</v>
      </c>
      <c r="U27" s="6">
        <v>0.52</v>
      </c>
      <c r="V27">
        <v>0.5</v>
      </c>
      <c r="W27">
        <v>89232.914266316831</v>
      </c>
      <c r="X27">
        <v>0</v>
      </c>
      <c r="Y27">
        <v>89232.914266316831</v>
      </c>
    </row>
    <row r="28" spans="1:25">
      <c r="A28" t="s">
        <v>129</v>
      </c>
      <c r="B28" t="s">
        <v>130</v>
      </c>
      <c r="C28" t="s">
        <v>2</v>
      </c>
      <c r="D28" t="s">
        <v>65</v>
      </c>
      <c r="E28">
        <v>55758749</v>
      </c>
      <c r="F28">
        <v>6420835</v>
      </c>
      <c r="G28">
        <v>21643788.410051506</v>
      </c>
      <c r="H28">
        <v>0.9066751914321316</v>
      </c>
      <c r="I28">
        <v>174648.35408337391</v>
      </c>
      <c r="M28" s="6">
        <v>0.59098396835374933</v>
      </c>
      <c r="N28" s="6">
        <v>0.7</v>
      </c>
      <c r="O28">
        <v>122253.84785836173</v>
      </c>
      <c r="P28" s="6">
        <v>0.5714285714285714</v>
      </c>
      <c r="Q28">
        <v>0.7</v>
      </c>
      <c r="R28">
        <v>85577.693500853202</v>
      </c>
      <c r="S28" s="6">
        <v>1</v>
      </c>
      <c r="U28" s="6">
        <v>0.88888888888888884</v>
      </c>
      <c r="V28">
        <v>0.9</v>
      </c>
      <c r="W28">
        <v>77019.924150767882</v>
      </c>
      <c r="X28">
        <v>10000</v>
      </c>
      <c r="Y28">
        <v>87019.924150767882</v>
      </c>
    </row>
    <row r="29" spans="1:25">
      <c r="A29" t="s">
        <v>131</v>
      </c>
      <c r="B29" t="s">
        <v>132</v>
      </c>
      <c r="C29" t="s">
        <v>9</v>
      </c>
      <c r="D29" t="s">
        <v>72</v>
      </c>
      <c r="E29">
        <v>112778494</v>
      </c>
      <c r="F29">
        <v>14784657</v>
      </c>
      <c r="G29">
        <v>56982086.869893089</v>
      </c>
      <c r="H29">
        <v>0.93348146622731443</v>
      </c>
      <c r="I29">
        <v>414036.0988208378</v>
      </c>
      <c r="M29" s="6">
        <v>1.2294326261300423</v>
      </c>
      <c r="N29" s="6">
        <v>1.3</v>
      </c>
      <c r="O29">
        <v>538246.92846708919</v>
      </c>
      <c r="P29" s="6">
        <v>1.1000000000000001</v>
      </c>
      <c r="Q29">
        <v>1.3</v>
      </c>
      <c r="R29">
        <v>699721.00700721599</v>
      </c>
      <c r="S29" s="6">
        <v>6</v>
      </c>
      <c r="U29" s="6">
        <v>0.70588235294117652</v>
      </c>
      <c r="V29">
        <v>0.8</v>
      </c>
      <c r="W29">
        <v>559776.80560577277</v>
      </c>
      <c r="X29">
        <v>30000</v>
      </c>
      <c r="Y29">
        <v>589776.80560577277</v>
      </c>
    </row>
    <row r="30" spans="1:25">
      <c r="A30" t="s">
        <v>133</v>
      </c>
      <c r="B30" t="s">
        <v>134</v>
      </c>
      <c r="C30" t="s">
        <v>6</v>
      </c>
      <c r="D30" t="s">
        <v>69</v>
      </c>
      <c r="E30">
        <v>76037244</v>
      </c>
      <c r="F30">
        <v>9140611</v>
      </c>
      <c r="G30">
        <v>30353518.130827777</v>
      </c>
      <c r="H30">
        <v>1.0017735956978755</v>
      </c>
      <c r="I30">
        <v>274704.68245036661</v>
      </c>
      <c r="M30" s="6">
        <v>0.92603804448352367</v>
      </c>
      <c r="N30" s="6">
        <v>1.1000000000000001</v>
      </c>
      <c r="O30">
        <v>302175.15069540328</v>
      </c>
      <c r="P30" s="6">
        <v>0.5714285714285714</v>
      </c>
      <c r="Q30">
        <v>0.7</v>
      </c>
      <c r="R30">
        <v>211522.6054867823</v>
      </c>
      <c r="S30" s="6">
        <v>3</v>
      </c>
      <c r="U30" s="6">
        <v>0.52631578947368418</v>
      </c>
      <c r="V30">
        <v>0.5</v>
      </c>
      <c r="W30">
        <v>105761.30274339115</v>
      </c>
      <c r="X30">
        <v>0</v>
      </c>
      <c r="Y30">
        <v>105761.30274339115</v>
      </c>
    </row>
    <row r="31" spans="1:25">
      <c r="A31" t="s">
        <v>135</v>
      </c>
      <c r="B31" t="s">
        <v>136</v>
      </c>
      <c r="C31" t="s">
        <v>5</v>
      </c>
      <c r="D31" t="s">
        <v>68</v>
      </c>
      <c r="E31">
        <v>119898644</v>
      </c>
      <c r="F31">
        <v>14858667</v>
      </c>
      <c r="G31">
        <v>55795426.154436417</v>
      </c>
      <c r="H31">
        <v>1.0904992970496756</v>
      </c>
      <c r="I31">
        <v>486100.97755785641</v>
      </c>
      <c r="M31" s="6">
        <v>0.85616251036890245</v>
      </c>
      <c r="N31" s="6">
        <v>1</v>
      </c>
      <c r="O31">
        <v>486100.97755785641</v>
      </c>
      <c r="P31" s="6">
        <v>1.1666666666666667</v>
      </c>
      <c r="Q31">
        <v>1.3</v>
      </c>
      <c r="R31">
        <v>695124.39790773485</v>
      </c>
      <c r="S31" s="6">
        <v>6</v>
      </c>
      <c r="U31" s="6">
        <v>0.90909090909090906</v>
      </c>
      <c r="V31">
        <v>1</v>
      </c>
      <c r="W31">
        <v>695124.39790773485</v>
      </c>
      <c r="X31">
        <v>60000</v>
      </c>
      <c r="Y31">
        <v>755124.39790773485</v>
      </c>
    </row>
    <row r="32" spans="1:25">
      <c r="A32" t="s">
        <v>137</v>
      </c>
      <c r="B32" t="s">
        <v>138</v>
      </c>
      <c r="C32" t="s">
        <v>6</v>
      </c>
      <c r="D32" t="s">
        <v>69</v>
      </c>
      <c r="E32">
        <v>45189628</v>
      </c>
      <c r="F32">
        <v>5690928</v>
      </c>
      <c r="G32">
        <v>30353518.130827777</v>
      </c>
      <c r="H32">
        <v>1.0017735956978755</v>
      </c>
      <c r="I32">
        <v>171030.64216253159</v>
      </c>
      <c r="M32" s="6">
        <v>0.92603804448352367</v>
      </c>
      <c r="N32" s="6">
        <v>1.1000000000000001</v>
      </c>
      <c r="O32">
        <v>188133.70637878476</v>
      </c>
      <c r="P32" s="6">
        <v>0.5714285714285714</v>
      </c>
      <c r="Q32">
        <v>0.7</v>
      </c>
      <c r="R32">
        <v>131693.59446514933</v>
      </c>
      <c r="S32" s="6">
        <v>3</v>
      </c>
      <c r="U32" s="6">
        <v>0.52631578947368418</v>
      </c>
      <c r="V32">
        <v>0.5</v>
      </c>
      <c r="W32">
        <v>65846.797232574667</v>
      </c>
      <c r="X32">
        <v>0</v>
      </c>
      <c r="Y32">
        <v>65846.797232574667</v>
      </c>
    </row>
    <row r="33" spans="1:25">
      <c r="A33" t="s">
        <v>139</v>
      </c>
      <c r="B33" t="s">
        <v>140</v>
      </c>
      <c r="C33" t="s">
        <v>4</v>
      </c>
      <c r="D33" t="s">
        <v>67</v>
      </c>
      <c r="E33">
        <v>49065014</v>
      </c>
      <c r="F33">
        <v>6358271</v>
      </c>
      <c r="G33">
        <v>33864471.888990559</v>
      </c>
      <c r="H33">
        <v>0.78253158906090114</v>
      </c>
      <c r="I33">
        <v>0</v>
      </c>
      <c r="M33" s="6">
        <v>1.059063837414508</v>
      </c>
      <c r="N33" s="6">
        <v>1.2</v>
      </c>
      <c r="O33">
        <v>0</v>
      </c>
      <c r="P33" s="6">
        <v>0.7142857142857143</v>
      </c>
      <c r="Q33">
        <v>0.9</v>
      </c>
      <c r="R33">
        <v>0</v>
      </c>
      <c r="S33" s="6">
        <v>3</v>
      </c>
      <c r="U33" s="6">
        <v>0.5</v>
      </c>
      <c r="V33">
        <v>0.5</v>
      </c>
      <c r="W33">
        <v>0</v>
      </c>
      <c r="X33">
        <v>0</v>
      </c>
      <c r="Y33">
        <v>0</v>
      </c>
    </row>
    <row r="34" spans="1:25">
      <c r="A34" t="s">
        <v>141</v>
      </c>
      <c r="B34" t="s">
        <v>142</v>
      </c>
      <c r="C34" t="s">
        <v>6</v>
      </c>
      <c r="D34" t="s">
        <v>69</v>
      </c>
      <c r="E34">
        <v>68525127</v>
      </c>
      <c r="F34">
        <v>8532003</v>
      </c>
      <c r="G34">
        <v>30353518.130827777</v>
      </c>
      <c r="H34">
        <v>1.0017735956978755</v>
      </c>
      <c r="I34">
        <v>256414.05971445181</v>
      </c>
      <c r="M34" s="6">
        <v>0.92603804448352367</v>
      </c>
      <c r="N34" s="6">
        <v>1.1000000000000001</v>
      </c>
      <c r="O34">
        <v>282055.46568589704</v>
      </c>
      <c r="P34" s="6">
        <v>0.5714285714285714</v>
      </c>
      <c r="Q34">
        <v>0.7</v>
      </c>
      <c r="R34">
        <v>197438.82598012791</v>
      </c>
      <c r="S34" s="6">
        <v>2</v>
      </c>
      <c r="U34" s="6">
        <v>0.52631578947368418</v>
      </c>
      <c r="V34">
        <v>0.5</v>
      </c>
      <c r="W34">
        <v>98719.412990063953</v>
      </c>
      <c r="X34">
        <v>0</v>
      </c>
      <c r="Y34">
        <v>98719.412990063953</v>
      </c>
    </row>
    <row r="35" spans="1:25">
      <c r="A35" t="s">
        <v>143</v>
      </c>
      <c r="B35" t="s">
        <v>144</v>
      </c>
      <c r="C35" t="s">
        <v>10</v>
      </c>
      <c r="D35" t="s">
        <v>73</v>
      </c>
      <c r="E35">
        <v>78855281</v>
      </c>
      <c r="F35">
        <v>9341451</v>
      </c>
      <c r="G35">
        <v>22490620.400274407</v>
      </c>
      <c r="H35">
        <v>1.0547499614421738</v>
      </c>
      <c r="I35">
        <v>295586.85246191866</v>
      </c>
      <c r="M35" s="6">
        <v>0.84087482590462992</v>
      </c>
      <c r="N35" s="6">
        <v>1</v>
      </c>
      <c r="O35">
        <v>295586.85246191866</v>
      </c>
      <c r="P35" s="6">
        <v>0.2857142857142857</v>
      </c>
      <c r="Q35">
        <v>0.5</v>
      </c>
      <c r="R35">
        <v>162572.76885405529</v>
      </c>
      <c r="S35" s="6">
        <v>11</v>
      </c>
      <c r="U35" s="6">
        <v>1.0769230769230769</v>
      </c>
      <c r="V35">
        <v>1.1000000000000001</v>
      </c>
      <c r="W35">
        <v>178830.04573946082</v>
      </c>
      <c r="X35">
        <v>143000</v>
      </c>
      <c r="Y35">
        <v>321830.04573946085</v>
      </c>
    </row>
    <row r="36" spans="1:25">
      <c r="A36" t="s">
        <v>145</v>
      </c>
      <c r="B36" t="s">
        <v>146</v>
      </c>
      <c r="C36" t="s">
        <v>9</v>
      </c>
      <c r="D36" t="s">
        <v>72</v>
      </c>
      <c r="E36">
        <v>103530372</v>
      </c>
      <c r="F36">
        <v>13670419</v>
      </c>
      <c r="G36">
        <v>56982086.869893089</v>
      </c>
      <c r="H36">
        <v>0.93348146622731443</v>
      </c>
      <c r="I36">
        <v>382832.48316185211</v>
      </c>
      <c r="M36" s="6">
        <v>1.2294326261300423</v>
      </c>
      <c r="N36" s="6">
        <v>1.3</v>
      </c>
      <c r="O36">
        <v>497682.22811040777</v>
      </c>
      <c r="P36" s="6">
        <v>1.1000000000000001</v>
      </c>
      <c r="Q36">
        <v>1.3</v>
      </c>
      <c r="R36">
        <v>646986.89654353017</v>
      </c>
      <c r="S36" s="6">
        <v>6</v>
      </c>
      <c r="U36" s="6">
        <v>0.70588235294117652</v>
      </c>
      <c r="V36">
        <v>0.8</v>
      </c>
      <c r="W36">
        <v>517589.51723482413</v>
      </c>
      <c r="X36">
        <v>30000</v>
      </c>
      <c r="Y36">
        <v>547589.51723482413</v>
      </c>
    </row>
    <row r="37" spans="1:25">
      <c r="A37" t="s">
        <v>147</v>
      </c>
      <c r="B37" t="s">
        <v>148</v>
      </c>
      <c r="C37" t="s">
        <v>10</v>
      </c>
      <c r="D37" t="s">
        <v>73</v>
      </c>
      <c r="E37">
        <v>39241055</v>
      </c>
      <c r="F37">
        <v>5239451</v>
      </c>
      <c r="G37">
        <v>22490620.400274407</v>
      </c>
      <c r="H37">
        <v>1.0547499614421738</v>
      </c>
      <c r="I37">
        <v>165789.32220684478</v>
      </c>
      <c r="M37" s="6">
        <v>0.84087482590462992</v>
      </c>
      <c r="N37" s="6">
        <v>1</v>
      </c>
      <c r="O37">
        <v>165789.32220684478</v>
      </c>
      <c r="P37" s="6">
        <v>0.2857142857142857</v>
      </c>
      <c r="Q37">
        <v>0.5</v>
      </c>
      <c r="R37">
        <v>107763.05943444911</v>
      </c>
      <c r="S37" s="6">
        <v>1</v>
      </c>
      <c r="U37" s="6">
        <v>1.0769230769230769</v>
      </c>
      <c r="V37">
        <v>1.1000000000000001</v>
      </c>
      <c r="W37">
        <v>118539.36537789404</v>
      </c>
      <c r="X37">
        <v>13000</v>
      </c>
      <c r="Y37">
        <v>131539.36537789402</v>
      </c>
    </row>
    <row r="38" spans="1:25">
      <c r="A38" t="s">
        <v>149</v>
      </c>
      <c r="B38" t="s">
        <v>150</v>
      </c>
      <c r="C38" t="s">
        <v>4</v>
      </c>
      <c r="D38" t="s">
        <v>67</v>
      </c>
      <c r="E38">
        <v>50662288</v>
      </c>
      <c r="F38">
        <v>6823653</v>
      </c>
      <c r="G38">
        <v>33864471.888990559</v>
      </c>
      <c r="H38">
        <v>0.78253158906090114</v>
      </c>
      <c r="I38">
        <v>0</v>
      </c>
      <c r="M38" s="6">
        <v>1.059063837414508</v>
      </c>
      <c r="N38" s="6">
        <v>1.2</v>
      </c>
      <c r="O38">
        <v>0</v>
      </c>
      <c r="P38" s="6">
        <v>0.7142857142857143</v>
      </c>
      <c r="Q38">
        <v>0.9</v>
      </c>
      <c r="R38">
        <v>0</v>
      </c>
      <c r="S38" s="6">
        <v>3</v>
      </c>
      <c r="U38" s="6">
        <v>0.5</v>
      </c>
      <c r="V38">
        <v>0.5</v>
      </c>
      <c r="W38">
        <v>0</v>
      </c>
      <c r="X38">
        <v>0</v>
      </c>
      <c r="Y38">
        <v>0</v>
      </c>
    </row>
    <row r="39" spans="1:25">
      <c r="A39" t="s">
        <v>151</v>
      </c>
      <c r="B39" t="s">
        <v>152</v>
      </c>
      <c r="C39" t="s">
        <v>11</v>
      </c>
      <c r="D39" t="s">
        <v>74</v>
      </c>
      <c r="E39">
        <v>76639633</v>
      </c>
      <c r="F39">
        <v>9633295</v>
      </c>
      <c r="G39">
        <v>25549302.1310887</v>
      </c>
      <c r="H39">
        <v>1.1697310105247292</v>
      </c>
      <c r="I39">
        <v>338050.91685098462</v>
      </c>
      <c r="M39" s="6">
        <v>0.80402708699665915</v>
      </c>
      <c r="N39" s="6">
        <v>1</v>
      </c>
      <c r="O39">
        <v>338050.91685098462</v>
      </c>
      <c r="P39" s="6">
        <v>0.8571428571428571</v>
      </c>
      <c r="Q39">
        <v>1</v>
      </c>
      <c r="R39">
        <v>405661.10022118152</v>
      </c>
      <c r="S39" s="6">
        <v>5</v>
      </c>
      <c r="U39" s="6">
        <v>1.2</v>
      </c>
      <c r="V39">
        <v>1.3</v>
      </c>
      <c r="W39">
        <v>527359.430287536</v>
      </c>
      <c r="X39">
        <v>65000</v>
      </c>
      <c r="Y39">
        <v>592359.430287536</v>
      </c>
    </row>
    <row r="40" spans="1:25">
      <c r="A40" t="s">
        <v>153</v>
      </c>
      <c r="B40" t="s">
        <v>154</v>
      </c>
      <c r="C40" t="s">
        <v>0</v>
      </c>
      <c r="D40" t="s">
        <v>63</v>
      </c>
      <c r="E40">
        <v>80371664</v>
      </c>
      <c r="F40">
        <v>10919103</v>
      </c>
      <c r="G40">
        <v>72986149.512171745</v>
      </c>
      <c r="H40">
        <v>0.83297983804257525</v>
      </c>
      <c r="I40">
        <v>272861.77945530589</v>
      </c>
      <c r="M40" s="6">
        <v>1.2175660421756072</v>
      </c>
      <c r="N40" s="6">
        <v>1.3</v>
      </c>
      <c r="O40">
        <v>354720.31329189765</v>
      </c>
      <c r="P40" s="6">
        <v>1</v>
      </c>
      <c r="Q40">
        <v>1.2</v>
      </c>
      <c r="R40">
        <v>425664.37595027714</v>
      </c>
      <c r="S40" s="6">
        <v>6</v>
      </c>
      <c r="U40" s="6">
        <v>0.57777777777777772</v>
      </c>
      <c r="V40">
        <v>0.5</v>
      </c>
      <c r="W40">
        <v>212832.18797513857</v>
      </c>
      <c r="X40">
        <v>0</v>
      </c>
      <c r="Y40">
        <v>212832.18797513857</v>
      </c>
    </row>
    <row r="41" spans="1:25">
      <c r="A41" t="s">
        <v>155</v>
      </c>
      <c r="B41" t="s">
        <v>156</v>
      </c>
      <c r="C41" t="s">
        <v>6</v>
      </c>
      <c r="D41" t="s">
        <v>69</v>
      </c>
      <c r="E41">
        <v>55147481</v>
      </c>
      <c r="F41">
        <v>7043811</v>
      </c>
      <c r="G41">
        <v>30353518.130827777</v>
      </c>
      <c r="H41">
        <v>1.0017735956978755</v>
      </c>
      <c r="I41">
        <v>211689.11618658743</v>
      </c>
      <c r="M41" s="6">
        <v>0.92603804448352367</v>
      </c>
      <c r="N41" s="6">
        <v>1.1000000000000001</v>
      </c>
      <c r="O41">
        <v>232858.02780524618</v>
      </c>
      <c r="P41" s="6">
        <v>0.5714285714285714</v>
      </c>
      <c r="Q41">
        <v>0.7</v>
      </c>
      <c r="R41">
        <v>163000.61946367231</v>
      </c>
      <c r="S41" s="6">
        <v>2</v>
      </c>
      <c r="U41" s="6">
        <v>0.52631578947368418</v>
      </c>
      <c r="V41">
        <v>0.5</v>
      </c>
      <c r="W41">
        <v>81500.309731836154</v>
      </c>
      <c r="X41">
        <v>0</v>
      </c>
      <c r="Y41">
        <v>81500.309731836154</v>
      </c>
    </row>
    <row r="42" spans="1:25">
      <c r="A42" t="s">
        <v>157</v>
      </c>
      <c r="B42" t="s">
        <v>158</v>
      </c>
      <c r="C42" t="s">
        <v>4</v>
      </c>
      <c r="D42" t="s">
        <v>67</v>
      </c>
      <c r="E42">
        <v>48447140</v>
      </c>
      <c r="F42">
        <v>6532098</v>
      </c>
      <c r="G42">
        <v>33864471.888990559</v>
      </c>
      <c r="H42">
        <v>0.78253158906090114</v>
      </c>
      <c r="I42">
        <v>0</v>
      </c>
      <c r="M42" s="6">
        <v>1.059063837414508</v>
      </c>
      <c r="N42" s="6">
        <v>1.2</v>
      </c>
      <c r="O42">
        <v>0</v>
      </c>
      <c r="P42" s="6">
        <v>0.7142857142857143</v>
      </c>
      <c r="Q42">
        <v>0.9</v>
      </c>
      <c r="R42">
        <v>0</v>
      </c>
      <c r="S42" s="6">
        <v>1</v>
      </c>
      <c r="U42" s="6">
        <v>0.5</v>
      </c>
      <c r="V42">
        <v>0.5</v>
      </c>
      <c r="W42">
        <v>0</v>
      </c>
      <c r="X42">
        <v>0</v>
      </c>
      <c r="Y42">
        <v>0</v>
      </c>
    </row>
    <row r="43" spans="1:25">
      <c r="A43" t="s">
        <v>159</v>
      </c>
      <c r="B43" t="s">
        <v>160</v>
      </c>
      <c r="C43" t="s">
        <v>9</v>
      </c>
      <c r="D43" t="s">
        <v>72</v>
      </c>
      <c r="E43">
        <v>98049157</v>
      </c>
      <c r="F43">
        <v>13038054</v>
      </c>
      <c r="G43">
        <v>56982086.869893089</v>
      </c>
      <c r="H43">
        <v>0.93348146622731443</v>
      </c>
      <c r="I43">
        <v>365123.45294012706</v>
      </c>
      <c r="M43" s="6">
        <v>1.2294326261300423</v>
      </c>
      <c r="N43" s="6">
        <v>1.3</v>
      </c>
      <c r="O43">
        <v>474660.48882216518</v>
      </c>
      <c r="P43" s="6">
        <v>1.1000000000000001</v>
      </c>
      <c r="Q43">
        <v>1.3</v>
      </c>
      <c r="R43">
        <v>617058.63546881475</v>
      </c>
      <c r="S43" s="6">
        <v>8</v>
      </c>
      <c r="U43" s="6">
        <v>0.70588235294117652</v>
      </c>
      <c r="V43">
        <v>0.8</v>
      </c>
      <c r="W43">
        <v>493646.9083750518</v>
      </c>
      <c r="X43">
        <v>40000</v>
      </c>
      <c r="Y43">
        <v>533646.9083750518</v>
      </c>
    </row>
    <row r="44" spans="1:25">
      <c r="A44" t="s">
        <v>161</v>
      </c>
      <c r="B44" t="s">
        <v>162</v>
      </c>
      <c r="C44" t="s">
        <v>5</v>
      </c>
      <c r="D44" t="s">
        <v>68</v>
      </c>
      <c r="E44">
        <v>125372250</v>
      </c>
      <c r="F44">
        <v>16025565</v>
      </c>
      <c r="G44">
        <v>55795426.154436417</v>
      </c>
      <c r="H44">
        <v>1.0904992970496756</v>
      </c>
      <c r="I44">
        <v>524276.02101971651</v>
      </c>
      <c r="M44" s="6">
        <v>0.85616251036890245</v>
      </c>
      <c r="N44" s="6">
        <v>1</v>
      </c>
      <c r="O44">
        <v>524276.02101971651</v>
      </c>
      <c r="P44" s="6">
        <v>1.1666666666666667</v>
      </c>
      <c r="Q44">
        <v>1.3</v>
      </c>
      <c r="R44">
        <v>886026.47552332096</v>
      </c>
      <c r="S44" s="6">
        <v>5</v>
      </c>
      <c r="U44" s="6">
        <v>0.90909090909090906</v>
      </c>
      <c r="V44">
        <v>1</v>
      </c>
      <c r="W44">
        <v>886026.47552332096</v>
      </c>
      <c r="X44">
        <v>50000</v>
      </c>
      <c r="Y44">
        <v>936026.47552332096</v>
      </c>
    </row>
    <row r="45" spans="1:25">
      <c r="A45" t="s">
        <v>163</v>
      </c>
      <c r="B45" t="s">
        <v>164</v>
      </c>
      <c r="C45" t="s">
        <v>1</v>
      </c>
      <c r="D45" t="s">
        <v>64</v>
      </c>
      <c r="E45">
        <v>68802226</v>
      </c>
      <c r="F45">
        <v>8837284</v>
      </c>
      <c r="G45">
        <v>38297651.209154978</v>
      </c>
      <c r="H45">
        <v>0.8872716975362982</v>
      </c>
      <c r="I45">
        <v>235232.15928871103</v>
      </c>
      <c r="M45" s="6">
        <v>0.86369759742180185</v>
      </c>
      <c r="N45" s="6">
        <v>1</v>
      </c>
      <c r="O45">
        <v>235232.15928871103</v>
      </c>
      <c r="P45" s="6">
        <v>0.5714285714285714</v>
      </c>
      <c r="Q45">
        <v>0.7</v>
      </c>
      <c r="R45">
        <v>214061.26495272704</v>
      </c>
      <c r="S45" s="6">
        <v>3</v>
      </c>
      <c r="U45" s="6">
        <v>0.52</v>
      </c>
      <c r="V45">
        <v>0.5</v>
      </c>
      <c r="W45">
        <v>107030.63247636352</v>
      </c>
      <c r="X45">
        <v>0</v>
      </c>
      <c r="Y45">
        <v>107030.63247636352</v>
      </c>
    </row>
    <row r="46" spans="1:25">
      <c r="A46" t="s">
        <v>165</v>
      </c>
      <c r="B46" t="s">
        <v>166</v>
      </c>
      <c r="C46" t="s">
        <v>1</v>
      </c>
      <c r="D46" t="s">
        <v>64</v>
      </c>
      <c r="E46">
        <v>71265426</v>
      </c>
      <c r="F46">
        <v>9767462</v>
      </c>
      <c r="G46">
        <v>38297651.209154978</v>
      </c>
      <c r="H46">
        <v>0.8872716975362982</v>
      </c>
      <c r="I46">
        <v>259991.77768083857</v>
      </c>
      <c r="M46" s="6">
        <v>0.86369759742180185</v>
      </c>
      <c r="N46" s="6">
        <v>1</v>
      </c>
      <c r="O46">
        <v>259991.77768083857</v>
      </c>
      <c r="P46" s="6">
        <v>0.5714285714285714</v>
      </c>
      <c r="Q46">
        <v>0.7</v>
      </c>
      <c r="R46">
        <v>236592.5176895631</v>
      </c>
      <c r="S46" s="6">
        <v>4</v>
      </c>
      <c r="U46" s="6">
        <v>0.52</v>
      </c>
      <c r="V46">
        <v>0.5</v>
      </c>
      <c r="W46">
        <v>118296.25884478155</v>
      </c>
      <c r="X46">
        <v>0</v>
      </c>
      <c r="Y46">
        <v>118296.25884478155</v>
      </c>
    </row>
    <row r="47" spans="1:25">
      <c r="A47" t="s">
        <v>167</v>
      </c>
      <c r="B47" t="s">
        <v>168</v>
      </c>
      <c r="C47" t="s">
        <v>5</v>
      </c>
      <c r="D47" t="s">
        <v>68</v>
      </c>
      <c r="E47">
        <v>125166475</v>
      </c>
      <c r="F47">
        <v>16469092</v>
      </c>
      <c r="G47">
        <v>55795426.154436417</v>
      </c>
      <c r="H47">
        <v>1.0904992970496756</v>
      </c>
      <c r="I47">
        <v>538785.99747139309</v>
      </c>
      <c r="M47" s="6">
        <v>0.85616251036890245</v>
      </c>
      <c r="N47" s="6">
        <v>1</v>
      </c>
      <c r="O47">
        <v>538785.99747139309</v>
      </c>
      <c r="P47" s="6">
        <v>1.1666666666666667</v>
      </c>
      <c r="Q47">
        <v>1.3</v>
      </c>
      <c r="R47">
        <v>910548.33572665427</v>
      </c>
      <c r="S47" s="6">
        <v>11</v>
      </c>
      <c r="U47" s="6">
        <v>0.90909090909090906</v>
      </c>
      <c r="V47">
        <v>1</v>
      </c>
      <c r="W47">
        <v>910548.33572665427</v>
      </c>
      <c r="X47">
        <v>110000</v>
      </c>
      <c r="Y47">
        <v>1020548.3357266543</v>
      </c>
    </row>
    <row r="48" spans="1:25">
      <c r="A48" t="s">
        <v>169</v>
      </c>
      <c r="B48" t="s">
        <v>170</v>
      </c>
      <c r="C48" t="s">
        <v>10</v>
      </c>
      <c r="D48" t="s">
        <v>73</v>
      </c>
      <c r="E48">
        <v>72830603</v>
      </c>
      <c r="F48">
        <v>9141080</v>
      </c>
      <c r="G48">
        <v>22490620.400274407</v>
      </c>
      <c r="H48">
        <v>1.0547499614421738</v>
      </c>
      <c r="I48">
        <v>289246.61332619475</v>
      </c>
      <c r="M48" s="6">
        <v>0.84087482590462992</v>
      </c>
      <c r="N48" s="6">
        <v>1</v>
      </c>
      <c r="O48">
        <v>289246.61332619475</v>
      </c>
      <c r="P48" s="6">
        <v>0.2857142857142857</v>
      </c>
      <c r="Q48">
        <v>0.5</v>
      </c>
      <c r="R48">
        <v>188010.29866202659</v>
      </c>
      <c r="S48" s="6">
        <v>2</v>
      </c>
      <c r="U48" s="6">
        <v>1.0769230769230769</v>
      </c>
      <c r="V48">
        <v>1.1000000000000001</v>
      </c>
      <c r="W48">
        <v>206811.32852822926</v>
      </c>
      <c r="X48">
        <v>26000</v>
      </c>
      <c r="Y48">
        <v>232811.32852822926</v>
      </c>
    </row>
    <row r="49" spans="1:25">
      <c r="A49" t="s">
        <v>171</v>
      </c>
      <c r="B49" t="s">
        <v>172</v>
      </c>
      <c r="C49" t="s">
        <v>2</v>
      </c>
      <c r="D49" t="s">
        <v>65</v>
      </c>
      <c r="E49">
        <v>57402089</v>
      </c>
      <c r="F49">
        <v>6767375</v>
      </c>
      <c r="G49">
        <v>21643788.410051506</v>
      </c>
      <c r="H49">
        <v>0.9066751914321316</v>
      </c>
      <c r="I49">
        <v>184074.33070854066</v>
      </c>
      <c r="M49" s="6">
        <v>0.59098396835374933</v>
      </c>
      <c r="N49" s="6">
        <v>0.7</v>
      </c>
      <c r="O49">
        <v>128852.03149597844</v>
      </c>
      <c r="P49" s="6">
        <v>0.5714285714285714</v>
      </c>
      <c r="Q49">
        <v>0.7</v>
      </c>
      <c r="R49">
        <v>90196.422047184911</v>
      </c>
      <c r="S49" s="6">
        <v>6</v>
      </c>
      <c r="U49" s="6">
        <v>0.88888888888888884</v>
      </c>
      <c r="V49">
        <v>0.9</v>
      </c>
      <c r="W49">
        <v>81176.779842466422</v>
      </c>
      <c r="X49">
        <v>60000</v>
      </c>
      <c r="Y49">
        <v>141176.77984246641</v>
      </c>
    </row>
    <row r="50" spans="1:25">
      <c r="A50" t="s">
        <v>173</v>
      </c>
      <c r="B50" t="s">
        <v>174</v>
      </c>
      <c r="C50" t="s">
        <v>0</v>
      </c>
      <c r="D50" t="s">
        <v>63</v>
      </c>
      <c r="E50">
        <v>85514017</v>
      </c>
      <c r="F50">
        <v>11797707</v>
      </c>
      <c r="G50">
        <v>72986149.512171745</v>
      </c>
      <c r="H50">
        <v>0.83297983804257525</v>
      </c>
      <c r="I50">
        <v>294817.56198401266</v>
      </c>
      <c r="M50" s="6">
        <v>1.2175660421756072</v>
      </c>
      <c r="N50" s="6">
        <v>1.3</v>
      </c>
      <c r="O50">
        <v>383262.83057921648</v>
      </c>
      <c r="P50" s="6">
        <v>1</v>
      </c>
      <c r="Q50">
        <v>1.2</v>
      </c>
      <c r="R50">
        <v>459915.39669505978</v>
      </c>
      <c r="S50" s="6">
        <v>6</v>
      </c>
      <c r="U50" s="6">
        <v>0.57777777777777772</v>
      </c>
      <c r="V50">
        <v>0.5</v>
      </c>
      <c r="W50">
        <v>229957.69834752989</v>
      </c>
      <c r="X50">
        <v>0</v>
      </c>
      <c r="Y50">
        <v>229957.69834752989</v>
      </c>
    </row>
    <row r="51" spans="1:25">
      <c r="A51" t="s">
        <v>175</v>
      </c>
      <c r="B51" t="s">
        <v>176</v>
      </c>
      <c r="C51" t="s">
        <v>0</v>
      </c>
      <c r="D51" t="s">
        <v>63</v>
      </c>
      <c r="E51">
        <v>94595266</v>
      </c>
      <c r="F51">
        <v>12545848</v>
      </c>
      <c r="G51">
        <v>72986149.512171745</v>
      </c>
      <c r="H51">
        <v>0.83297983804257525</v>
      </c>
      <c r="I51">
        <v>313513.15305440302</v>
      </c>
      <c r="M51" s="6">
        <v>1.2175660421756072</v>
      </c>
      <c r="N51" s="6">
        <v>1.3</v>
      </c>
      <c r="O51">
        <v>407567.09897072392</v>
      </c>
      <c r="P51" s="6">
        <v>1</v>
      </c>
      <c r="Q51">
        <v>1.2</v>
      </c>
      <c r="R51">
        <v>489080.51876486867</v>
      </c>
      <c r="S51" s="6">
        <v>6</v>
      </c>
      <c r="U51" s="6">
        <v>0.57777777777777772</v>
      </c>
      <c r="V51">
        <v>0.5</v>
      </c>
      <c r="W51">
        <v>244540.25938243433</v>
      </c>
      <c r="X51">
        <v>0</v>
      </c>
      <c r="Y51">
        <v>244540.25938243433</v>
      </c>
    </row>
    <row r="52" spans="1:25">
      <c r="A52" t="s">
        <v>177</v>
      </c>
      <c r="B52" t="s">
        <v>178</v>
      </c>
      <c r="C52" t="s">
        <v>0</v>
      </c>
      <c r="D52" t="s">
        <v>63</v>
      </c>
      <c r="E52">
        <v>25585086</v>
      </c>
      <c r="F52">
        <v>3790623</v>
      </c>
      <c r="G52">
        <v>72986149.512171745</v>
      </c>
      <c r="H52">
        <v>0.83297983804257525</v>
      </c>
      <c r="I52">
        <v>94725.375978613825</v>
      </c>
      <c r="M52" s="6">
        <v>1.2175660421756072</v>
      </c>
      <c r="N52" s="6">
        <v>1.3</v>
      </c>
      <c r="O52">
        <v>123142.98877219798</v>
      </c>
      <c r="P52" s="6">
        <v>1</v>
      </c>
      <c r="Q52">
        <v>1.2</v>
      </c>
      <c r="U52" s="6">
        <v>0.57777777777777772</v>
      </c>
      <c r="V52">
        <v>0.5</v>
      </c>
    </row>
    <row r="53" spans="1:25">
      <c r="A53" t="s">
        <v>179</v>
      </c>
      <c r="B53" t="s">
        <v>180</v>
      </c>
      <c r="C53" t="s">
        <v>8</v>
      </c>
      <c r="D53" t="s">
        <v>71</v>
      </c>
      <c r="E53">
        <v>68847384</v>
      </c>
      <c r="F53">
        <v>8817260</v>
      </c>
      <c r="G53">
        <v>26052395.170570899</v>
      </c>
      <c r="H53">
        <v>1.1197535508348706</v>
      </c>
      <c r="I53">
        <v>296194.7458090281</v>
      </c>
      <c r="M53" s="6">
        <v>0.78506018286306867</v>
      </c>
      <c r="N53" s="6">
        <v>0.9</v>
      </c>
      <c r="O53">
        <v>266575.27122812532</v>
      </c>
      <c r="P53" s="6">
        <v>0.2857142857142857</v>
      </c>
      <c r="Q53">
        <v>0.5</v>
      </c>
      <c r="R53">
        <v>133287.63561406266</v>
      </c>
      <c r="S53" s="6">
        <v>9</v>
      </c>
      <c r="U53" s="6">
        <v>2.4166666666666665</v>
      </c>
      <c r="V53">
        <v>1.3</v>
      </c>
      <c r="W53">
        <v>173273.92629828147</v>
      </c>
      <c r="X53">
        <v>117000</v>
      </c>
      <c r="Y53">
        <v>290273.92629828147</v>
      </c>
    </row>
    <row r="54" spans="1:25">
      <c r="A54" t="s">
        <v>181</v>
      </c>
      <c r="B54" t="s">
        <v>182</v>
      </c>
      <c r="C54" t="s">
        <v>8</v>
      </c>
      <c r="D54" t="s">
        <v>71</v>
      </c>
      <c r="E54">
        <v>77085828</v>
      </c>
      <c r="F54">
        <v>9588001</v>
      </c>
      <c r="G54">
        <v>26052395.170570899</v>
      </c>
      <c r="H54">
        <v>1.1197535508348706</v>
      </c>
      <c r="I54">
        <v>322085.94495474867</v>
      </c>
      <c r="M54" s="6">
        <v>0.78506018286306867</v>
      </c>
      <c r="N54" s="6">
        <v>0.9</v>
      </c>
      <c r="O54">
        <v>289877.35045927379</v>
      </c>
      <c r="P54" s="6">
        <v>0.2857142857142857</v>
      </c>
      <c r="Q54">
        <v>0.5</v>
      </c>
      <c r="R54">
        <v>144938.67522963689</v>
      </c>
      <c r="S54" s="6">
        <v>6</v>
      </c>
      <c r="U54" s="6">
        <v>2.4166666666666665</v>
      </c>
      <c r="V54">
        <v>1.3</v>
      </c>
      <c r="W54">
        <v>188420.27779852797</v>
      </c>
      <c r="X54">
        <v>78000</v>
      </c>
      <c r="Y54">
        <v>266420.27779852797</v>
      </c>
    </row>
    <row r="55" spans="1:25">
      <c r="A55" t="s">
        <v>183</v>
      </c>
      <c r="B55" t="s">
        <v>184</v>
      </c>
      <c r="C55" t="s">
        <v>11</v>
      </c>
      <c r="D55" t="s">
        <v>74</v>
      </c>
      <c r="E55">
        <v>80056027</v>
      </c>
      <c r="F55">
        <v>9032323</v>
      </c>
      <c r="G55">
        <v>25549302.1310887</v>
      </c>
      <c r="H55">
        <v>1.1697310105247292</v>
      </c>
      <c r="I55">
        <v>316961.64930527261</v>
      </c>
      <c r="M55" s="6">
        <v>0.80402708699665915</v>
      </c>
      <c r="N55" s="6">
        <v>1</v>
      </c>
      <c r="O55">
        <v>316961.64930527261</v>
      </c>
      <c r="P55" s="6">
        <v>0.8571428571428571</v>
      </c>
      <c r="Q55">
        <v>1</v>
      </c>
      <c r="R55">
        <v>285265.48437474534</v>
      </c>
      <c r="S55" s="6">
        <v>5</v>
      </c>
      <c r="U55" s="6">
        <v>1.2</v>
      </c>
      <c r="V55">
        <v>1.3</v>
      </c>
      <c r="W55">
        <v>370845.12968716898</v>
      </c>
      <c r="X55">
        <v>65000</v>
      </c>
      <c r="Y55">
        <v>435845.12968716898</v>
      </c>
    </row>
    <row r="56" spans="1:25">
      <c r="A56" t="s">
        <v>185</v>
      </c>
      <c r="B56" t="s">
        <v>186</v>
      </c>
      <c r="C56" t="s">
        <v>9</v>
      </c>
      <c r="D56" t="s">
        <v>72</v>
      </c>
      <c r="E56">
        <v>81467468</v>
      </c>
      <c r="F56">
        <v>11698593</v>
      </c>
      <c r="G56">
        <v>56982086.869893089</v>
      </c>
      <c r="H56">
        <v>0.93348146622731443</v>
      </c>
      <c r="I56">
        <v>327612.59239309788</v>
      </c>
      <c r="M56" s="6">
        <v>1.2294326261300423</v>
      </c>
      <c r="N56" s="6">
        <v>1.3</v>
      </c>
      <c r="O56">
        <v>425896.37011102727</v>
      </c>
      <c r="P56" s="6">
        <v>1.1000000000000001</v>
      </c>
      <c r="Q56">
        <v>1.3</v>
      </c>
      <c r="R56">
        <v>553665.28114433552</v>
      </c>
      <c r="S56" s="6">
        <v>4</v>
      </c>
      <c r="U56" s="6">
        <v>0.70588235294117652</v>
      </c>
      <c r="V56">
        <v>0.8</v>
      </c>
      <c r="W56">
        <v>442932.22491546843</v>
      </c>
      <c r="X56">
        <v>20000</v>
      </c>
      <c r="Y56">
        <v>462932.22491546843</v>
      </c>
    </row>
    <row r="57" spans="1:25">
      <c r="A57" t="s">
        <v>187</v>
      </c>
      <c r="B57" t="s">
        <v>188</v>
      </c>
      <c r="C57" t="s">
        <v>1</v>
      </c>
      <c r="D57" t="s">
        <v>64</v>
      </c>
      <c r="E57">
        <v>53713176</v>
      </c>
      <c r="F57">
        <v>7253581</v>
      </c>
      <c r="G57">
        <v>38297651.209154978</v>
      </c>
      <c r="H57">
        <v>0.8872716975362982</v>
      </c>
      <c r="I57">
        <v>193076.91381261116</v>
      </c>
      <c r="M57" s="6">
        <v>0.86369759742180185</v>
      </c>
      <c r="N57" s="6">
        <v>1</v>
      </c>
      <c r="O57">
        <v>193076.91381261116</v>
      </c>
      <c r="P57" s="6">
        <v>0.5714285714285714</v>
      </c>
      <c r="Q57">
        <v>0.7</v>
      </c>
      <c r="R57">
        <v>175699.99156947617</v>
      </c>
      <c r="S57" s="6">
        <v>3</v>
      </c>
      <c r="U57" s="6">
        <v>0.52</v>
      </c>
      <c r="V57">
        <v>0.5</v>
      </c>
      <c r="W57">
        <v>87849.995784738087</v>
      </c>
      <c r="X57">
        <v>0</v>
      </c>
      <c r="Y57">
        <v>87849.995784738087</v>
      </c>
    </row>
    <row r="58" spans="1:25">
      <c r="A58" t="s">
        <v>189</v>
      </c>
      <c r="B58" t="s">
        <v>190</v>
      </c>
      <c r="C58" t="s">
        <v>3</v>
      </c>
      <c r="D58" t="s">
        <v>66</v>
      </c>
      <c r="E58">
        <v>36408272</v>
      </c>
      <c r="F58">
        <v>4546878</v>
      </c>
      <c r="G58">
        <v>16320468.22410278</v>
      </c>
      <c r="H58">
        <v>0.85057718990553988</v>
      </c>
      <c r="I58">
        <v>116024.12136249963</v>
      </c>
      <c r="M58" s="6">
        <v>0.92478402298843354</v>
      </c>
      <c r="N58" s="6">
        <v>1.1000000000000001</v>
      </c>
      <c r="O58">
        <v>127626.5334987496</v>
      </c>
      <c r="P58" s="6">
        <v>0</v>
      </c>
      <c r="Q58">
        <v>0.5</v>
      </c>
      <c r="R58">
        <v>63813.266749374801</v>
      </c>
      <c r="S58" s="6">
        <v>1</v>
      </c>
      <c r="U58" s="6">
        <v>0.3</v>
      </c>
      <c r="V58">
        <v>0.5</v>
      </c>
      <c r="W58">
        <v>31906.633374687401</v>
      </c>
      <c r="X58">
        <v>0</v>
      </c>
      <c r="Y58">
        <v>31906.633374687401</v>
      </c>
    </row>
    <row r="59" spans="1:25">
      <c r="A59" t="s">
        <v>191</v>
      </c>
      <c r="B59" t="s">
        <v>192</v>
      </c>
      <c r="C59" t="s">
        <v>11</v>
      </c>
      <c r="D59" t="s">
        <v>74</v>
      </c>
      <c r="E59">
        <v>25320263</v>
      </c>
      <c r="F59">
        <v>3296851</v>
      </c>
      <c r="G59">
        <v>25549302.1310887</v>
      </c>
      <c r="H59">
        <v>1.1697310105247292</v>
      </c>
      <c r="I59">
        <v>115692.86555338392</v>
      </c>
      <c r="M59" s="6">
        <v>0.80402708699665915</v>
      </c>
      <c r="N59" s="6">
        <v>1</v>
      </c>
      <c r="O59">
        <v>115692.86555338392</v>
      </c>
      <c r="P59" s="6">
        <v>0.8571428571428571</v>
      </c>
      <c r="Q59">
        <v>1</v>
      </c>
      <c r="R59">
        <v>127262.15210872232</v>
      </c>
      <c r="S59" s="6">
        <v>1</v>
      </c>
      <c r="U59" s="6">
        <v>1.2</v>
      </c>
      <c r="V59">
        <v>1.3</v>
      </c>
      <c r="W59">
        <v>165440.79774133902</v>
      </c>
      <c r="X59">
        <v>13000</v>
      </c>
      <c r="Y59">
        <v>178440.79774133902</v>
      </c>
    </row>
  </sheetData>
  <autoFilter ref="A1:Y1" xr:uid="{00000000-0009-0000-0000-000005000000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A_GP</vt:lpstr>
      <vt:lpstr>C_Stock&amp;CPU</vt:lpstr>
      <vt:lpstr>Target</vt:lpstr>
      <vt:lpstr>B_3PP</vt:lpstr>
      <vt:lpstr>Pivot</vt:lpstr>
      <vt:lpstr>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Steve</cp:lastModifiedBy>
  <dcterms:created xsi:type="dcterms:W3CDTF">2020-04-15T08:01:39Z</dcterms:created>
  <dcterms:modified xsi:type="dcterms:W3CDTF">2020-06-11T09:49:19Z</dcterms:modified>
</cp:coreProperties>
</file>